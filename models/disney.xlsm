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6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7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029" codeName="{22E68647-3C60-695B-3CA0-4895CD717B8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Disney\data\"/>
    </mc:Choice>
  </mc:AlternateContent>
  <xr:revisionPtr revIDLastSave="0" documentId="13_ncr:1_{0319A4EF-78F1-43FB-8F95-EDAA97FD4D2E}" xr6:coauthVersionLast="40" xr6:coauthVersionMax="40" xr10:uidLastSave="{00000000-0000-0000-0000-000000000000}"/>
  <bookViews>
    <workbookView xWindow="0" yWindow="0" windowWidth="9570" windowHeight="8160" firstSheet="1" activeTab="6" xr2:uid="{DB4F13A7-DF27-4C70-A4B6-5A8B936D5FDF}"/>
  </bookViews>
  <sheets>
    <sheet name="Map" sheetId="3" r:id="rId1"/>
    <sheet name="DL" sheetId="1" r:id="rId2"/>
    <sheet name="DLFP" sheetId="2" r:id="rId3"/>
    <sheet name="coord" sheetId="4" r:id="rId4"/>
    <sheet name="MK" sheetId="5" r:id="rId5"/>
    <sheet name="coordMK" sheetId="6" r:id="rId6"/>
    <sheet name="Scenario1-BestPath" sheetId="7" r:id="rId7"/>
    <sheet name="Scenario2-MinWalk" sheetId="8" r:id="rId8"/>
    <sheet name="Scenario3-MinWait" sheetId="9" r:id="rId9"/>
    <sheet name="Scenario4-Min35" sheetId="10" r:id="rId10"/>
  </sheets>
  <functionGroups builtInGroupCount="19"/>
  <definedNames>
    <definedName name="List">DLFP!$M$22:$M$30</definedName>
    <definedName name="solver_adj" localSheetId="1" hidden="1">DL!$B$22:$B$38</definedName>
    <definedName name="solver_adj" localSheetId="2" hidden="1">DLFP!$B$22:$B$38</definedName>
    <definedName name="solver_adj" localSheetId="6" hidden="1">'Scenario1-BestPath'!$B$22:$B$38</definedName>
    <definedName name="solver_adj" localSheetId="7" hidden="1">'Scenario2-MinWalk'!$B$22:$B$38</definedName>
    <definedName name="solver_adj" localSheetId="8" hidden="1">'Scenario3-MinWait'!$B$22:$B$38</definedName>
    <definedName name="solver_adj" localSheetId="9" hidden="1">'Scenario4-Min35'!$B$22:$B$38</definedName>
    <definedName name="solver_cvg" localSheetId="1" hidden="1">0.0001</definedName>
    <definedName name="solver_cvg" localSheetId="2" hidden="1">0.0001</definedName>
    <definedName name="solver_cvg" localSheetId="6" hidden="1">0.0001</definedName>
    <definedName name="solver_cvg" localSheetId="7" hidden="1">0.0001</definedName>
    <definedName name="solver_cvg" localSheetId="8" hidden="1">0.0001</definedName>
    <definedName name="solver_cvg" localSheetId="9" hidden="1">0.0001</definedName>
    <definedName name="solver_drv" localSheetId="1" hidden="1">2</definedName>
    <definedName name="solver_drv" localSheetId="2" hidden="1">2</definedName>
    <definedName name="solver_drv" localSheetId="6" hidden="1">2</definedName>
    <definedName name="solver_drv" localSheetId="7" hidden="1">1</definedName>
    <definedName name="solver_drv" localSheetId="8" hidden="1">2</definedName>
    <definedName name="solver_drv" localSheetId="9" hidden="1">1</definedName>
    <definedName name="solver_eng" localSheetId="1" hidden="1">3</definedName>
    <definedName name="solver_eng" localSheetId="2" hidden="1">3</definedName>
    <definedName name="solver_eng" localSheetId="6" hidden="1">3</definedName>
    <definedName name="solver_eng" localSheetId="7" hidden="1">3</definedName>
    <definedName name="solver_eng" localSheetId="8" hidden="1">3</definedName>
    <definedName name="solver_eng" localSheetId="9" hidden="1">3</definedName>
    <definedName name="solver_est" localSheetId="1" hidden="1">1</definedName>
    <definedName name="solver_est" localSheetId="2" hidden="1">1</definedName>
    <definedName name="solver_est" localSheetId="6" hidden="1">1</definedName>
    <definedName name="solver_est" localSheetId="7" hidden="1">1</definedName>
    <definedName name="solver_est" localSheetId="8" hidden="1">1</definedName>
    <definedName name="solver_est" localSheetId="9" hidden="1">1</definedName>
    <definedName name="solver_itr" localSheetId="1" hidden="1">1000</definedName>
    <definedName name="solver_itr" localSheetId="2" hidden="1">1000</definedName>
    <definedName name="solver_itr" localSheetId="6" hidden="1">2147483647</definedName>
    <definedName name="solver_itr" localSheetId="7" hidden="1">2147483647</definedName>
    <definedName name="solver_itr" localSheetId="8" hidden="1">2147483647</definedName>
    <definedName name="solver_itr" localSheetId="9" hidden="1">2147483647</definedName>
    <definedName name="solver_lhs1" localSheetId="1" hidden="1">DL!$B$22:$B$38</definedName>
    <definedName name="solver_lhs1" localSheetId="2" hidden="1">DLFP!$B$22:$B$38</definedName>
    <definedName name="solver_lhs1" localSheetId="6" hidden="1">'Scenario1-BestPath'!$B$22:$B$38</definedName>
    <definedName name="solver_lhs1" localSheetId="7" hidden="1">'Scenario2-MinWalk'!$B$22:$B$38</definedName>
    <definedName name="solver_lhs1" localSheetId="8" hidden="1">'Scenario3-MinWait'!$B$22:$B$38</definedName>
    <definedName name="solver_lhs1" localSheetId="9" hidden="1">'Scenario4-Min35'!$B$22:$B$38</definedName>
    <definedName name="solver_lhs2" localSheetId="1" hidden="1">DL!$H$22:$H$38</definedName>
    <definedName name="solver_lhs2" localSheetId="2" hidden="1">DLFP!$B$30</definedName>
    <definedName name="solver_lhs2" localSheetId="9" hidden="1">'Scenario4-Min35'!$H$22:$H$38</definedName>
    <definedName name="solver_lhs3" localSheetId="1" hidden="1">DL!$B$24</definedName>
    <definedName name="solver_lhs3" localSheetId="2" hidden="1">DLFP!$B$30</definedName>
    <definedName name="solver_lhs4" localSheetId="1" hidden="1">DL!$B$25</definedName>
    <definedName name="solver_lhs4" localSheetId="2" hidden="1">DLFP!$B$31</definedName>
    <definedName name="solver_lhs5" localSheetId="1" hidden="1">DL!$B$26</definedName>
    <definedName name="solver_lhs5" localSheetId="2" hidden="1">DLFP!$B$32</definedName>
    <definedName name="solver_lhs6" localSheetId="1" hidden="1">DL!#REF!</definedName>
    <definedName name="solver_lhs6" localSheetId="2" hidden="1">DLFP!#REF!</definedName>
    <definedName name="solver_mip" localSheetId="1" hidden="1">2147483647</definedName>
    <definedName name="solver_mip" localSheetId="2" hidden="1">2147483647</definedName>
    <definedName name="solver_mip" localSheetId="6" hidden="1">2147483647</definedName>
    <definedName name="solver_mip" localSheetId="7" hidden="1">2147483647</definedName>
    <definedName name="solver_mip" localSheetId="8" hidden="1">2147483647</definedName>
    <definedName name="solver_mip" localSheetId="9" hidden="1">2147483647</definedName>
    <definedName name="solver_mni" localSheetId="1" hidden="1">30</definedName>
    <definedName name="solver_mni" localSheetId="2" hidden="1">30</definedName>
    <definedName name="solver_mni" localSheetId="6" hidden="1">30</definedName>
    <definedName name="solver_mni" localSheetId="7" hidden="1">30</definedName>
    <definedName name="solver_mni" localSheetId="8" hidden="1">30</definedName>
    <definedName name="solver_mni" localSheetId="9" hidden="1">30</definedName>
    <definedName name="solver_mrt" localSheetId="1" hidden="1">0.075</definedName>
    <definedName name="solver_mrt" localSheetId="2" hidden="1">0.075</definedName>
    <definedName name="solver_mrt" localSheetId="6" hidden="1">0.075</definedName>
    <definedName name="solver_mrt" localSheetId="7" hidden="1">0.075</definedName>
    <definedName name="solver_mrt" localSheetId="8" hidden="1">0.075</definedName>
    <definedName name="solver_mrt" localSheetId="9" hidden="1">0.075</definedName>
    <definedName name="solver_msl" localSheetId="1" hidden="1">2</definedName>
    <definedName name="solver_msl" localSheetId="2" hidden="1">2</definedName>
    <definedName name="solver_msl" localSheetId="6" hidden="1">2</definedName>
    <definedName name="solver_msl" localSheetId="7" hidden="1">2</definedName>
    <definedName name="solver_msl" localSheetId="8" hidden="1">2</definedName>
    <definedName name="solver_msl" localSheetId="9" hidden="1">2</definedName>
    <definedName name="solver_neg" localSheetId="1" hidden="1">1</definedName>
    <definedName name="solver_neg" localSheetId="2" hidden="1">1</definedName>
    <definedName name="solver_neg" localSheetId="6" hidden="1">1</definedName>
    <definedName name="solver_neg" localSheetId="7" hidden="1">1</definedName>
    <definedName name="solver_neg" localSheetId="8" hidden="1">1</definedName>
    <definedName name="solver_neg" localSheetId="9" hidden="1">1</definedName>
    <definedName name="solver_nod" localSheetId="1" hidden="1">2147483647</definedName>
    <definedName name="solver_nod" localSheetId="2" hidden="1">2147483647</definedName>
    <definedName name="solver_nod" localSheetId="6" hidden="1">2147483647</definedName>
    <definedName name="solver_nod" localSheetId="7" hidden="1">2147483647</definedName>
    <definedName name="solver_nod" localSheetId="8" hidden="1">2147483647</definedName>
    <definedName name="solver_nod" localSheetId="9" hidden="1">2147483647</definedName>
    <definedName name="solver_num" localSheetId="1" hidden="1">1</definedName>
    <definedName name="solver_num" localSheetId="2" hidden="1">1</definedName>
    <definedName name="solver_num" localSheetId="6" hidden="1">1</definedName>
    <definedName name="solver_num" localSheetId="7" hidden="1">1</definedName>
    <definedName name="solver_num" localSheetId="8" hidden="1">1</definedName>
    <definedName name="solver_num" localSheetId="9" hidden="1">2</definedName>
    <definedName name="solver_nwt" localSheetId="1" hidden="1">1</definedName>
    <definedName name="solver_nwt" localSheetId="2" hidden="1">1</definedName>
    <definedName name="solver_nwt" localSheetId="6" hidden="1">1</definedName>
    <definedName name="solver_nwt" localSheetId="7" hidden="1">1</definedName>
    <definedName name="solver_nwt" localSheetId="8" hidden="1">1</definedName>
    <definedName name="solver_nwt" localSheetId="9" hidden="1">1</definedName>
    <definedName name="solver_opt" localSheetId="1" hidden="1">DL!$H$42</definedName>
    <definedName name="solver_opt" localSheetId="2" hidden="1">DLFP!$H$42</definedName>
    <definedName name="solver_opt" localSheetId="6" hidden="1">'Scenario1-BestPath'!$H$42</definedName>
    <definedName name="solver_opt" localSheetId="7" hidden="1">'Scenario2-MinWalk'!$H$42</definedName>
    <definedName name="solver_opt" localSheetId="8" hidden="1">'Scenario3-MinWait'!$H$42</definedName>
    <definedName name="solver_opt" localSheetId="9" hidden="1">'Scenario4-Min35'!$H$42</definedName>
    <definedName name="solver_pre" localSheetId="1" hidden="1">0.000001</definedName>
    <definedName name="solver_pre" localSheetId="2" hidden="1">0.000001</definedName>
    <definedName name="solver_pre" localSheetId="6" hidden="1">0.000001</definedName>
    <definedName name="solver_pre" localSheetId="7" hidden="1">0.000001</definedName>
    <definedName name="solver_pre" localSheetId="8" hidden="1">0.000001</definedName>
    <definedName name="solver_pre" localSheetId="9" hidden="1">0.000001</definedName>
    <definedName name="solver_rbv" localSheetId="1" hidden="1">2</definedName>
    <definedName name="solver_rbv" localSheetId="2" hidden="1">2</definedName>
    <definedName name="solver_rbv" localSheetId="6" hidden="1">2</definedName>
    <definedName name="solver_rbv" localSheetId="7" hidden="1">1</definedName>
    <definedName name="solver_rbv" localSheetId="8" hidden="1">2</definedName>
    <definedName name="solver_rbv" localSheetId="9" hidden="1">1</definedName>
    <definedName name="solver_rel1" localSheetId="1" hidden="1">6</definedName>
    <definedName name="solver_rel1" localSheetId="2" hidden="1">6</definedName>
    <definedName name="solver_rel1" localSheetId="6" hidden="1">6</definedName>
    <definedName name="solver_rel1" localSheetId="7" hidden="1">6</definedName>
    <definedName name="solver_rel1" localSheetId="8" hidden="1">6</definedName>
    <definedName name="solver_rel1" localSheetId="9" hidden="1">6</definedName>
    <definedName name="solver_rel2" localSheetId="1" hidden="1">1</definedName>
    <definedName name="solver_rel2" localSheetId="2" hidden="1">2</definedName>
    <definedName name="solver_rel2" localSheetId="9" hidden="1">1</definedName>
    <definedName name="solver_rel3" localSheetId="1" hidden="1">4</definedName>
    <definedName name="solver_rel3" localSheetId="2" hidden="1">2</definedName>
    <definedName name="solver_rel4" localSheetId="1" hidden="1">4</definedName>
    <definedName name="solver_rel4" localSheetId="2" hidden="1">2</definedName>
    <definedName name="solver_rel5" localSheetId="1" hidden="1">4</definedName>
    <definedName name="solver_rel5" localSheetId="2" hidden="1">2</definedName>
    <definedName name="solver_rel6" localSheetId="1" hidden="1">2</definedName>
    <definedName name="solver_rel6" localSheetId="2" hidden="1">2</definedName>
    <definedName name="solver_rhs1" localSheetId="1" hidden="1">AllDifferent</definedName>
    <definedName name="solver_rhs1" localSheetId="2" hidden="1">AllDifferent</definedName>
    <definedName name="solver_rhs1" localSheetId="6" hidden="1">AllDifferent</definedName>
    <definedName name="solver_rhs1" localSheetId="7" hidden="1">AllDifferent</definedName>
    <definedName name="solver_rhs1" localSheetId="8" hidden="1">AllDifferent</definedName>
    <definedName name="solver_rhs1" localSheetId="9" hidden="1">AllDifferent</definedName>
    <definedName name="solver_rhs2" localSheetId="1" hidden="1">35</definedName>
    <definedName name="solver_rhs2" localSheetId="2" hidden="1">7</definedName>
    <definedName name="solver_rhs2" localSheetId="9" hidden="1">35</definedName>
    <definedName name="solver_rhs3" localSheetId="1" hidden="1">integer</definedName>
    <definedName name="solver_rhs3" localSheetId="2" hidden="1">7</definedName>
    <definedName name="solver_rhs4" localSheetId="1" hidden="1">integer</definedName>
    <definedName name="solver_rhs4" localSheetId="2" hidden="1">10</definedName>
    <definedName name="solver_rhs5" localSheetId="1" hidden="1">integer</definedName>
    <definedName name="solver_rhs5" localSheetId="2" hidden="1">12</definedName>
    <definedName name="solver_rhs6" localSheetId="1" hidden="1">15</definedName>
    <definedName name="solver_rhs6" localSheetId="2" hidden="1">15</definedName>
    <definedName name="solver_rlx" localSheetId="1" hidden="1">2</definedName>
    <definedName name="solver_rlx" localSheetId="2" hidden="1">2</definedName>
    <definedName name="solver_rlx" localSheetId="6" hidden="1">2</definedName>
    <definedName name="solver_rlx" localSheetId="7" hidden="1">2</definedName>
    <definedName name="solver_rlx" localSheetId="8" hidden="1">2</definedName>
    <definedName name="solver_rlx" localSheetId="9" hidden="1">2</definedName>
    <definedName name="solver_rsd" localSheetId="1" hidden="1">0</definedName>
    <definedName name="solver_rsd" localSheetId="2" hidden="1">0</definedName>
    <definedName name="solver_rsd" localSheetId="6" hidden="1">0</definedName>
    <definedName name="solver_rsd" localSheetId="7" hidden="1">0</definedName>
    <definedName name="solver_rsd" localSheetId="8" hidden="1">0</definedName>
    <definedName name="solver_rsd" localSheetId="9" hidden="1">0</definedName>
    <definedName name="solver_scl" localSheetId="1" hidden="1">2</definedName>
    <definedName name="solver_scl" localSheetId="2" hidden="1">2</definedName>
    <definedName name="solver_scl" localSheetId="6" hidden="1">2</definedName>
    <definedName name="solver_scl" localSheetId="7" hidden="1">1</definedName>
    <definedName name="solver_scl" localSheetId="8" hidden="1">2</definedName>
    <definedName name="solver_scl" localSheetId="9" hidden="1">1</definedName>
    <definedName name="solver_sho" localSheetId="1" hidden="1">2</definedName>
    <definedName name="solver_sho" localSheetId="2" hidden="1">2</definedName>
    <definedName name="solver_sho" localSheetId="6" hidden="1">2</definedName>
    <definedName name="solver_sho" localSheetId="7" hidden="1">2</definedName>
    <definedName name="solver_sho" localSheetId="8" hidden="1">2</definedName>
    <definedName name="solver_sho" localSheetId="9" hidden="1">2</definedName>
    <definedName name="solver_ssz" localSheetId="1" hidden="1">100</definedName>
    <definedName name="solver_ssz" localSheetId="2" hidden="1">100</definedName>
    <definedName name="solver_ssz" localSheetId="6" hidden="1">100</definedName>
    <definedName name="solver_ssz" localSheetId="7" hidden="1">100</definedName>
    <definedName name="solver_ssz" localSheetId="8" hidden="1">100</definedName>
    <definedName name="solver_ssz" localSheetId="9" hidden="1">100</definedName>
    <definedName name="solver_tim" localSheetId="1" hidden="1">2147483647</definedName>
    <definedName name="solver_tim" localSheetId="2" hidden="1">2147483647</definedName>
    <definedName name="solver_tim" localSheetId="6" hidden="1">2147483647</definedName>
    <definedName name="solver_tim" localSheetId="7" hidden="1">2147483647</definedName>
    <definedName name="solver_tim" localSheetId="8" hidden="1">2147483647</definedName>
    <definedName name="solver_tim" localSheetId="9" hidden="1">2147483647</definedName>
    <definedName name="solver_tol" localSheetId="1" hidden="1">0.01</definedName>
    <definedName name="solver_tol" localSheetId="2" hidden="1">0.01</definedName>
    <definedName name="solver_tol" localSheetId="6" hidden="1">0.01</definedName>
    <definedName name="solver_tol" localSheetId="7" hidden="1">0.01</definedName>
    <definedName name="solver_tol" localSheetId="8" hidden="1">0.01</definedName>
    <definedName name="solver_tol" localSheetId="9" hidden="1">0.01</definedName>
    <definedName name="solver_typ" localSheetId="1" hidden="1">2</definedName>
    <definedName name="solver_typ" localSheetId="2" hidden="1">2</definedName>
    <definedName name="solver_typ" localSheetId="6" hidden="1">2</definedName>
    <definedName name="solver_typ" localSheetId="7" hidden="1">2</definedName>
    <definedName name="solver_typ" localSheetId="8" hidden="1">2</definedName>
    <definedName name="solver_typ" localSheetId="9" hidden="1">2</definedName>
    <definedName name="solver_val" localSheetId="1" hidden="1">0</definedName>
    <definedName name="solver_val" localSheetId="2" hidden="1">0</definedName>
    <definedName name="solver_val" localSheetId="6" hidden="1">0</definedName>
    <definedName name="solver_val" localSheetId="7" hidden="1">0</definedName>
    <definedName name="solver_val" localSheetId="8" hidden="1">0</definedName>
    <definedName name="solver_val" localSheetId="9" hidden="1">0</definedName>
    <definedName name="solver_ver" localSheetId="1" hidden="1">3</definedName>
    <definedName name="solver_ver" localSheetId="2" hidden="1">3</definedName>
    <definedName name="solver_ver" localSheetId="6" hidden="1">3</definedName>
    <definedName name="solver_ver" localSheetId="7" hidden="1">3</definedName>
    <definedName name="solver_ver" localSheetId="8" hidden="1">3</definedName>
    <definedName name="solver_ver" localSheetId="9" hidden="1">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G49" i="10" l="1"/>
  <c r="G49" i="9"/>
  <c r="G48" i="10"/>
  <c r="G48" i="9"/>
  <c r="G49" i="7"/>
  <c r="G48" i="7"/>
  <c r="G49" i="8"/>
  <c r="G48" i="8"/>
  <c r="AL38" i="10"/>
  <c r="AK38" i="10"/>
  <c r="AJ38" i="10"/>
  <c r="AI38" i="10"/>
  <c r="AH38" i="10"/>
  <c r="AG38" i="10"/>
  <c r="AF38" i="10"/>
  <c r="AE38" i="10"/>
  <c r="AD38" i="10"/>
  <c r="AC38" i="10"/>
  <c r="AB38" i="10"/>
  <c r="AA38" i="10"/>
  <c r="Z38" i="10"/>
  <c r="Y38" i="10"/>
  <c r="X38" i="10"/>
  <c r="W38" i="10"/>
  <c r="V38" i="10"/>
  <c r="H38" i="10"/>
  <c r="F38" i="10"/>
  <c r="C38" i="10"/>
  <c r="AL37" i="10"/>
  <c r="H37" i="10" s="1"/>
  <c r="AK37" i="10"/>
  <c r="AJ37" i="10"/>
  <c r="AI37" i="10"/>
  <c r="AH37" i="10"/>
  <c r="AG37" i="10"/>
  <c r="AF37" i="10"/>
  <c r="AE37" i="10"/>
  <c r="AD37" i="10"/>
  <c r="AC37" i="10"/>
  <c r="AB37" i="10"/>
  <c r="AA37" i="10"/>
  <c r="Z37" i="10"/>
  <c r="Y37" i="10"/>
  <c r="X37" i="10"/>
  <c r="W37" i="10"/>
  <c r="V37" i="10"/>
  <c r="F37" i="10"/>
  <c r="C37" i="10"/>
  <c r="AL36" i="10"/>
  <c r="AK36" i="10"/>
  <c r="AJ36" i="10"/>
  <c r="AI36" i="10"/>
  <c r="AH36" i="10"/>
  <c r="AG36" i="10"/>
  <c r="AF36" i="10"/>
  <c r="AE36" i="10"/>
  <c r="AD36" i="10"/>
  <c r="AC36" i="10"/>
  <c r="AB36" i="10"/>
  <c r="AA36" i="10"/>
  <c r="Z36" i="10"/>
  <c r="Y36" i="10"/>
  <c r="X36" i="10"/>
  <c r="W36" i="10"/>
  <c r="V36" i="10"/>
  <c r="H36" i="10"/>
  <c r="F36" i="10"/>
  <c r="C36" i="10"/>
  <c r="AL35" i="10"/>
  <c r="AK35" i="10"/>
  <c r="AJ35" i="10"/>
  <c r="AI35" i="10"/>
  <c r="AH35" i="10"/>
  <c r="AG35" i="10"/>
  <c r="AF35" i="10"/>
  <c r="AE35" i="10"/>
  <c r="AD35" i="10"/>
  <c r="AC35" i="10"/>
  <c r="AB35" i="10"/>
  <c r="AA35" i="10"/>
  <c r="Z35" i="10"/>
  <c r="Y35" i="10"/>
  <c r="X35" i="10"/>
  <c r="H35" i="10" s="1"/>
  <c r="W35" i="10"/>
  <c r="V35" i="10"/>
  <c r="F35" i="10"/>
  <c r="C35" i="10"/>
  <c r="AL34" i="10"/>
  <c r="AK34" i="10"/>
  <c r="AJ34" i="10"/>
  <c r="AI34" i="10"/>
  <c r="AH34" i="10"/>
  <c r="AG34" i="10"/>
  <c r="AF34" i="10"/>
  <c r="AE34" i="10"/>
  <c r="AD34" i="10"/>
  <c r="AC34" i="10"/>
  <c r="AB34" i="10"/>
  <c r="AA34" i="10"/>
  <c r="Z34" i="10"/>
  <c r="Y34" i="10"/>
  <c r="X34" i="10"/>
  <c r="W34" i="10"/>
  <c r="V34" i="10"/>
  <c r="H34" i="10"/>
  <c r="F34" i="10"/>
  <c r="C34" i="10"/>
  <c r="AL33" i="10"/>
  <c r="AK33" i="10"/>
  <c r="AJ33" i="10"/>
  <c r="AI33" i="10"/>
  <c r="AH33" i="10"/>
  <c r="AG33" i="10"/>
  <c r="AF33" i="10"/>
  <c r="AE33" i="10"/>
  <c r="AD33" i="10"/>
  <c r="AC33" i="10"/>
  <c r="AB33" i="10"/>
  <c r="AA33" i="10"/>
  <c r="Z33" i="10"/>
  <c r="Y33" i="10"/>
  <c r="X33" i="10"/>
  <c r="W33" i="10"/>
  <c r="V33" i="10"/>
  <c r="H33" i="10" s="1"/>
  <c r="F33" i="10"/>
  <c r="C33" i="10"/>
  <c r="AL32" i="10"/>
  <c r="AK32" i="10"/>
  <c r="AJ32" i="10"/>
  <c r="AI32" i="10"/>
  <c r="AH32" i="10"/>
  <c r="AG32" i="10"/>
  <c r="AF32" i="10"/>
  <c r="AE32" i="10"/>
  <c r="AD32" i="10"/>
  <c r="AC32" i="10"/>
  <c r="AB32" i="10"/>
  <c r="AA32" i="10"/>
  <c r="Z32" i="10"/>
  <c r="Y32" i="10"/>
  <c r="X32" i="10"/>
  <c r="W32" i="10"/>
  <c r="V32" i="10"/>
  <c r="H32" i="10"/>
  <c r="F32" i="10"/>
  <c r="C32" i="10"/>
  <c r="AL31" i="10"/>
  <c r="AK31" i="10"/>
  <c r="AJ31" i="10"/>
  <c r="AI31" i="10"/>
  <c r="AH31" i="10"/>
  <c r="H31" i="10" s="1"/>
  <c r="AG31" i="10"/>
  <c r="AF31" i="10"/>
  <c r="AE31" i="10"/>
  <c r="AD31" i="10"/>
  <c r="AC31" i="10"/>
  <c r="AB31" i="10"/>
  <c r="AA31" i="10"/>
  <c r="Z31" i="10"/>
  <c r="Y31" i="10"/>
  <c r="X31" i="10"/>
  <c r="W31" i="10"/>
  <c r="V31" i="10"/>
  <c r="F31" i="10"/>
  <c r="C31" i="10"/>
  <c r="AL30" i="10"/>
  <c r="AK30" i="10"/>
  <c r="AJ30" i="10"/>
  <c r="AI30" i="10"/>
  <c r="AH30" i="10"/>
  <c r="AG30" i="10"/>
  <c r="AF30" i="10"/>
  <c r="AE30" i="10"/>
  <c r="AD30" i="10"/>
  <c r="AC30" i="10"/>
  <c r="AB30" i="10"/>
  <c r="AA30" i="10"/>
  <c r="Z30" i="10"/>
  <c r="Y30" i="10"/>
  <c r="X30" i="10"/>
  <c r="W30" i="10"/>
  <c r="V30" i="10"/>
  <c r="H30" i="10"/>
  <c r="F30" i="10"/>
  <c r="C30" i="10"/>
  <c r="AL29" i="10"/>
  <c r="AK29" i="10"/>
  <c r="AJ29" i="10"/>
  <c r="AI29" i="10"/>
  <c r="AH29" i="10"/>
  <c r="AG29" i="10"/>
  <c r="AF29" i="10"/>
  <c r="H29" i="10" s="1"/>
  <c r="AE29" i="10"/>
  <c r="AD29" i="10"/>
  <c r="AC29" i="10"/>
  <c r="AB29" i="10"/>
  <c r="AA29" i="10"/>
  <c r="Z29" i="10"/>
  <c r="Y29" i="10"/>
  <c r="X29" i="10"/>
  <c r="W29" i="10"/>
  <c r="V29" i="10"/>
  <c r="F29" i="10"/>
  <c r="C29" i="10"/>
  <c r="AL28" i="10"/>
  <c r="AK28" i="10"/>
  <c r="AJ28" i="10"/>
  <c r="AI28" i="10"/>
  <c r="AH28" i="10"/>
  <c r="AG28" i="10"/>
  <c r="AF28" i="10"/>
  <c r="AE28" i="10"/>
  <c r="AD28" i="10"/>
  <c r="AC28" i="10"/>
  <c r="AB28" i="10"/>
  <c r="AA28" i="10"/>
  <c r="Z28" i="10"/>
  <c r="Y28" i="10"/>
  <c r="X28" i="10"/>
  <c r="W28" i="10"/>
  <c r="V28" i="10"/>
  <c r="H28" i="10"/>
  <c r="F28" i="10"/>
  <c r="C28" i="10"/>
  <c r="AL27" i="10"/>
  <c r="AK27" i="10"/>
  <c r="AJ27" i="10"/>
  <c r="AI27" i="10"/>
  <c r="AH27" i="10"/>
  <c r="AG27" i="10"/>
  <c r="AF27" i="10"/>
  <c r="AE27" i="10"/>
  <c r="AD27" i="10"/>
  <c r="AC27" i="10"/>
  <c r="AB27" i="10"/>
  <c r="AA27" i="10"/>
  <c r="Z27" i="10"/>
  <c r="Y27" i="10"/>
  <c r="X27" i="10"/>
  <c r="W27" i="10"/>
  <c r="V27" i="10"/>
  <c r="H27" i="10"/>
  <c r="F27" i="10"/>
  <c r="C27" i="10"/>
  <c r="AL26" i="10"/>
  <c r="AK26" i="10"/>
  <c r="AJ26" i="10"/>
  <c r="AI26" i="10"/>
  <c r="AH26" i="10"/>
  <c r="AG26" i="10"/>
  <c r="AF26" i="10"/>
  <c r="AE26" i="10"/>
  <c r="AD26" i="10"/>
  <c r="AC26" i="10"/>
  <c r="AB26" i="10"/>
  <c r="AA26" i="10"/>
  <c r="Z26" i="10"/>
  <c r="Y26" i="10"/>
  <c r="X26" i="10"/>
  <c r="W26" i="10"/>
  <c r="V26" i="10"/>
  <c r="H26" i="10"/>
  <c r="F26" i="10"/>
  <c r="C26" i="10"/>
  <c r="AL25" i="10"/>
  <c r="AK25" i="10"/>
  <c r="AJ25" i="10"/>
  <c r="AI25" i="10"/>
  <c r="AH25" i="10"/>
  <c r="AG25" i="10"/>
  <c r="AF25" i="10"/>
  <c r="AE25" i="10"/>
  <c r="AD25" i="10"/>
  <c r="AC25" i="10"/>
  <c r="AB25" i="10"/>
  <c r="AA25" i="10"/>
  <c r="Z25" i="10"/>
  <c r="H25" i="10" s="1"/>
  <c r="Y25" i="10"/>
  <c r="X25" i="10"/>
  <c r="W25" i="10"/>
  <c r="V25" i="10"/>
  <c r="F25" i="10"/>
  <c r="C25" i="10"/>
  <c r="AL24" i="10"/>
  <c r="AK24" i="10"/>
  <c r="AJ24" i="10"/>
  <c r="AI24" i="10"/>
  <c r="AH24" i="10"/>
  <c r="AG24" i="10"/>
  <c r="AF24" i="10"/>
  <c r="AE24" i="10"/>
  <c r="AD24" i="10"/>
  <c r="AC24" i="10"/>
  <c r="AB24" i="10"/>
  <c r="AA24" i="10"/>
  <c r="Z24" i="10"/>
  <c r="Y24" i="10"/>
  <c r="X24" i="10"/>
  <c r="W24" i="10"/>
  <c r="V24" i="10"/>
  <c r="H24" i="10"/>
  <c r="F24" i="10"/>
  <c r="C24" i="10"/>
  <c r="AL23" i="10"/>
  <c r="AK23" i="10"/>
  <c r="AJ23" i="10"/>
  <c r="AI23" i="10"/>
  <c r="AH23" i="10"/>
  <c r="AG23" i="10"/>
  <c r="AF23" i="10"/>
  <c r="AE23" i="10"/>
  <c r="AD23" i="10"/>
  <c r="AC23" i="10"/>
  <c r="AB23" i="10"/>
  <c r="H23" i="10" s="1"/>
  <c r="AA23" i="10"/>
  <c r="Z23" i="10"/>
  <c r="Y23" i="10"/>
  <c r="X23" i="10"/>
  <c r="W23" i="10"/>
  <c r="V23" i="10"/>
  <c r="F23" i="10"/>
  <c r="C23" i="10"/>
  <c r="AL22" i="10"/>
  <c r="AK22" i="10"/>
  <c r="AJ22" i="10"/>
  <c r="AI22" i="10"/>
  <c r="AH22" i="10"/>
  <c r="AG22" i="10"/>
  <c r="AF22" i="10"/>
  <c r="AE22" i="10"/>
  <c r="AD22" i="10"/>
  <c r="AC22" i="10"/>
  <c r="AB22" i="10"/>
  <c r="AA22" i="10"/>
  <c r="Z22" i="10"/>
  <c r="Y22" i="10"/>
  <c r="X22" i="10"/>
  <c r="W22" i="10"/>
  <c r="V22" i="10"/>
  <c r="H22" i="10"/>
  <c r="F22" i="10"/>
  <c r="D22" i="10"/>
  <c r="C22" i="10"/>
  <c r="AM19" i="10"/>
  <c r="AM18" i="10"/>
  <c r="AM17" i="10"/>
  <c r="AM16" i="10"/>
  <c r="AM15" i="10"/>
  <c r="AM14" i="10"/>
  <c r="AM13" i="10"/>
  <c r="AM12" i="10"/>
  <c r="AM11" i="10"/>
  <c r="AM10" i="10"/>
  <c r="AM9" i="10"/>
  <c r="AM8" i="10"/>
  <c r="AM7" i="10"/>
  <c r="AM6" i="10"/>
  <c r="AM5" i="10"/>
  <c r="AM4" i="10"/>
  <c r="AM3" i="10"/>
  <c r="AL38" i="9"/>
  <c r="AK38" i="9"/>
  <c r="AJ38" i="9"/>
  <c r="AI38" i="9"/>
  <c r="AH38" i="9"/>
  <c r="AG38" i="9"/>
  <c r="AF38" i="9"/>
  <c r="AE38" i="9"/>
  <c r="AD38" i="9"/>
  <c r="AC38" i="9"/>
  <c r="AB38" i="9"/>
  <c r="AA38" i="9"/>
  <c r="Z38" i="9"/>
  <c r="Y38" i="9"/>
  <c r="X38" i="9"/>
  <c r="W38" i="9"/>
  <c r="V38" i="9"/>
  <c r="H38" i="9"/>
  <c r="F38" i="9"/>
  <c r="C38" i="9"/>
  <c r="AL37" i="9"/>
  <c r="H37" i="9" s="1"/>
  <c r="AK37" i="9"/>
  <c r="AJ37" i="9"/>
  <c r="AI37" i="9"/>
  <c r="AH37" i="9"/>
  <c r="AG37" i="9"/>
  <c r="AF37" i="9"/>
  <c r="AE37" i="9"/>
  <c r="AD37" i="9"/>
  <c r="AC37" i="9"/>
  <c r="AB37" i="9"/>
  <c r="AA37" i="9"/>
  <c r="Z37" i="9"/>
  <c r="Y37" i="9"/>
  <c r="X37" i="9"/>
  <c r="W37" i="9"/>
  <c r="V37" i="9"/>
  <c r="F37" i="9"/>
  <c r="C37" i="9"/>
  <c r="AL36" i="9"/>
  <c r="AK36" i="9"/>
  <c r="AJ36" i="9"/>
  <c r="AI36" i="9"/>
  <c r="AH36" i="9"/>
  <c r="AG36" i="9"/>
  <c r="AF36" i="9"/>
  <c r="AE36" i="9"/>
  <c r="AD36" i="9"/>
  <c r="AC36" i="9"/>
  <c r="AB36" i="9"/>
  <c r="AA36" i="9"/>
  <c r="Z36" i="9"/>
  <c r="Y36" i="9"/>
  <c r="X36" i="9"/>
  <c r="W36" i="9"/>
  <c r="V36" i="9"/>
  <c r="H36" i="9"/>
  <c r="F36" i="9"/>
  <c r="C36" i="9"/>
  <c r="AL35" i="9"/>
  <c r="AK35" i="9"/>
  <c r="AJ35" i="9"/>
  <c r="AI35" i="9"/>
  <c r="AH35" i="9"/>
  <c r="AG35" i="9"/>
  <c r="AF35" i="9"/>
  <c r="AE35" i="9"/>
  <c r="AD35" i="9"/>
  <c r="AC35" i="9"/>
  <c r="AB35" i="9"/>
  <c r="AA35" i="9"/>
  <c r="Z35" i="9"/>
  <c r="Y35" i="9"/>
  <c r="X35" i="9"/>
  <c r="H35" i="9" s="1"/>
  <c r="W35" i="9"/>
  <c r="V35" i="9"/>
  <c r="F35" i="9"/>
  <c r="C35" i="9"/>
  <c r="AL34" i="9"/>
  <c r="AK34" i="9"/>
  <c r="AJ34" i="9"/>
  <c r="AI34" i="9"/>
  <c r="AH34" i="9"/>
  <c r="AG34" i="9"/>
  <c r="AF34" i="9"/>
  <c r="AE34" i="9"/>
  <c r="AD34" i="9"/>
  <c r="AC34" i="9"/>
  <c r="AB34" i="9"/>
  <c r="AA34" i="9"/>
  <c r="Z34" i="9"/>
  <c r="Y34" i="9"/>
  <c r="X34" i="9"/>
  <c r="W34" i="9"/>
  <c r="V34" i="9"/>
  <c r="H34" i="9"/>
  <c r="F34" i="9"/>
  <c r="C34" i="9"/>
  <c r="AL33" i="9"/>
  <c r="AK33" i="9"/>
  <c r="AJ33" i="9"/>
  <c r="AI33" i="9"/>
  <c r="AH33" i="9"/>
  <c r="AG33" i="9"/>
  <c r="AF33" i="9"/>
  <c r="AE33" i="9"/>
  <c r="AD33" i="9"/>
  <c r="AC33" i="9"/>
  <c r="AB33" i="9"/>
  <c r="AA33" i="9"/>
  <c r="Z33" i="9"/>
  <c r="Y33" i="9"/>
  <c r="X33" i="9"/>
  <c r="W33" i="9"/>
  <c r="V33" i="9"/>
  <c r="H33" i="9" s="1"/>
  <c r="F33" i="9"/>
  <c r="C33" i="9"/>
  <c r="AL32" i="9"/>
  <c r="AK32" i="9"/>
  <c r="AJ32" i="9"/>
  <c r="AI32" i="9"/>
  <c r="AH32" i="9"/>
  <c r="AG32" i="9"/>
  <c r="AF32" i="9"/>
  <c r="AE32" i="9"/>
  <c r="AD32" i="9"/>
  <c r="AC32" i="9"/>
  <c r="AB32" i="9"/>
  <c r="AA32" i="9"/>
  <c r="Z32" i="9"/>
  <c r="Y32" i="9"/>
  <c r="X32" i="9"/>
  <c r="W32" i="9"/>
  <c r="V32" i="9"/>
  <c r="H32" i="9"/>
  <c r="F32" i="9"/>
  <c r="C32" i="9"/>
  <c r="AL31" i="9"/>
  <c r="AK31" i="9"/>
  <c r="AJ31" i="9"/>
  <c r="AI31" i="9"/>
  <c r="AH31" i="9"/>
  <c r="H31" i="9" s="1"/>
  <c r="AG31" i="9"/>
  <c r="AF31" i="9"/>
  <c r="AE31" i="9"/>
  <c r="AD31" i="9"/>
  <c r="AC31" i="9"/>
  <c r="AB31" i="9"/>
  <c r="AA31" i="9"/>
  <c r="Z31" i="9"/>
  <c r="Y31" i="9"/>
  <c r="X31" i="9"/>
  <c r="W31" i="9"/>
  <c r="V31" i="9"/>
  <c r="F31" i="9"/>
  <c r="C31" i="9"/>
  <c r="AL30" i="9"/>
  <c r="AK30" i="9"/>
  <c r="AJ30" i="9"/>
  <c r="AI30" i="9"/>
  <c r="AH30" i="9"/>
  <c r="AG30" i="9"/>
  <c r="AF30" i="9"/>
  <c r="AE30" i="9"/>
  <c r="AD30" i="9"/>
  <c r="AC30" i="9"/>
  <c r="AB30" i="9"/>
  <c r="AA30" i="9"/>
  <c r="Z30" i="9"/>
  <c r="Y30" i="9"/>
  <c r="X30" i="9"/>
  <c r="W30" i="9"/>
  <c r="V30" i="9"/>
  <c r="H30" i="9"/>
  <c r="F30" i="9"/>
  <c r="C30" i="9"/>
  <c r="AL29" i="9"/>
  <c r="AK29" i="9"/>
  <c r="AJ29" i="9"/>
  <c r="AI29" i="9"/>
  <c r="AH29" i="9"/>
  <c r="AG29" i="9"/>
  <c r="AF29" i="9"/>
  <c r="H29" i="9" s="1"/>
  <c r="AE29" i="9"/>
  <c r="AD29" i="9"/>
  <c r="AC29" i="9"/>
  <c r="AB29" i="9"/>
  <c r="AA29" i="9"/>
  <c r="Z29" i="9"/>
  <c r="Y29" i="9"/>
  <c r="X29" i="9"/>
  <c r="W29" i="9"/>
  <c r="V29" i="9"/>
  <c r="F29" i="9"/>
  <c r="C29" i="9"/>
  <c r="AL28" i="9"/>
  <c r="AK28" i="9"/>
  <c r="AJ28" i="9"/>
  <c r="AI28" i="9"/>
  <c r="AH28" i="9"/>
  <c r="AG28" i="9"/>
  <c r="AF28" i="9"/>
  <c r="AE28" i="9"/>
  <c r="AD28" i="9"/>
  <c r="AC28" i="9"/>
  <c r="AB28" i="9"/>
  <c r="AA28" i="9"/>
  <c r="Z28" i="9"/>
  <c r="Y28" i="9"/>
  <c r="X28" i="9"/>
  <c r="W28" i="9"/>
  <c r="V28" i="9"/>
  <c r="H28" i="9"/>
  <c r="F28" i="9"/>
  <c r="C28" i="9"/>
  <c r="AL27" i="9"/>
  <c r="AK27" i="9"/>
  <c r="AJ27" i="9"/>
  <c r="AI27" i="9"/>
  <c r="AH27" i="9"/>
  <c r="AG27" i="9"/>
  <c r="AF27" i="9"/>
  <c r="AE27" i="9"/>
  <c r="AD27" i="9"/>
  <c r="AC27" i="9"/>
  <c r="AB27" i="9"/>
  <c r="AA27" i="9"/>
  <c r="Z27" i="9"/>
  <c r="Y27" i="9"/>
  <c r="X27" i="9"/>
  <c r="W27" i="9"/>
  <c r="V27" i="9"/>
  <c r="H27" i="9"/>
  <c r="F27" i="9"/>
  <c r="C27" i="9"/>
  <c r="AL26" i="9"/>
  <c r="AK26" i="9"/>
  <c r="AJ26" i="9"/>
  <c r="AI26" i="9"/>
  <c r="AH26" i="9"/>
  <c r="AG26" i="9"/>
  <c r="AF26" i="9"/>
  <c r="AE26" i="9"/>
  <c r="AD26" i="9"/>
  <c r="AC26" i="9"/>
  <c r="AB26" i="9"/>
  <c r="AA26" i="9"/>
  <c r="Z26" i="9"/>
  <c r="Y26" i="9"/>
  <c r="X26" i="9"/>
  <c r="W26" i="9"/>
  <c r="V26" i="9"/>
  <c r="H26" i="9"/>
  <c r="F26" i="9"/>
  <c r="C26" i="9"/>
  <c r="AL25" i="9"/>
  <c r="AK25" i="9"/>
  <c r="AJ25" i="9"/>
  <c r="AI25" i="9"/>
  <c r="AH25" i="9"/>
  <c r="AG25" i="9"/>
  <c r="AF25" i="9"/>
  <c r="AE25" i="9"/>
  <c r="AD25" i="9"/>
  <c r="AC25" i="9"/>
  <c r="AB25" i="9"/>
  <c r="AA25" i="9"/>
  <c r="Z25" i="9"/>
  <c r="H25" i="9" s="1"/>
  <c r="Y25" i="9"/>
  <c r="X25" i="9"/>
  <c r="W25" i="9"/>
  <c r="V25" i="9"/>
  <c r="F25" i="9"/>
  <c r="C25" i="9"/>
  <c r="AL24" i="9"/>
  <c r="AK24" i="9"/>
  <c r="AJ24" i="9"/>
  <c r="AI24" i="9"/>
  <c r="AH24" i="9"/>
  <c r="AG24" i="9"/>
  <c r="AF24" i="9"/>
  <c r="AE24" i="9"/>
  <c r="AD24" i="9"/>
  <c r="AC24" i="9"/>
  <c r="AB24" i="9"/>
  <c r="AA24" i="9"/>
  <c r="Z24" i="9"/>
  <c r="Y24" i="9"/>
  <c r="X24" i="9"/>
  <c r="W24" i="9"/>
  <c r="V24" i="9"/>
  <c r="H24" i="9"/>
  <c r="F24" i="9"/>
  <c r="C24" i="9"/>
  <c r="AL23" i="9"/>
  <c r="AK23" i="9"/>
  <c r="AJ23" i="9"/>
  <c r="AI23" i="9"/>
  <c r="AH23" i="9"/>
  <c r="AG23" i="9"/>
  <c r="AF23" i="9"/>
  <c r="AE23" i="9"/>
  <c r="AD23" i="9"/>
  <c r="AC23" i="9"/>
  <c r="AB23" i="9"/>
  <c r="H23" i="9" s="1"/>
  <c r="AA23" i="9"/>
  <c r="Z23" i="9"/>
  <c r="Y23" i="9"/>
  <c r="X23" i="9"/>
  <c r="W23" i="9"/>
  <c r="V23" i="9"/>
  <c r="F23" i="9"/>
  <c r="C23" i="9"/>
  <c r="AL22" i="9"/>
  <c r="AK22" i="9"/>
  <c r="AJ22" i="9"/>
  <c r="AI22" i="9"/>
  <c r="AH22" i="9"/>
  <c r="AG22" i="9"/>
  <c r="AF22" i="9"/>
  <c r="AE22" i="9"/>
  <c r="AD22" i="9"/>
  <c r="AC22" i="9"/>
  <c r="AB22" i="9"/>
  <c r="AA22" i="9"/>
  <c r="Z22" i="9"/>
  <c r="Y22" i="9"/>
  <c r="X22" i="9"/>
  <c r="W22" i="9"/>
  <c r="V22" i="9"/>
  <c r="H22" i="9"/>
  <c r="F22" i="9"/>
  <c r="D22" i="9"/>
  <c r="C22" i="9"/>
  <c r="AM19" i="9"/>
  <c r="AM18" i="9"/>
  <c r="AM17" i="9"/>
  <c r="AM16" i="9"/>
  <c r="AM15" i="9"/>
  <c r="AM14" i="9"/>
  <c r="AM13" i="9"/>
  <c r="AM12" i="9"/>
  <c r="AM11" i="9"/>
  <c r="AM10" i="9"/>
  <c r="AM9" i="9"/>
  <c r="AM8" i="9"/>
  <c r="AM7" i="9"/>
  <c r="AM6" i="9"/>
  <c r="AM5" i="9"/>
  <c r="AM4" i="9"/>
  <c r="AM3" i="9"/>
  <c r="AL38" i="8"/>
  <c r="AK38" i="8"/>
  <c r="AJ38" i="8"/>
  <c r="AI38" i="8"/>
  <c r="AH38" i="8"/>
  <c r="AG38" i="8"/>
  <c r="AF38" i="8"/>
  <c r="AE38" i="8"/>
  <c r="AD38" i="8"/>
  <c r="AC38" i="8"/>
  <c r="AB38" i="8"/>
  <c r="AA38" i="8"/>
  <c r="Z38" i="8"/>
  <c r="Y38" i="8"/>
  <c r="X38" i="8"/>
  <c r="W38" i="8"/>
  <c r="V38" i="8"/>
  <c r="H38" i="8"/>
  <c r="F38" i="8"/>
  <c r="C38" i="8"/>
  <c r="AL37" i="8"/>
  <c r="H37" i="8" s="1"/>
  <c r="AK37" i="8"/>
  <c r="AJ37" i="8"/>
  <c r="AI37" i="8"/>
  <c r="AH37" i="8"/>
  <c r="AG37" i="8"/>
  <c r="AF37" i="8"/>
  <c r="AE37" i="8"/>
  <c r="AD37" i="8"/>
  <c r="AC37" i="8"/>
  <c r="AB37" i="8"/>
  <c r="AA37" i="8"/>
  <c r="Z37" i="8"/>
  <c r="Y37" i="8"/>
  <c r="X37" i="8"/>
  <c r="W37" i="8"/>
  <c r="V37" i="8"/>
  <c r="F37" i="8"/>
  <c r="C37" i="8"/>
  <c r="AL36" i="8"/>
  <c r="AK36" i="8"/>
  <c r="AJ36" i="8"/>
  <c r="AI36" i="8"/>
  <c r="AH36" i="8"/>
  <c r="AG36" i="8"/>
  <c r="AF36" i="8"/>
  <c r="AE36" i="8"/>
  <c r="AD36" i="8"/>
  <c r="AC36" i="8"/>
  <c r="AB36" i="8"/>
  <c r="AA36" i="8"/>
  <c r="Z36" i="8"/>
  <c r="Y36" i="8"/>
  <c r="X36" i="8"/>
  <c r="W36" i="8"/>
  <c r="V36" i="8"/>
  <c r="H36" i="8"/>
  <c r="F36" i="8"/>
  <c r="C36" i="8"/>
  <c r="AL35" i="8"/>
  <c r="AK35" i="8"/>
  <c r="AJ35" i="8"/>
  <c r="AI35" i="8"/>
  <c r="AH35" i="8"/>
  <c r="AG35" i="8"/>
  <c r="AF35" i="8"/>
  <c r="AE35" i="8"/>
  <c r="AD35" i="8"/>
  <c r="AC35" i="8"/>
  <c r="AB35" i="8"/>
  <c r="AA35" i="8"/>
  <c r="Z35" i="8"/>
  <c r="Y35" i="8"/>
  <c r="X35" i="8"/>
  <c r="H35" i="8" s="1"/>
  <c r="W35" i="8"/>
  <c r="V35" i="8"/>
  <c r="F35" i="8"/>
  <c r="C35" i="8"/>
  <c r="AL34" i="8"/>
  <c r="AK34" i="8"/>
  <c r="AJ34" i="8"/>
  <c r="AI34" i="8"/>
  <c r="AH34" i="8"/>
  <c r="AG34" i="8"/>
  <c r="AF34" i="8"/>
  <c r="AE34" i="8"/>
  <c r="AD34" i="8"/>
  <c r="AC34" i="8"/>
  <c r="AB34" i="8"/>
  <c r="AA34" i="8"/>
  <c r="Z34" i="8"/>
  <c r="Y34" i="8"/>
  <c r="X34" i="8"/>
  <c r="W34" i="8"/>
  <c r="V34" i="8"/>
  <c r="H34" i="8"/>
  <c r="F34" i="8"/>
  <c r="C34" i="8"/>
  <c r="AL33" i="8"/>
  <c r="AK33" i="8"/>
  <c r="AJ33" i="8"/>
  <c r="AI33" i="8"/>
  <c r="AH33" i="8"/>
  <c r="AG33" i="8"/>
  <c r="AF33" i="8"/>
  <c r="AE33" i="8"/>
  <c r="AD33" i="8"/>
  <c r="AC33" i="8"/>
  <c r="AB33" i="8"/>
  <c r="AA33" i="8"/>
  <c r="Z33" i="8"/>
  <c r="Y33" i="8"/>
  <c r="X33" i="8"/>
  <c r="W33" i="8"/>
  <c r="V33" i="8"/>
  <c r="H33" i="8" s="1"/>
  <c r="F33" i="8"/>
  <c r="C33" i="8"/>
  <c r="AL32" i="8"/>
  <c r="AK32" i="8"/>
  <c r="AJ32" i="8"/>
  <c r="AI32" i="8"/>
  <c r="AH32" i="8"/>
  <c r="AG32" i="8"/>
  <c r="AF32" i="8"/>
  <c r="AE32" i="8"/>
  <c r="AD32" i="8"/>
  <c r="AC32" i="8"/>
  <c r="AB32" i="8"/>
  <c r="AA32" i="8"/>
  <c r="Z32" i="8"/>
  <c r="Y32" i="8"/>
  <c r="X32" i="8"/>
  <c r="W32" i="8"/>
  <c r="V32" i="8"/>
  <c r="H32" i="8"/>
  <c r="F32" i="8"/>
  <c r="C32" i="8"/>
  <c r="AL31" i="8"/>
  <c r="AK31" i="8"/>
  <c r="AJ31" i="8"/>
  <c r="AI31" i="8"/>
  <c r="AH31" i="8"/>
  <c r="H31" i="8" s="1"/>
  <c r="AG31" i="8"/>
  <c r="AF31" i="8"/>
  <c r="AE31" i="8"/>
  <c r="AD31" i="8"/>
  <c r="AC31" i="8"/>
  <c r="AB31" i="8"/>
  <c r="AA31" i="8"/>
  <c r="Z31" i="8"/>
  <c r="Y31" i="8"/>
  <c r="X31" i="8"/>
  <c r="W31" i="8"/>
  <c r="V31" i="8"/>
  <c r="F31" i="8"/>
  <c r="C31" i="8"/>
  <c r="AL30" i="8"/>
  <c r="AK30" i="8"/>
  <c r="AJ30" i="8"/>
  <c r="AI30" i="8"/>
  <c r="AH30" i="8"/>
  <c r="AG30" i="8"/>
  <c r="AF30" i="8"/>
  <c r="AE30" i="8"/>
  <c r="AD30" i="8"/>
  <c r="AC30" i="8"/>
  <c r="AB30" i="8"/>
  <c r="AA30" i="8"/>
  <c r="Z30" i="8"/>
  <c r="Y30" i="8"/>
  <c r="X30" i="8"/>
  <c r="W30" i="8"/>
  <c r="V30" i="8"/>
  <c r="H30" i="8"/>
  <c r="F30" i="8"/>
  <c r="C30" i="8"/>
  <c r="AL29" i="8"/>
  <c r="AK29" i="8"/>
  <c r="AJ29" i="8"/>
  <c r="AI29" i="8"/>
  <c r="AH29" i="8"/>
  <c r="AG29" i="8"/>
  <c r="AF29" i="8"/>
  <c r="H29" i="8" s="1"/>
  <c r="AE29" i="8"/>
  <c r="AD29" i="8"/>
  <c r="AC29" i="8"/>
  <c r="AB29" i="8"/>
  <c r="AA29" i="8"/>
  <c r="Z29" i="8"/>
  <c r="Y29" i="8"/>
  <c r="X29" i="8"/>
  <c r="W29" i="8"/>
  <c r="V29" i="8"/>
  <c r="F29" i="8"/>
  <c r="C29" i="8"/>
  <c r="AL28" i="8"/>
  <c r="AK28" i="8"/>
  <c r="AJ28" i="8"/>
  <c r="AI28" i="8"/>
  <c r="AH28" i="8"/>
  <c r="AG28" i="8"/>
  <c r="AF28" i="8"/>
  <c r="AE28" i="8"/>
  <c r="AD28" i="8"/>
  <c r="AC28" i="8"/>
  <c r="AB28" i="8"/>
  <c r="AA28" i="8"/>
  <c r="Z28" i="8"/>
  <c r="Y28" i="8"/>
  <c r="X28" i="8"/>
  <c r="W28" i="8"/>
  <c r="V28" i="8"/>
  <c r="H28" i="8"/>
  <c r="F28" i="8"/>
  <c r="C28" i="8"/>
  <c r="AL27" i="8"/>
  <c r="AK27" i="8"/>
  <c r="AJ27" i="8"/>
  <c r="AI27" i="8"/>
  <c r="AH27" i="8"/>
  <c r="AG27" i="8"/>
  <c r="AF27" i="8"/>
  <c r="AE27" i="8"/>
  <c r="AD27" i="8"/>
  <c r="AC27" i="8"/>
  <c r="AB27" i="8"/>
  <c r="AA27" i="8"/>
  <c r="Z27" i="8"/>
  <c r="Y27" i="8"/>
  <c r="X27" i="8"/>
  <c r="W27" i="8"/>
  <c r="V27" i="8"/>
  <c r="H27" i="8"/>
  <c r="F27" i="8"/>
  <c r="C27" i="8"/>
  <c r="AL26" i="8"/>
  <c r="AK26" i="8"/>
  <c r="AJ26" i="8"/>
  <c r="AI26" i="8"/>
  <c r="AH26" i="8"/>
  <c r="AG26" i="8"/>
  <c r="AF26" i="8"/>
  <c r="AE26" i="8"/>
  <c r="AD26" i="8"/>
  <c r="AC26" i="8"/>
  <c r="AB26" i="8"/>
  <c r="AA26" i="8"/>
  <c r="Z26" i="8"/>
  <c r="Y26" i="8"/>
  <c r="X26" i="8"/>
  <c r="W26" i="8"/>
  <c r="V26" i="8"/>
  <c r="H26" i="8"/>
  <c r="F26" i="8"/>
  <c r="C26" i="8"/>
  <c r="AL25" i="8"/>
  <c r="AK25" i="8"/>
  <c r="AJ25" i="8"/>
  <c r="AI25" i="8"/>
  <c r="AH25" i="8"/>
  <c r="AG25" i="8"/>
  <c r="AF25" i="8"/>
  <c r="AE25" i="8"/>
  <c r="AD25" i="8"/>
  <c r="AC25" i="8"/>
  <c r="AB25" i="8"/>
  <c r="AA25" i="8"/>
  <c r="Z25" i="8"/>
  <c r="H25" i="8" s="1"/>
  <c r="Y25" i="8"/>
  <c r="X25" i="8"/>
  <c r="W25" i="8"/>
  <c r="V25" i="8"/>
  <c r="F25" i="8"/>
  <c r="C25" i="8"/>
  <c r="AL24" i="8"/>
  <c r="AK24" i="8"/>
  <c r="AJ24" i="8"/>
  <c r="AI24" i="8"/>
  <c r="AH24" i="8"/>
  <c r="AG24" i="8"/>
  <c r="AF24" i="8"/>
  <c r="AE24" i="8"/>
  <c r="AD24" i="8"/>
  <c r="AC24" i="8"/>
  <c r="AB24" i="8"/>
  <c r="AA24" i="8"/>
  <c r="Z24" i="8"/>
  <c r="Y24" i="8"/>
  <c r="X24" i="8"/>
  <c r="W24" i="8"/>
  <c r="V24" i="8"/>
  <c r="H24" i="8"/>
  <c r="F24" i="8"/>
  <c r="C24" i="8"/>
  <c r="AL23" i="8"/>
  <c r="AK23" i="8"/>
  <c r="AJ23" i="8"/>
  <c r="AI23" i="8"/>
  <c r="AH23" i="8"/>
  <c r="AG23" i="8"/>
  <c r="AF23" i="8"/>
  <c r="AE23" i="8"/>
  <c r="AD23" i="8"/>
  <c r="AC23" i="8"/>
  <c r="AB23" i="8"/>
  <c r="H23" i="8" s="1"/>
  <c r="AA23" i="8"/>
  <c r="Z23" i="8"/>
  <c r="Y23" i="8"/>
  <c r="X23" i="8"/>
  <c r="W23" i="8"/>
  <c r="V23" i="8"/>
  <c r="F23" i="8"/>
  <c r="C23" i="8"/>
  <c r="AL22" i="8"/>
  <c r="AK22" i="8"/>
  <c r="AJ22" i="8"/>
  <c r="AI22" i="8"/>
  <c r="AH22" i="8"/>
  <c r="AG22" i="8"/>
  <c r="AF22" i="8"/>
  <c r="AE22" i="8"/>
  <c r="AD22" i="8"/>
  <c r="AC22" i="8"/>
  <c r="AB22" i="8"/>
  <c r="AA22" i="8"/>
  <c r="Z22" i="8"/>
  <c r="Y22" i="8"/>
  <c r="X22" i="8"/>
  <c r="W22" i="8"/>
  <c r="V22" i="8"/>
  <c r="H22" i="8"/>
  <c r="F22" i="8"/>
  <c r="D22" i="8"/>
  <c r="C22" i="8"/>
  <c r="AM19" i="8"/>
  <c r="AM18" i="8"/>
  <c r="AM17" i="8"/>
  <c r="AM16" i="8"/>
  <c r="AM15" i="8"/>
  <c r="AM14" i="8"/>
  <c r="AM13" i="8"/>
  <c r="AM12" i="8"/>
  <c r="AM11" i="8"/>
  <c r="AM10" i="8"/>
  <c r="AM9" i="8"/>
  <c r="AM8" i="8"/>
  <c r="AM7" i="8"/>
  <c r="AM6" i="8"/>
  <c r="AM5" i="8"/>
  <c r="AM4" i="8"/>
  <c r="AM3" i="8"/>
  <c r="AL38" i="7"/>
  <c r="AK38" i="7"/>
  <c r="AJ38" i="7"/>
  <c r="AI38" i="7"/>
  <c r="AH38" i="7"/>
  <c r="AG38" i="7"/>
  <c r="AF38" i="7"/>
  <c r="AE38" i="7"/>
  <c r="AD38" i="7"/>
  <c r="AC38" i="7"/>
  <c r="AB38" i="7"/>
  <c r="AA38" i="7"/>
  <c r="Z38" i="7"/>
  <c r="Y38" i="7"/>
  <c r="X38" i="7"/>
  <c r="W38" i="7"/>
  <c r="V38" i="7"/>
  <c r="H38" i="7"/>
  <c r="F38" i="7"/>
  <c r="C38" i="7"/>
  <c r="AL37" i="7"/>
  <c r="H37" i="7" s="1"/>
  <c r="AK37" i="7"/>
  <c r="AJ37" i="7"/>
  <c r="AI37" i="7"/>
  <c r="AH37" i="7"/>
  <c r="AG37" i="7"/>
  <c r="AF37" i="7"/>
  <c r="AE37" i="7"/>
  <c r="AD37" i="7"/>
  <c r="AC37" i="7"/>
  <c r="AB37" i="7"/>
  <c r="AA37" i="7"/>
  <c r="Z37" i="7"/>
  <c r="Y37" i="7"/>
  <c r="X37" i="7"/>
  <c r="W37" i="7"/>
  <c r="V37" i="7"/>
  <c r="F37" i="7"/>
  <c r="C37" i="7"/>
  <c r="AL36" i="7"/>
  <c r="AK36" i="7"/>
  <c r="AJ36" i="7"/>
  <c r="AI36" i="7"/>
  <c r="AH36" i="7"/>
  <c r="AG36" i="7"/>
  <c r="AF36" i="7"/>
  <c r="AE36" i="7"/>
  <c r="AD36" i="7"/>
  <c r="AC36" i="7"/>
  <c r="AB36" i="7"/>
  <c r="AA36" i="7"/>
  <c r="Z36" i="7"/>
  <c r="Y36" i="7"/>
  <c r="X36" i="7"/>
  <c r="W36" i="7"/>
  <c r="V36" i="7"/>
  <c r="H36" i="7"/>
  <c r="F36" i="7"/>
  <c r="C36" i="7"/>
  <c r="AL35" i="7"/>
  <c r="AK35" i="7"/>
  <c r="AJ35" i="7"/>
  <c r="AI35" i="7"/>
  <c r="AH35" i="7"/>
  <c r="AG35" i="7"/>
  <c r="AF35" i="7"/>
  <c r="AE35" i="7"/>
  <c r="AD35" i="7"/>
  <c r="AC35" i="7"/>
  <c r="AB35" i="7"/>
  <c r="AA35" i="7"/>
  <c r="Z35" i="7"/>
  <c r="Y35" i="7"/>
  <c r="X35" i="7"/>
  <c r="H35" i="7" s="1"/>
  <c r="W35" i="7"/>
  <c r="V35" i="7"/>
  <c r="F35" i="7"/>
  <c r="C35" i="7"/>
  <c r="AL34" i="7"/>
  <c r="AK34" i="7"/>
  <c r="AJ34" i="7"/>
  <c r="AI34" i="7"/>
  <c r="AH34" i="7"/>
  <c r="AG34" i="7"/>
  <c r="AF34" i="7"/>
  <c r="AE34" i="7"/>
  <c r="AD34" i="7"/>
  <c r="AC34" i="7"/>
  <c r="AB34" i="7"/>
  <c r="AA34" i="7"/>
  <c r="Z34" i="7"/>
  <c r="Y34" i="7"/>
  <c r="X34" i="7"/>
  <c r="W34" i="7"/>
  <c r="V34" i="7"/>
  <c r="H34" i="7"/>
  <c r="F34" i="7"/>
  <c r="C34" i="7"/>
  <c r="AL33" i="7"/>
  <c r="AK33" i="7"/>
  <c r="AJ33" i="7"/>
  <c r="AI33" i="7"/>
  <c r="AH33" i="7"/>
  <c r="AG33" i="7"/>
  <c r="AF33" i="7"/>
  <c r="AE33" i="7"/>
  <c r="AD33" i="7"/>
  <c r="AC33" i="7"/>
  <c r="AB33" i="7"/>
  <c r="AA33" i="7"/>
  <c r="Z33" i="7"/>
  <c r="Y33" i="7"/>
  <c r="X33" i="7"/>
  <c r="W33" i="7"/>
  <c r="V33" i="7"/>
  <c r="H33" i="7" s="1"/>
  <c r="F33" i="7"/>
  <c r="C33" i="7"/>
  <c r="AL32" i="7"/>
  <c r="AK32" i="7"/>
  <c r="AJ32" i="7"/>
  <c r="AI32" i="7"/>
  <c r="AH32" i="7"/>
  <c r="AG32" i="7"/>
  <c r="AF32" i="7"/>
  <c r="AE32" i="7"/>
  <c r="AD32" i="7"/>
  <c r="AC32" i="7"/>
  <c r="AB32" i="7"/>
  <c r="AA32" i="7"/>
  <c r="Z32" i="7"/>
  <c r="Y32" i="7"/>
  <c r="X32" i="7"/>
  <c r="W32" i="7"/>
  <c r="V32" i="7"/>
  <c r="H32" i="7"/>
  <c r="F32" i="7"/>
  <c r="C32" i="7"/>
  <c r="AL31" i="7"/>
  <c r="AK31" i="7"/>
  <c r="AJ31" i="7"/>
  <c r="AI31" i="7"/>
  <c r="AH31" i="7"/>
  <c r="H31" i="7" s="1"/>
  <c r="AG31" i="7"/>
  <c r="AF31" i="7"/>
  <c r="AE31" i="7"/>
  <c r="AD31" i="7"/>
  <c r="AC31" i="7"/>
  <c r="AB31" i="7"/>
  <c r="AA31" i="7"/>
  <c r="Z31" i="7"/>
  <c r="Y31" i="7"/>
  <c r="X31" i="7"/>
  <c r="W31" i="7"/>
  <c r="V31" i="7"/>
  <c r="F31" i="7"/>
  <c r="C31" i="7"/>
  <c r="AL30" i="7"/>
  <c r="AK30" i="7"/>
  <c r="AJ30" i="7"/>
  <c r="AI30" i="7"/>
  <c r="AH30" i="7"/>
  <c r="AG30" i="7"/>
  <c r="AF30" i="7"/>
  <c r="AE30" i="7"/>
  <c r="AD30" i="7"/>
  <c r="AC30" i="7"/>
  <c r="AB30" i="7"/>
  <c r="AA30" i="7"/>
  <c r="Z30" i="7"/>
  <c r="Y30" i="7"/>
  <c r="X30" i="7"/>
  <c r="W30" i="7"/>
  <c r="V30" i="7"/>
  <c r="H30" i="7"/>
  <c r="F30" i="7"/>
  <c r="C30" i="7"/>
  <c r="AL29" i="7"/>
  <c r="AK29" i="7"/>
  <c r="AJ29" i="7"/>
  <c r="AI29" i="7"/>
  <c r="AH29" i="7"/>
  <c r="AG29" i="7"/>
  <c r="AF29" i="7"/>
  <c r="H29" i="7" s="1"/>
  <c r="AE29" i="7"/>
  <c r="AD29" i="7"/>
  <c r="AC29" i="7"/>
  <c r="AB29" i="7"/>
  <c r="AA29" i="7"/>
  <c r="Z29" i="7"/>
  <c r="Y29" i="7"/>
  <c r="X29" i="7"/>
  <c r="W29" i="7"/>
  <c r="V29" i="7"/>
  <c r="F29" i="7"/>
  <c r="C29" i="7"/>
  <c r="AL28" i="7"/>
  <c r="AK28" i="7"/>
  <c r="AJ28" i="7"/>
  <c r="AI28" i="7"/>
  <c r="AH28" i="7"/>
  <c r="AG28" i="7"/>
  <c r="AF28" i="7"/>
  <c r="AE28" i="7"/>
  <c r="AD28" i="7"/>
  <c r="AC28" i="7"/>
  <c r="AB28" i="7"/>
  <c r="AA28" i="7"/>
  <c r="Z28" i="7"/>
  <c r="Y28" i="7"/>
  <c r="X28" i="7"/>
  <c r="W28" i="7"/>
  <c r="V28" i="7"/>
  <c r="H28" i="7"/>
  <c r="F28" i="7"/>
  <c r="C28" i="7"/>
  <c r="AL27" i="7"/>
  <c r="AK27" i="7"/>
  <c r="AJ27" i="7"/>
  <c r="AI27" i="7"/>
  <c r="AH27" i="7"/>
  <c r="AG27" i="7"/>
  <c r="AF27" i="7"/>
  <c r="AE27" i="7"/>
  <c r="AD27" i="7"/>
  <c r="AC27" i="7"/>
  <c r="AB27" i="7"/>
  <c r="AA27" i="7"/>
  <c r="Z27" i="7"/>
  <c r="Y27" i="7"/>
  <c r="X27" i="7"/>
  <c r="W27" i="7"/>
  <c r="V27" i="7"/>
  <c r="H27" i="7"/>
  <c r="F27" i="7"/>
  <c r="C27" i="7"/>
  <c r="AL26" i="7"/>
  <c r="AK26" i="7"/>
  <c r="AJ26" i="7"/>
  <c r="AI26" i="7"/>
  <c r="AH26" i="7"/>
  <c r="AG26" i="7"/>
  <c r="AF26" i="7"/>
  <c r="AE26" i="7"/>
  <c r="AD26" i="7"/>
  <c r="AC26" i="7"/>
  <c r="AB26" i="7"/>
  <c r="AA26" i="7"/>
  <c r="Z26" i="7"/>
  <c r="Y26" i="7"/>
  <c r="X26" i="7"/>
  <c r="W26" i="7"/>
  <c r="V26" i="7"/>
  <c r="H26" i="7"/>
  <c r="F26" i="7"/>
  <c r="C26" i="7"/>
  <c r="AL25" i="7"/>
  <c r="AK25" i="7"/>
  <c r="AJ25" i="7"/>
  <c r="AI25" i="7"/>
  <c r="AH25" i="7"/>
  <c r="AG25" i="7"/>
  <c r="AF25" i="7"/>
  <c r="AE25" i="7"/>
  <c r="AD25" i="7"/>
  <c r="AC25" i="7"/>
  <c r="AB25" i="7"/>
  <c r="AA25" i="7"/>
  <c r="Z25" i="7"/>
  <c r="H25" i="7" s="1"/>
  <c r="Y25" i="7"/>
  <c r="X25" i="7"/>
  <c r="W25" i="7"/>
  <c r="V25" i="7"/>
  <c r="F25" i="7"/>
  <c r="C25" i="7"/>
  <c r="AL24" i="7"/>
  <c r="AK24" i="7"/>
  <c r="AJ24" i="7"/>
  <c r="AI24" i="7"/>
  <c r="AH24" i="7"/>
  <c r="AG24" i="7"/>
  <c r="AF24" i="7"/>
  <c r="AE24" i="7"/>
  <c r="AD24" i="7"/>
  <c r="AC24" i="7"/>
  <c r="AB24" i="7"/>
  <c r="AA24" i="7"/>
  <c r="Z24" i="7"/>
  <c r="Y24" i="7"/>
  <c r="X24" i="7"/>
  <c r="W24" i="7"/>
  <c r="V24" i="7"/>
  <c r="H24" i="7"/>
  <c r="F24" i="7"/>
  <c r="C24" i="7"/>
  <c r="AL23" i="7"/>
  <c r="AK23" i="7"/>
  <c r="AJ23" i="7"/>
  <c r="AI23" i="7"/>
  <c r="AH23" i="7"/>
  <c r="AG23" i="7"/>
  <c r="AF23" i="7"/>
  <c r="AE23" i="7"/>
  <c r="AD23" i="7"/>
  <c r="AC23" i="7"/>
  <c r="AB23" i="7"/>
  <c r="H23" i="7" s="1"/>
  <c r="AA23" i="7"/>
  <c r="Z23" i="7"/>
  <c r="Y23" i="7"/>
  <c r="X23" i="7"/>
  <c r="W23" i="7"/>
  <c r="V23" i="7"/>
  <c r="F23" i="7"/>
  <c r="C23" i="7"/>
  <c r="AL22" i="7"/>
  <c r="AK22" i="7"/>
  <c r="AJ22" i="7"/>
  <c r="AI22" i="7"/>
  <c r="AH22" i="7"/>
  <c r="AG22" i="7"/>
  <c r="AF22" i="7"/>
  <c r="AE22" i="7"/>
  <c r="AD22" i="7"/>
  <c r="AC22" i="7"/>
  <c r="AB22" i="7"/>
  <c r="AA22" i="7"/>
  <c r="Z22" i="7"/>
  <c r="Y22" i="7"/>
  <c r="X22" i="7"/>
  <c r="W22" i="7"/>
  <c r="V22" i="7"/>
  <c r="H22" i="7"/>
  <c r="F22" i="7"/>
  <c r="D22" i="7"/>
  <c r="C22" i="7"/>
  <c r="AM19" i="7"/>
  <c r="AM18" i="7"/>
  <c r="AM17" i="7"/>
  <c r="AM16" i="7"/>
  <c r="AM15" i="7"/>
  <c r="AM14" i="7"/>
  <c r="AM13" i="7"/>
  <c r="AM12" i="7"/>
  <c r="AM11" i="7"/>
  <c r="AM10" i="7"/>
  <c r="AM9" i="7"/>
  <c r="AM8" i="7"/>
  <c r="AM7" i="7"/>
  <c r="AM6" i="7"/>
  <c r="AM5" i="7"/>
  <c r="AM4" i="7"/>
  <c r="AM3" i="7"/>
  <c r="S19" i="10"/>
  <c r="Q19" i="10"/>
  <c r="O19" i="10"/>
  <c r="M19" i="10"/>
  <c r="K19" i="10"/>
  <c r="I19" i="10"/>
  <c r="G19" i="10"/>
  <c r="E19" i="10"/>
  <c r="C19" i="10"/>
  <c r="S18" i="10"/>
  <c r="Q18" i="10"/>
  <c r="O18" i="10"/>
  <c r="M18" i="10"/>
  <c r="K18" i="10"/>
  <c r="I18" i="10"/>
  <c r="G18" i="10"/>
  <c r="E18" i="10"/>
  <c r="C18" i="10"/>
  <c r="S17" i="10"/>
  <c r="Q17" i="10"/>
  <c r="O17" i="10"/>
  <c r="M17" i="10"/>
  <c r="K17" i="10"/>
  <c r="I17" i="10"/>
  <c r="G17" i="10"/>
  <c r="E17" i="10"/>
  <c r="C17" i="10"/>
  <c r="S16" i="10"/>
  <c r="Q16" i="10"/>
  <c r="O16" i="10"/>
  <c r="M16" i="10"/>
  <c r="K16" i="10"/>
  <c r="I16" i="10"/>
  <c r="G16" i="10"/>
  <c r="E16" i="10"/>
  <c r="C16" i="10"/>
  <c r="S15" i="10"/>
  <c r="Q15" i="10"/>
  <c r="O15" i="10"/>
  <c r="M15" i="10"/>
  <c r="K15" i="10"/>
  <c r="I15" i="10"/>
  <c r="G15" i="10"/>
  <c r="E15" i="10"/>
  <c r="C15" i="10"/>
  <c r="S14" i="10"/>
  <c r="Q14" i="10"/>
  <c r="P19" i="10"/>
  <c r="L19" i="10"/>
  <c r="H19" i="10"/>
  <c r="D19" i="10"/>
  <c r="R18" i="10"/>
  <c r="N18" i="10"/>
  <c r="J18" i="10"/>
  <c r="F18" i="10"/>
  <c r="P17" i="10"/>
  <c r="L17" i="10"/>
  <c r="H17" i="10"/>
  <c r="D17" i="10"/>
  <c r="R16" i="10"/>
  <c r="N16" i="10"/>
  <c r="J16" i="10"/>
  <c r="F16" i="10"/>
  <c r="P15" i="10"/>
  <c r="L15" i="10"/>
  <c r="H15" i="10"/>
  <c r="D15" i="10"/>
  <c r="R14" i="10"/>
  <c r="O14" i="10"/>
  <c r="M14" i="10"/>
  <c r="K14" i="10"/>
  <c r="I14" i="10"/>
  <c r="G14" i="10"/>
  <c r="E14" i="10"/>
  <c r="C14" i="10"/>
  <c r="S13" i="10"/>
  <c r="Q13" i="10"/>
  <c r="O13" i="10"/>
  <c r="M13" i="10"/>
  <c r="K13" i="10"/>
  <c r="I13" i="10"/>
  <c r="G13" i="10"/>
  <c r="E13" i="10"/>
  <c r="C13" i="10"/>
  <c r="S12" i="10"/>
  <c r="Q12" i="10"/>
  <c r="O12" i="10"/>
  <c r="M12" i="10"/>
  <c r="K12" i="10"/>
  <c r="I12" i="10"/>
  <c r="G12" i="10"/>
  <c r="E12" i="10"/>
  <c r="C12" i="10"/>
  <c r="S11" i="10"/>
  <c r="Q11" i="10"/>
  <c r="O11" i="10"/>
  <c r="M11" i="10"/>
  <c r="K11" i="10"/>
  <c r="I11" i="10"/>
  <c r="G11" i="10"/>
  <c r="E11" i="10"/>
  <c r="C11" i="10"/>
  <c r="S10" i="10"/>
  <c r="Q10" i="10"/>
  <c r="O10" i="10"/>
  <c r="M10" i="10"/>
  <c r="K10" i="10"/>
  <c r="I10" i="10"/>
  <c r="G10" i="10"/>
  <c r="E10" i="10"/>
  <c r="C10" i="10"/>
  <c r="S9" i="10"/>
  <c r="Q9" i="10"/>
  <c r="O9" i="10"/>
  <c r="M9" i="10"/>
  <c r="K9" i="10"/>
  <c r="I9" i="10"/>
  <c r="G9" i="10"/>
  <c r="E9" i="10"/>
  <c r="C9" i="10"/>
  <c r="S8" i="10"/>
  <c r="Q8" i="10"/>
  <c r="O8" i="10"/>
  <c r="M8" i="10"/>
  <c r="K8" i="10"/>
  <c r="I8" i="10"/>
  <c r="G8" i="10"/>
  <c r="E8" i="10"/>
  <c r="C8" i="10"/>
  <c r="S7" i="10"/>
  <c r="Q7" i="10"/>
  <c r="O7" i="10"/>
  <c r="M7" i="10"/>
  <c r="K7" i="10"/>
  <c r="I7" i="10"/>
  <c r="G7" i="10"/>
  <c r="E7" i="10"/>
  <c r="C7" i="10"/>
  <c r="S6" i="10"/>
  <c r="Q6" i="10"/>
  <c r="O6" i="10"/>
  <c r="M6" i="10"/>
  <c r="K6" i="10"/>
  <c r="I6" i="10"/>
  <c r="G6" i="10"/>
  <c r="E6" i="10"/>
  <c r="C6" i="10"/>
  <c r="S5" i="10"/>
  <c r="Q5" i="10"/>
  <c r="O5" i="10"/>
  <c r="M5" i="10"/>
  <c r="K5" i="10"/>
  <c r="I5" i="10"/>
  <c r="G5" i="10"/>
  <c r="E5" i="10"/>
  <c r="C5" i="10"/>
  <c r="S4" i="10"/>
  <c r="Q4" i="10"/>
  <c r="O4" i="10"/>
  <c r="M4" i="10"/>
  <c r="K4" i="10"/>
  <c r="I4" i="10"/>
  <c r="G4" i="10"/>
  <c r="E4" i="10"/>
  <c r="C4" i="10"/>
  <c r="S3" i="10"/>
  <c r="Q3" i="10"/>
  <c r="O3" i="10"/>
  <c r="M3" i="10"/>
  <c r="K3" i="10"/>
  <c r="I3" i="10"/>
  <c r="G3" i="10"/>
  <c r="E3" i="10"/>
  <c r="C3" i="10"/>
  <c r="R19" i="10"/>
  <c r="N19" i="10"/>
  <c r="J19" i="10"/>
  <c r="F19" i="10"/>
  <c r="P18" i="10"/>
  <c r="L18" i="10"/>
  <c r="H18" i="10"/>
  <c r="D18" i="10"/>
  <c r="R17" i="10"/>
  <c r="N17" i="10"/>
  <c r="J17" i="10"/>
  <c r="F17" i="10"/>
  <c r="P16" i="10"/>
  <c r="L16" i="10"/>
  <c r="H16" i="10"/>
  <c r="D16" i="10"/>
  <c r="R15" i="10"/>
  <c r="N15" i="10"/>
  <c r="J15" i="10"/>
  <c r="F15" i="10"/>
  <c r="P14" i="10"/>
  <c r="N14" i="10"/>
  <c r="L14" i="10"/>
  <c r="J14" i="10"/>
  <c r="H14" i="10"/>
  <c r="F14" i="10"/>
  <c r="D14" i="10"/>
  <c r="R13" i="10"/>
  <c r="P13" i="10"/>
  <c r="N13" i="10"/>
  <c r="L13" i="10"/>
  <c r="J13" i="10"/>
  <c r="H13" i="10"/>
  <c r="F13" i="10"/>
  <c r="D13" i="10"/>
  <c r="R12" i="10"/>
  <c r="P12" i="10"/>
  <c r="N12" i="10"/>
  <c r="L12" i="10"/>
  <c r="J12" i="10"/>
  <c r="H12" i="10"/>
  <c r="F12" i="10"/>
  <c r="D12" i="10"/>
  <c r="R11" i="10"/>
  <c r="P11" i="10"/>
  <c r="N11" i="10"/>
  <c r="L11" i="10"/>
  <c r="J11" i="10"/>
  <c r="H11" i="10"/>
  <c r="F11" i="10"/>
  <c r="D11" i="10"/>
  <c r="R10" i="10"/>
  <c r="P10" i="10"/>
  <c r="N10" i="10"/>
  <c r="L10" i="10"/>
  <c r="J10" i="10"/>
  <c r="H10" i="10"/>
  <c r="F10" i="10"/>
  <c r="D10" i="10"/>
  <c r="R9" i="10"/>
  <c r="P9" i="10"/>
  <c r="N9" i="10"/>
  <c r="L9" i="10"/>
  <c r="J9" i="10"/>
  <c r="H9" i="10"/>
  <c r="F9" i="10"/>
  <c r="D9" i="10"/>
  <c r="R8" i="10"/>
  <c r="P8" i="10"/>
  <c r="N8" i="10"/>
  <c r="L8" i="10"/>
  <c r="J8" i="10"/>
  <c r="H8" i="10"/>
  <c r="F8" i="10"/>
  <c r="D8" i="10"/>
  <c r="R7" i="10"/>
  <c r="P7" i="10"/>
  <c r="N7" i="10"/>
  <c r="L7" i="10"/>
  <c r="J7" i="10"/>
  <c r="H7" i="10"/>
  <c r="F7" i="10"/>
  <c r="D7" i="10"/>
  <c r="R6" i="10"/>
  <c r="P6" i="10"/>
  <c r="N6" i="10"/>
  <c r="L6" i="10"/>
  <c r="J6" i="10"/>
  <c r="H6" i="10"/>
  <c r="F6" i="10"/>
  <c r="D6" i="10"/>
  <c r="R5" i="10"/>
  <c r="P5" i="10"/>
  <c r="N5" i="10"/>
  <c r="L5" i="10"/>
  <c r="J5" i="10"/>
  <c r="H5" i="10"/>
  <c r="F5" i="10"/>
  <c r="D5" i="10"/>
  <c r="R4" i="10"/>
  <c r="P4" i="10"/>
  <c r="N4" i="10"/>
  <c r="L4" i="10"/>
  <c r="J4" i="10"/>
  <c r="H4" i="10"/>
  <c r="F4" i="10"/>
  <c r="D4" i="10"/>
  <c r="R3" i="10"/>
  <c r="P3" i="10"/>
  <c r="N3" i="10"/>
  <c r="L3" i="10"/>
  <c r="J3" i="10"/>
  <c r="H3" i="10"/>
  <c r="F3" i="10"/>
  <c r="D3" i="10"/>
  <c r="S19" i="9"/>
  <c r="Q19" i="9"/>
  <c r="O19" i="9"/>
  <c r="M19" i="9"/>
  <c r="K19" i="9"/>
  <c r="I19" i="9"/>
  <c r="G19" i="9"/>
  <c r="E19" i="9"/>
  <c r="C19" i="9"/>
  <c r="S18" i="9"/>
  <c r="Q18" i="9"/>
  <c r="O18" i="9"/>
  <c r="M18" i="9"/>
  <c r="K18" i="9"/>
  <c r="I18" i="9"/>
  <c r="G18" i="9"/>
  <c r="E18" i="9"/>
  <c r="C18" i="9"/>
  <c r="S17" i="9"/>
  <c r="Q17" i="9"/>
  <c r="O17" i="9"/>
  <c r="M17" i="9"/>
  <c r="K17" i="9"/>
  <c r="I17" i="9"/>
  <c r="G17" i="9"/>
  <c r="E17" i="9"/>
  <c r="C17" i="9"/>
  <c r="S16" i="9"/>
  <c r="Q16" i="9"/>
  <c r="O16" i="9"/>
  <c r="M16" i="9"/>
  <c r="K16" i="9"/>
  <c r="I16" i="9"/>
  <c r="G16" i="9"/>
  <c r="E16" i="9"/>
  <c r="C16" i="9"/>
  <c r="S15" i="9"/>
  <c r="Q15" i="9"/>
  <c r="O15" i="9"/>
  <c r="M15" i="9"/>
  <c r="K15" i="9"/>
  <c r="I15" i="9"/>
  <c r="G15" i="9"/>
  <c r="E15" i="9"/>
  <c r="C15" i="9"/>
  <c r="S14" i="9"/>
  <c r="Q14" i="9"/>
  <c r="P19" i="9"/>
  <c r="L19" i="9"/>
  <c r="H19" i="9"/>
  <c r="D19" i="9"/>
  <c r="R18" i="9"/>
  <c r="N18" i="9"/>
  <c r="J18" i="9"/>
  <c r="F18" i="9"/>
  <c r="P17" i="9"/>
  <c r="L17" i="9"/>
  <c r="H17" i="9"/>
  <c r="D17" i="9"/>
  <c r="R16" i="9"/>
  <c r="N16" i="9"/>
  <c r="J16" i="9"/>
  <c r="F16" i="9"/>
  <c r="P15" i="9"/>
  <c r="L15" i="9"/>
  <c r="H15" i="9"/>
  <c r="D15" i="9"/>
  <c r="R14" i="9"/>
  <c r="O14" i="9"/>
  <c r="M14" i="9"/>
  <c r="K14" i="9"/>
  <c r="I14" i="9"/>
  <c r="G14" i="9"/>
  <c r="E14" i="9"/>
  <c r="C14" i="9"/>
  <c r="S13" i="9"/>
  <c r="Q13" i="9"/>
  <c r="O13" i="9"/>
  <c r="M13" i="9"/>
  <c r="K13" i="9"/>
  <c r="I13" i="9"/>
  <c r="G13" i="9"/>
  <c r="E13" i="9"/>
  <c r="C13" i="9"/>
  <c r="S12" i="9"/>
  <c r="Q12" i="9"/>
  <c r="O12" i="9"/>
  <c r="M12" i="9"/>
  <c r="K12" i="9"/>
  <c r="I12" i="9"/>
  <c r="G12" i="9"/>
  <c r="E12" i="9"/>
  <c r="C12" i="9"/>
  <c r="S11" i="9"/>
  <c r="Q11" i="9"/>
  <c r="O11" i="9"/>
  <c r="M11" i="9"/>
  <c r="K11" i="9"/>
  <c r="I11" i="9"/>
  <c r="G11" i="9"/>
  <c r="E11" i="9"/>
  <c r="C11" i="9"/>
  <c r="S10" i="9"/>
  <c r="Q10" i="9"/>
  <c r="O10" i="9"/>
  <c r="M10" i="9"/>
  <c r="K10" i="9"/>
  <c r="I10" i="9"/>
  <c r="G10" i="9"/>
  <c r="E10" i="9"/>
  <c r="C10" i="9"/>
  <c r="S9" i="9"/>
  <c r="Q9" i="9"/>
  <c r="O9" i="9"/>
  <c r="M9" i="9"/>
  <c r="K9" i="9"/>
  <c r="I9" i="9"/>
  <c r="G9" i="9"/>
  <c r="E9" i="9"/>
  <c r="C9" i="9"/>
  <c r="S8" i="9"/>
  <c r="Q8" i="9"/>
  <c r="O8" i="9"/>
  <c r="M8" i="9"/>
  <c r="K8" i="9"/>
  <c r="I8" i="9"/>
  <c r="G8" i="9"/>
  <c r="E8" i="9"/>
  <c r="C8" i="9"/>
  <c r="S7" i="9"/>
  <c r="Q7" i="9"/>
  <c r="O7" i="9"/>
  <c r="M7" i="9"/>
  <c r="K7" i="9"/>
  <c r="I7" i="9"/>
  <c r="G7" i="9"/>
  <c r="E7" i="9"/>
  <c r="C7" i="9"/>
  <c r="S6" i="9"/>
  <c r="Q6" i="9"/>
  <c r="O6" i="9"/>
  <c r="M6" i="9"/>
  <c r="K6" i="9"/>
  <c r="I6" i="9"/>
  <c r="G6" i="9"/>
  <c r="E6" i="9"/>
  <c r="C6" i="9"/>
  <c r="S5" i="9"/>
  <c r="Q5" i="9"/>
  <c r="O5" i="9"/>
  <c r="M5" i="9"/>
  <c r="K5" i="9"/>
  <c r="I5" i="9"/>
  <c r="G5" i="9"/>
  <c r="E5" i="9"/>
  <c r="C5" i="9"/>
  <c r="S4" i="9"/>
  <c r="Q4" i="9"/>
  <c r="O4" i="9"/>
  <c r="M4" i="9"/>
  <c r="K4" i="9"/>
  <c r="I4" i="9"/>
  <c r="G4" i="9"/>
  <c r="E4" i="9"/>
  <c r="C4" i="9"/>
  <c r="S3" i="9"/>
  <c r="Q3" i="9"/>
  <c r="O3" i="9"/>
  <c r="M3" i="9"/>
  <c r="K3" i="9"/>
  <c r="I3" i="9"/>
  <c r="G3" i="9"/>
  <c r="E3" i="9"/>
  <c r="C3" i="9"/>
  <c r="R19" i="9"/>
  <c r="N19" i="9"/>
  <c r="J19" i="9"/>
  <c r="F19" i="9"/>
  <c r="P18" i="9"/>
  <c r="L18" i="9"/>
  <c r="H18" i="9"/>
  <c r="D18" i="9"/>
  <c r="R17" i="9"/>
  <c r="N17" i="9"/>
  <c r="J17" i="9"/>
  <c r="F17" i="9"/>
  <c r="P16" i="9"/>
  <c r="L16" i="9"/>
  <c r="H16" i="9"/>
  <c r="D16" i="9"/>
  <c r="R15" i="9"/>
  <c r="N15" i="9"/>
  <c r="J15" i="9"/>
  <c r="F15" i="9"/>
  <c r="P14" i="9"/>
  <c r="N14" i="9"/>
  <c r="L14" i="9"/>
  <c r="J14" i="9"/>
  <c r="H14" i="9"/>
  <c r="F14" i="9"/>
  <c r="D14" i="9"/>
  <c r="R13" i="9"/>
  <c r="P13" i="9"/>
  <c r="N13" i="9"/>
  <c r="L13" i="9"/>
  <c r="J13" i="9"/>
  <c r="H13" i="9"/>
  <c r="F13" i="9"/>
  <c r="D13" i="9"/>
  <c r="R12" i="9"/>
  <c r="P12" i="9"/>
  <c r="N12" i="9"/>
  <c r="L12" i="9"/>
  <c r="J12" i="9"/>
  <c r="H12" i="9"/>
  <c r="F12" i="9"/>
  <c r="D12" i="9"/>
  <c r="R11" i="9"/>
  <c r="P11" i="9"/>
  <c r="N11" i="9"/>
  <c r="L11" i="9"/>
  <c r="J11" i="9"/>
  <c r="H11" i="9"/>
  <c r="F11" i="9"/>
  <c r="D11" i="9"/>
  <c r="R10" i="9"/>
  <c r="P10" i="9"/>
  <c r="N10" i="9"/>
  <c r="L10" i="9"/>
  <c r="J10" i="9"/>
  <c r="H10" i="9"/>
  <c r="F10" i="9"/>
  <c r="D10" i="9"/>
  <c r="R9" i="9"/>
  <c r="P9" i="9"/>
  <c r="N9" i="9"/>
  <c r="L9" i="9"/>
  <c r="J9" i="9"/>
  <c r="H9" i="9"/>
  <c r="F9" i="9"/>
  <c r="D9" i="9"/>
  <c r="R8" i="9"/>
  <c r="P8" i="9"/>
  <c r="N8" i="9"/>
  <c r="L8" i="9"/>
  <c r="J8" i="9"/>
  <c r="H8" i="9"/>
  <c r="F8" i="9"/>
  <c r="D8" i="9"/>
  <c r="R7" i="9"/>
  <c r="P7" i="9"/>
  <c r="N7" i="9"/>
  <c r="L7" i="9"/>
  <c r="J7" i="9"/>
  <c r="H7" i="9"/>
  <c r="F7" i="9"/>
  <c r="D7" i="9"/>
  <c r="R6" i="9"/>
  <c r="P6" i="9"/>
  <c r="N6" i="9"/>
  <c r="L6" i="9"/>
  <c r="J6" i="9"/>
  <c r="H6" i="9"/>
  <c r="F6" i="9"/>
  <c r="D6" i="9"/>
  <c r="R5" i="9"/>
  <c r="P5" i="9"/>
  <c r="N5" i="9"/>
  <c r="L5" i="9"/>
  <c r="J5" i="9"/>
  <c r="H5" i="9"/>
  <c r="F5" i="9"/>
  <c r="D5" i="9"/>
  <c r="R4" i="9"/>
  <c r="P4" i="9"/>
  <c r="N4" i="9"/>
  <c r="L4" i="9"/>
  <c r="J4" i="9"/>
  <c r="H4" i="9"/>
  <c r="F4" i="9"/>
  <c r="D4" i="9"/>
  <c r="R3" i="9"/>
  <c r="P3" i="9"/>
  <c r="N3" i="9"/>
  <c r="L3" i="9"/>
  <c r="J3" i="9"/>
  <c r="H3" i="9"/>
  <c r="F3" i="9"/>
  <c r="D3" i="9"/>
  <c r="S19" i="8"/>
  <c r="Q19" i="8"/>
  <c r="O19" i="8"/>
  <c r="M19" i="8"/>
  <c r="K19" i="8"/>
  <c r="I19" i="8"/>
  <c r="G19" i="8"/>
  <c r="E19" i="8"/>
  <c r="C19" i="8"/>
  <c r="S18" i="8"/>
  <c r="Q18" i="8"/>
  <c r="O18" i="8"/>
  <c r="M18" i="8"/>
  <c r="K18" i="8"/>
  <c r="I18" i="8"/>
  <c r="G18" i="8"/>
  <c r="E18" i="8"/>
  <c r="C18" i="8"/>
  <c r="S17" i="8"/>
  <c r="Q17" i="8"/>
  <c r="O17" i="8"/>
  <c r="M17" i="8"/>
  <c r="K17" i="8"/>
  <c r="I17" i="8"/>
  <c r="G17" i="8"/>
  <c r="E17" i="8"/>
  <c r="C17" i="8"/>
  <c r="S16" i="8"/>
  <c r="Q16" i="8"/>
  <c r="O16" i="8"/>
  <c r="M16" i="8"/>
  <c r="K16" i="8"/>
  <c r="I16" i="8"/>
  <c r="G16" i="8"/>
  <c r="E16" i="8"/>
  <c r="C16" i="8"/>
  <c r="S15" i="8"/>
  <c r="Q15" i="8"/>
  <c r="O15" i="8"/>
  <c r="M15" i="8"/>
  <c r="K15" i="8"/>
  <c r="I15" i="8"/>
  <c r="G15" i="8"/>
  <c r="E15" i="8"/>
  <c r="C15" i="8"/>
  <c r="S14" i="8"/>
  <c r="Q14" i="8"/>
  <c r="P19" i="8"/>
  <c r="L19" i="8"/>
  <c r="H19" i="8"/>
  <c r="D19" i="8"/>
  <c r="R18" i="8"/>
  <c r="N18" i="8"/>
  <c r="J18" i="8"/>
  <c r="F18" i="8"/>
  <c r="P17" i="8"/>
  <c r="L17" i="8"/>
  <c r="H17" i="8"/>
  <c r="D17" i="8"/>
  <c r="R16" i="8"/>
  <c r="N16" i="8"/>
  <c r="J16" i="8"/>
  <c r="F16" i="8"/>
  <c r="P15" i="8"/>
  <c r="L15" i="8"/>
  <c r="H15" i="8"/>
  <c r="D15" i="8"/>
  <c r="R14" i="8"/>
  <c r="O14" i="8"/>
  <c r="M14" i="8"/>
  <c r="K14" i="8"/>
  <c r="I14" i="8"/>
  <c r="G14" i="8"/>
  <c r="E14" i="8"/>
  <c r="C14" i="8"/>
  <c r="S13" i="8"/>
  <c r="Q13" i="8"/>
  <c r="O13" i="8"/>
  <c r="M13" i="8"/>
  <c r="K13" i="8"/>
  <c r="I13" i="8"/>
  <c r="G13" i="8"/>
  <c r="E13" i="8"/>
  <c r="C13" i="8"/>
  <c r="S12" i="8"/>
  <c r="Q12" i="8"/>
  <c r="O12" i="8"/>
  <c r="M12" i="8"/>
  <c r="K12" i="8"/>
  <c r="I12" i="8"/>
  <c r="G12" i="8"/>
  <c r="E12" i="8"/>
  <c r="C12" i="8"/>
  <c r="S11" i="8"/>
  <c r="Q11" i="8"/>
  <c r="O11" i="8"/>
  <c r="M11" i="8"/>
  <c r="K11" i="8"/>
  <c r="I11" i="8"/>
  <c r="G11" i="8"/>
  <c r="E11" i="8"/>
  <c r="C11" i="8"/>
  <c r="S10" i="8"/>
  <c r="Q10" i="8"/>
  <c r="O10" i="8"/>
  <c r="M10" i="8"/>
  <c r="K10" i="8"/>
  <c r="I10" i="8"/>
  <c r="G10" i="8"/>
  <c r="E10" i="8"/>
  <c r="C10" i="8"/>
  <c r="S9" i="8"/>
  <c r="Q9" i="8"/>
  <c r="O9" i="8"/>
  <c r="M9" i="8"/>
  <c r="K9" i="8"/>
  <c r="I9" i="8"/>
  <c r="G9" i="8"/>
  <c r="E9" i="8"/>
  <c r="C9" i="8"/>
  <c r="S8" i="8"/>
  <c r="Q8" i="8"/>
  <c r="O8" i="8"/>
  <c r="M8" i="8"/>
  <c r="K8" i="8"/>
  <c r="I8" i="8"/>
  <c r="G8" i="8"/>
  <c r="E8" i="8"/>
  <c r="C8" i="8"/>
  <c r="S7" i="8"/>
  <c r="Q7" i="8"/>
  <c r="O7" i="8"/>
  <c r="M7" i="8"/>
  <c r="K7" i="8"/>
  <c r="I7" i="8"/>
  <c r="G7" i="8"/>
  <c r="E7" i="8"/>
  <c r="C7" i="8"/>
  <c r="S6" i="8"/>
  <c r="Q6" i="8"/>
  <c r="O6" i="8"/>
  <c r="M6" i="8"/>
  <c r="K6" i="8"/>
  <c r="I6" i="8"/>
  <c r="G6" i="8"/>
  <c r="E6" i="8"/>
  <c r="C6" i="8"/>
  <c r="S5" i="8"/>
  <c r="Q5" i="8"/>
  <c r="O5" i="8"/>
  <c r="M5" i="8"/>
  <c r="K5" i="8"/>
  <c r="I5" i="8"/>
  <c r="G5" i="8"/>
  <c r="E5" i="8"/>
  <c r="C5" i="8"/>
  <c r="S4" i="8"/>
  <c r="Q4" i="8"/>
  <c r="O4" i="8"/>
  <c r="M4" i="8"/>
  <c r="K4" i="8"/>
  <c r="I4" i="8"/>
  <c r="G4" i="8"/>
  <c r="E4" i="8"/>
  <c r="C4" i="8"/>
  <c r="S3" i="8"/>
  <c r="Q3" i="8"/>
  <c r="O3" i="8"/>
  <c r="M3" i="8"/>
  <c r="K3" i="8"/>
  <c r="I3" i="8"/>
  <c r="G3" i="8"/>
  <c r="E3" i="8"/>
  <c r="C3" i="8"/>
  <c r="R19" i="8"/>
  <c r="N19" i="8"/>
  <c r="J19" i="8"/>
  <c r="F19" i="8"/>
  <c r="P18" i="8"/>
  <c r="L18" i="8"/>
  <c r="H18" i="8"/>
  <c r="D18" i="8"/>
  <c r="R17" i="8"/>
  <c r="N17" i="8"/>
  <c r="J17" i="8"/>
  <c r="F17" i="8"/>
  <c r="P16" i="8"/>
  <c r="L16" i="8"/>
  <c r="H16" i="8"/>
  <c r="D16" i="8"/>
  <c r="R15" i="8"/>
  <c r="N15" i="8"/>
  <c r="J15" i="8"/>
  <c r="F15" i="8"/>
  <c r="P14" i="8"/>
  <c r="N14" i="8"/>
  <c r="L14" i="8"/>
  <c r="J14" i="8"/>
  <c r="H14" i="8"/>
  <c r="F14" i="8"/>
  <c r="D14" i="8"/>
  <c r="R13" i="8"/>
  <c r="P13" i="8"/>
  <c r="N13" i="8"/>
  <c r="L13" i="8"/>
  <c r="J13" i="8"/>
  <c r="H13" i="8"/>
  <c r="F13" i="8"/>
  <c r="D13" i="8"/>
  <c r="R12" i="8"/>
  <c r="P12" i="8"/>
  <c r="N12" i="8"/>
  <c r="L12" i="8"/>
  <c r="J12" i="8"/>
  <c r="H12" i="8"/>
  <c r="F12" i="8"/>
  <c r="D12" i="8"/>
  <c r="R11" i="8"/>
  <c r="P11" i="8"/>
  <c r="N11" i="8"/>
  <c r="L11" i="8"/>
  <c r="J11" i="8"/>
  <c r="H11" i="8"/>
  <c r="F11" i="8"/>
  <c r="D11" i="8"/>
  <c r="R10" i="8"/>
  <c r="P10" i="8"/>
  <c r="N10" i="8"/>
  <c r="L10" i="8"/>
  <c r="J10" i="8"/>
  <c r="H10" i="8"/>
  <c r="F10" i="8"/>
  <c r="D10" i="8"/>
  <c r="R9" i="8"/>
  <c r="P9" i="8"/>
  <c r="N9" i="8"/>
  <c r="L9" i="8"/>
  <c r="J9" i="8"/>
  <c r="H9" i="8"/>
  <c r="F9" i="8"/>
  <c r="D9" i="8"/>
  <c r="R8" i="8"/>
  <c r="P8" i="8"/>
  <c r="N8" i="8"/>
  <c r="L8" i="8"/>
  <c r="J8" i="8"/>
  <c r="H8" i="8"/>
  <c r="F8" i="8"/>
  <c r="D8" i="8"/>
  <c r="R7" i="8"/>
  <c r="P7" i="8"/>
  <c r="N7" i="8"/>
  <c r="L7" i="8"/>
  <c r="J7" i="8"/>
  <c r="H7" i="8"/>
  <c r="F7" i="8"/>
  <c r="D7" i="8"/>
  <c r="R6" i="8"/>
  <c r="P6" i="8"/>
  <c r="N6" i="8"/>
  <c r="L6" i="8"/>
  <c r="J6" i="8"/>
  <c r="H6" i="8"/>
  <c r="F6" i="8"/>
  <c r="D6" i="8"/>
  <c r="R5" i="8"/>
  <c r="P5" i="8"/>
  <c r="N5" i="8"/>
  <c r="L5" i="8"/>
  <c r="J5" i="8"/>
  <c r="H5" i="8"/>
  <c r="F5" i="8"/>
  <c r="D5" i="8"/>
  <c r="R4" i="8"/>
  <c r="P4" i="8"/>
  <c r="N4" i="8"/>
  <c r="L4" i="8"/>
  <c r="J4" i="8"/>
  <c r="H4" i="8"/>
  <c r="F4" i="8"/>
  <c r="D4" i="8"/>
  <c r="R3" i="8"/>
  <c r="P3" i="8"/>
  <c r="N3" i="8"/>
  <c r="L3" i="8"/>
  <c r="J3" i="8"/>
  <c r="H3" i="8"/>
  <c r="F3" i="8"/>
  <c r="D3" i="8"/>
  <c r="S19" i="7"/>
  <c r="Q19" i="7"/>
  <c r="O19" i="7"/>
  <c r="M19" i="7"/>
  <c r="K19" i="7"/>
  <c r="I19" i="7"/>
  <c r="G19" i="7"/>
  <c r="E19" i="7"/>
  <c r="C19" i="7"/>
  <c r="S18" i="7"/>
  <c r="Q18" i="7"/>
  <c r="O18" i="7"/>
  <c r="M18" i="7"/>
  <c r="K18" i="7"/>
  <c r="I18" i="7"/>
  <c r="G18" i="7"/>
  <c r="E18" i="7"/>
  <c r="C18" i="7"/>
  <c r="S17" i="7"/>
  <c r="Q17" i="7"/>
  <c r="O17" i="7"/>
  <c r="M17" i="7"/>
  <c r="K17" i="7"/>
  <c r="I17" i="7"/>
  <c r="G17" i="7"/>
  <c r="E17" i="7"/>
  <c r="C17" i="7"/>
  <c r="S16" i="7"/>
  <c r="Q16" i="7"/>
  <c r="O16" i="7"/>
  <c r="M16" i="7"/>
  <c r="K16" i="7"/>
  <c r="I16" i="7"/>
  <c r="G16" i="7"/>
  <c r="E16" i="7"/>
  <c r="C16" i="7"/>
  <c r="S15" i="7"/>
  <c r="Q15" i="7"/>
  <c r="O15" i="7"/>
  <c r="M15" i="7"/>
  <c r="K15" i="7"/>
  <c r="I15" i="7"/>
  <c r="G15" i="7"/>
  <c r="E15" i="7"/>
  <c r="C15" i="7"/>
  <c r="S14" i="7"/>
  <c r="Q14" i="7"/>
  <c r="P19" i="7"/>
  <c r="L19" i="7"/>
  <c r="H19" i="7"/>
  <c r="D19" i="7"/>
  <c r="R18" i="7"/>
  <c r="N18" i="7"/>
  <c r="J18" i="7"/>
  <c r="F18" i="7"/>
  <c r="P17" i="7"/>
  <c r="L17" i="7"/>
  <c r="H17" i="7"/>
  <c r="D17" i="7"/>
  <c r="R16" i="7"/>
  <c r="N16" i="7"/>
  <c r="J16" i="7"/>
  <c r="F16" i="7"/>
  <c r="P15" i="7"/>
  <c r="L15" i="7"/>
  <c r="H15" i="7"/>
  <c r="D15" i="7"/>
  <c r="R14" i="7"/>
  <c r="O14" i="7"/>
  <c r="M14" i="7"/>
  <c r="K14" i="7"/>
  <c r="I14" i="7"/>
  <c r="G14" i="7"/>
  <c r="E14" i="7"/>
  <c r="C14" i="7"/>
  <c r="S13" i="7"/>
  <c r="Q13" i="7"/>
  <c r="O13" i="7"/>
  <c r="M13" i="7"/>
  <c r="K13" i="7"/>
  <c r="I13" i="7"/>
  <c r="G13" i="7"/>
  <c r="E13" i="7"/>
  <c r="C13" i="7"/>
  <c r="S12" i="7"/>
  <c r="Q12" i="7"/>
  <c r="O12" i="7"/>
  <c r="M12" i="7"/>
  <c r="K12" i="7"/>
  <c r="I12" i="7"/>
  <c r="G12" i="7"/>
  <c r="E12" i="7"/>
  <c r="C12" i="7"/>
  <c r="S11" i="7"/>
  <c r="Q11" i="7"/>
  <c r="O11" i="7"/>
  <c r="M11" i="7"/>
  <c r="K11" i="7"/>
  <c r="I11" i="7"/>
  <c r="G11" i="7"/>
  <c r="E11" i="7"/>
  <c r="C11" i="7"/>
  <c r="S10" i="7"/>
  <c r="Q10" i="7"/>
  <c r="O10" i="7"/>
  <c r="M10" i="7"/>
  <c r="K10" i="7"/>
  <c r="I10" i="7"/>
  <c r="G10" i="7"/>
  <c r="E10" i="7"/>
  <c r="C10" i="7"/>
  <c r="S9" i="7"/>
  <c r="Q9" i="7"/>
  <c r="O9" i="7"/>
  <c r="M9" i="7"/>
  <c r="K9" i="7"/>
  <c r="I9" i="7"/>
  <c r="G9" i="7"/>
  <c r="E9" i="7"/>
  <c r="C9" i="7"/>
  <c r="S8" i="7"/>
  <c r="Q8" i="7"/>
  <c r="O8" i="7"/>
  <c r="M8" i="7"/>
  <c r="K8" i="7"/>
  <c r="I8" i="7"/>
  <c r="G8" i="7"/>
  <c r="E8" i="7"/>
  <c r="C8" i="7"/>
  <c r="S7" i="7"/>
  <c r="Q7" i="7"/>
  <c r="O7" i="7"/>
  <c r="M7" i="7"/>
  <c r="K7" i="7"/>
  <c r="I7" i="7"/>
  <c r="G7" i="7"/>
  <c r="E7" i="7"/>
  <c r="C7" i="7"/>
  <c r="S6" i="7"/>
  <c r="Q6" i="7"/>
  <c r="O6" i="7"/>
  <c r="M6" i="7"/>
  <c r="K6" i="7"/>
  <c r="I6" i="7"/>
  <c r="G6" i="7"/>
  <c r="E6" i="7"/>
  <c r="C6" i="7"/>
  <c r="S5" i="7"/>
  <c r="Q5" i="7"/>
  <c r="O5" i="7"/>
  <c r="M5" i="7"/>
  <c r="K5" i="7"/>
  <c r="I5" i="7"/>
  <c r="G5" i="7"/>
  <c r="E5" i="7"/>
  <c r="C5" i="7"/>
  <c r="S4" i="7"/>
  <c r="Q4" i="7"/>
  <c r="O4" i="7"/>
  <c r="M4" i="7"/>
  <c r="K4" i="7"/>
  <c r="I4" i="7"/>
  <c r="G4" i="7"/>
  <c r="E4" i="7"/>
  <c r="C4" i="7"/>
  <c r="S3" i="7"/>
  <c r="Q3" i="7"/>
  <c r="O3" i="7"/>
  <c r="M3" i="7"/>
  <c r="K3" i="7"/>
  <c r="I3" i="7"/>
  <c r="G3" i="7"/>
  <c r="E3" i="7"/>
  <c r="C3" i="7"/>
  <c r="R19" i="7"/>
  <c r="N19" i="7"/>
  <c r="J19" i="7"/>
  <c r="F19" i="7"/>
  <c r="P18" i="7"/>
  <c r="L18" i="7"/>
  <c r="H18" i="7"/>
  <c r="D18" i="7"/>
  <c r="R17" i="7"/>
  <c r="N17" i="7"/>
  <c r="J17" i="7"/>
  <c r="F17" i="7"/>
  <c r="P16" i="7"/>
  <c r="L16" i="7"/>
  <c r="H16" i="7"/>
  <c r="D16" i="7"/>
  <c r="R15" i="7"/>
  <c r="N15" i="7"/>
  <c r="J15" i="7"/>
  <c r="F15" i="7"/>
  <c r="P14" i="7"/>
  <c r="N14" i="7"/>
  <c r="L14" i="7"/>
  <c r="J14" i="7"/>
  <c r="H14" i="7"/>
  <c r="F14" i="7"/>
  <c r="D14" i="7"/>
  <c r="R13" i="7"/>
  <c r="P13" i="7"/>
  <c r="N13" i="7"/>
  <c r="L13" i="7"/>
  <c r="J13" i="7"/>
  <c r="H13" i="7"/>
  <c r="F13" i="7"/>
  <c r="D13" i="7"/>
  <c r="R12" i="7"/>
  <c r="P12" i="7"/>
  <c r="N12" i="7"/>
  <c r="L12" i="7"/>
  <c r="J12" i="7"/>
  <c r="H12" i="7"/>
  <c r="F12" i="7"/>
  <c r="D12" i="7"/>
  <c r="R11" i="7"/>
  <c r="P11" i="7"/>
  <c r="N11" i="7"/>
  <c r="L11" i="7"/>
  <c r="J11" i="7"/>
  <c r="H11" i="7"/>
  <c r="F11" i="7"/>
  <c r="D11" i="7"/>
  <c r="R10" i="7"/>
  <c r="P10" i="7"/>
  <c r="N10" i="7"/>
  <c r="L10" i="7"/>
  <c r="J10" i="7"/>
  <c r="H10" i="7"/>
  <c r="F10" i="7"/>
  <c r="D10" i="7"/>
  <c r="R9" i="7"/>
  <c r="P9" i="7"/>
  <c r="N9" i="7"/>
  <c r="L9" i="7"/>
  <c r="J9" i="7"/>
  <c r="H9" i="7"/>
  <c r="F9" i="7"/>
  <c r="D9" i="7"/>
  <c r="R8" i="7"/>
  <c r="P8" i="7"/>
  <c r="N8" i="7"/>
  <c r="L8" i="7"/>
  <c r="J8" i="7"/>
  <c r="H8" i="7"/>
  <c r="F8" i="7"/>
  <c r="D8" i="7"/>
  <c r="R7" i="7"/>
  <c r="P7" i="7"/>
  <c r="N7" i="7"/>
  <c r="L7" i="7"/>
  <c r="J7" i="7"/>
  <c r="H7" i="7"/>
  <c r="F7" i="7"/>
  <c r="D7" i="7"/>
  <c r="R6" i="7"/>
  <c r="P6" i="7"/>
  <c r="N6" i="7"/>
  <c r="L6" i="7"/>
  <c r="J6" i="7"/>
  <c r="H6" i="7"/>
  <c r="F6" i="7"/>
  <c r="D6" i="7"/>
  <c r="R5" i="7"/>
  <c r="P5" i="7"/>
  <c r="N5" i="7"/>
  <c r="L5" i="7"/>
  <c r="J5" i="7"/>
  <c r="H5" i="7"/>
  <c r="F5" i="7"/>
  <c r="D5" i="7"/>
  <c r="R4" i="7"/>
  <c r="P4" i="7"/>
  <c r="N4" i="7"/>
  <c r="L4" i="7"/>
  <c r="J4" i="7"/>
  <c r="H4" i="7"/>
  <c r="F4" i="7"/>
  <c r="D4" i="7"/>
  <c r="R3" i="7"/>
  <c r="P3" i="7"/>
  <c r="N3" i="7"/>
  <c r="L3" i="7"/>
  <c r="J3" i="7"/>
  <c r="H3" i="7"/>
  <c r="F3" i="7"/>
  <c r="D3" i="7"/>
  <c r="F39" i="10" l="1"/>
  <c r="E42" i="10" s="1"/>
  <c r="F39" i="9"/>
  <c r="K40" i="9" s="1"/>
  <c r="F39" i="8"/>
  <c r="E42" i="8" s="1"/>
  <c r="F39" i="7"/>
  <c r="K40" i="7" s="1"/>
  <c r="W40" i="10"/>
  <c r="G34" i="10" s="1"/>
  <c r="E34" i="10"/>
  <c r="D34" i="10" s="1"/>
  <c r="Y40" i="10"/>
  <c r="AA40" i="10"/>
  <c r="AC40" i="10"/>
  <c r="AE40" i="10"/>
  <c r="AG40" i="10"/>
  <c r="AI40" i="10"/>
  <c r="AK40" i="10"/>
  <c r="W41" i="10"/>
  <c r="Y41" i="10"/>
  <c r="AA41" i="10"/>
  <c r="AC41" i="10"/>
  <c r="AE41" i="10"/>
  <c r="AG41" i="10"/>
  <c r="AI41" i="10"/>
  <c r="AK41" i="10"/>
  <c r="W42" i="10"/>
  <c r="Y42" i="10"/>
  <c r="AA42" i="10"/>
  <c r="AC42" i="10"/>
  <c r="AE42" i="10"/>
  <c r="AG42" i="10"/>
  <c r="AI42" i="10"/>
  <c r="AK42" i="10"/>
  <c r="W43" i="10"/>
  <c r="Y43" i="10"/>
  <c r="AA43" i="10"/>
  <c r="AC43" i="10"/>
  <c r="AE43" i="10"/>
  <c r="AG43" i="10"/>
  <c r="AI43" i="10"/>
  <c r="AK43" i="10"/>
  <c r="W44" i="10"/>
  <c r="Y44" i="10"/>
  <c r="AA44" i="10"/>
  <c r="E26" i="10"/>
  <c r="D26" i="10" s="1"/>
  <c r="AC44" i="10"/>
  <c r="G26" i="10" s="1"/>
  <c r="AE44" i="10"/>
  <c r="AG44" i="10"/>
  <c r="AI44" i="10"/>
  <c r="AK44" i="10"/>
  <c r="W45" i="10"/>
  <c r="Y45" i="10"/>
  <c r="AA45" i="10"/>
  <c r="AC45" i="10"/>
  <c r="AE45" i="10"/>
  <c r="G28" i="10" s="1"/>
  <c r="E28" i="10"/>
  <c r="D28" i="10" s="1"/>
  <c r="AG45" i="10"/>
  <c r="AI45" i="10"/>
  <c r="AK45" i="10"/>
  <c r="W46" i="10"/>
  <c r="Y46" i="10"/>
  <c r="AA46" i="10"/>
  <c r="AC46" i="10"/>
  <c r="AE46" i="10"/>
  <c r="AG46" i="10"/>
  <c r="AI46" i="10"/>
  <c r="AK46" i="10"/>
  <c r="W47" i="10"/>
  <c r="Y47" i="10"/>
  <c r="AA47" i="10"/>
  <c r="G27" i="10" s="1"/>
  <c r="E27" i="10"/>
  <c r="D27" i="10" s="1"/>
  <c r="AC47" i="10"/>
  <c r="AE47" i="10"/>
  <c r="AG47" i="10"/>
  <c r="AI47" i="10"/>
  <c r="AK47" i="10"/>
  <c r="W48" i="10"/>
  <c r="Y48" i="10"/>
  <c r="AA48" i="10"/>
  <c r="AC48" i="10"/>
  <c r="AE48" i="10"/>
  <c r="AG48" i="10"/>
  <c r="AI48" i="10"/>
  <c r="AK48" i="10"/>
  <c r="W49" i="10"/>
  <c r="Y49" i="10"/>
  <c r="AA49" i="10"/>
  <c r="AC49" i="10"/>
  <c r="AE49" i="10"/>
  <c r="AG49" i="10"/>
  <c r="AI49" i="10"/>
  <c r="AK49" i="10"/>
  <c r="W50" i="10"/>
  <c r="E30" i="10"/>
  <c r="D30" i="10" s="1"/>
  <c r="Y50" i="10"/>
  <c r="G30" i="10" s="1"/>
  <c r="AA50" i="10"/>
  <c r="AC50" i="10"/>
  <c r="AE50" i="10"/>
  <c r="AG50" i="10"/>
  <c r="AI50" i="10"/>
  <c r="AK50" i="10"/>
  <c r="W51" i="10"/>
  <c r="Y51" i="10"/>
  <c r="AA51" i="10"/>
  <c r="AC51" i="10"/>
  <c r="AE51" i="10"/>
  <c r="AG51" i="10"/>
  <c r="AI51" i="10"/>
  <c r="Y52" i="10"/>
  <c r="AC52" i="10"/>
  <c r="AG52" i="10"/>
  <c r="AK52" i="10"/>
  <c r="W53" i="10"/>
  <c r="AA53" i="10"/>
  <c r="AE53" i="10"/>
  <c r="AI53" i="10"/>
  <c r="Y54" i="10"/>
  <c r="AC54" i="10"/>
  <c r="AG54" i="10"/>
  <c r="AK54" i="10"/>
  <c r="W55" i="10"/>
  <c r="AA55" i="10"/>
  <c r="AE55" i="10"/>
  <c r="AI55" i="10"/>
  <c r="Y56" i="10"/>
  <c r="AC56" i="10"/>
  <c r="AG56" i="10"/>
  <c r="AK56" i="10"/>
  <c r="G38" i="10" s="1"/>
  <c r="E38" i="10"/>
  <c r="D38" i="10" s="1"/>
  <c r="V40" i="10"/>
  <c r="X40" i="10"/>
  <c r="Z40" i="10"/>
  <c r="AB40" i="10"/>
  <c r="AD40" i="10"/>
  <c r="AF40" i="10"/>
  <c r="AH40" i="10"/>
  <c r="AJ40" i="10"/>
  <c r="AL40" i="10"/>
  <c r="V41" i="10"/>
  <c r="X41" i="10"/>
  <c r="G35" i="10" s="1"/>
  <c r="E35" i="10"/>
  <c r="D35" i="10" s="1"/>
  <c r="Z41" i="10"/>
  <c r="AB41" i="10"/>
  <c r="AD41" i="10"/>
  <c r="AF41" i="10"/>
  <c r="AH41" i="10"/>
  <c r="AJ41" i="10"/>
  <c r="AL41" i="10"/>
  <c r="V42" i="10"/>
  <c r="X42" i="10"/>
  <c r="Z42" i="10"/>
  <c r="AB42" i="10"/>
  <c r="AD42" i="10"/>
  <c r="AF42" i="10"/>
  <c r="AH42" i="10"/>
  <c r="AJ42" i="10"/>
  <c r="G36" i="10" s="1"/>
  <c r="E36" i="10"/>
  <c r="D36" i="10" s="1"/>
  <c r="AL42" i="10"/>
  <c r="V43" i="10"/>
  <c r="X43" i="10"/>
  <c r="Z43" i="10"/>
  <c r="AB43" i="10"/>
  <c r="AD43" i="10"/>
  <c r="AF43" i="10"/>
  <c r="E31" i="10"/>
  <c r="D31" i="10" s="1"/>
  <c r="AH43" i="10"/>
  <c r="G31" i="10" s="1"/>
  <c r="AJ43" i="10"/>
  <c r="AL43" i="10"/>
  <c r="V44" i="10"/>
  <c r="X44" i="10"/>
  <c r="Z44" i="10"/>
  <c r="AB44" i="10"/>
  <c r="AD44" i="10"/>
  <c r="AF44" i="10"/>
  <c r="AH44" i="10"/>
  <c r="AJ44" i="10"/>
  <c r="AL44" i="10"/>
  <c r="V45" i="10"/>
  <c r="X45" i="10"/>
  <c r="Z45" i="10"/>
  <c r="AB45" i="10"/>
  <c r="AD45" i="10"/>
  <c r="AF45" i="10"/>
  <c r="AH45" i="10"/>
  <c r="AJ45" i="10"/>
  <c r="AL45" i="10"/>
  <c r="V46" i="10"/>
  <c r="X46" i="10"/>
  <c r="Z46" i="10"/>
  <c r="AB46" i="10"/>
  <c r="E24" i="10"/>
  <c r="D24" i="10" s="1"/>
  <c r="AD46" i="10"/>
  <c r="G24" i="10" s="1"/>
  <c r="AF46" i="10"/>
  <c r="AH46" i="10"/>
  <c r="AJ46" i="10"/>
  <c r="AL46" i="10"/>
  <c r="V47" i="10"/>
  <c r="X47" i="10"/>
  <c r="Z47" i="10"/>
  <c r="AB47" i="10"/>
  <c r="AD47" i="10"/>
  <c r="AF47" i="10"/>
  <c r="AH47" i="10"/>
  <c r="AJ47" i="10"/>
  <c r="AL47" i="10"/>
  <c r="V48" i="10"/>
  <c r="X48" i="10"/>
  <c r="Z48" i="10"/>
  <c r="G25" i="10" s="1"/>
  <c r="E25" i="10"/>
  <c r="D25" i="10" s="1"/>
  <c r="AB48" i="10"/>
  <c r="AD48" i="10"/>
  <c r="AF48" i="10"/>
  <c r="AH48" i="10"/>
  <c r="AJ48" i="10"/>
  <c r="AL48" i="10"/>
  <c r="V49" i="10"/>
  <c r="X49" i="10"/>
  <c r="Z49" i="10"/>
  <c r="AB49" i="10"/>
  <c r="AD49" i="10"/>
  <c r="AF49" i="10"/>
  <c r="G29" i="10" s="1"/>
  <c r="E29" i="10"/>
  <c r="D29" i="10" s="1"/>
  <c r="AH49" i="10"/>
  <c r="AJ49" i="10"/>
  <c r="AL49" i="10"/>
  <c r="V50" i="10"/>
  <c r="X50" i="10"/>
  <c r="Z50" i="10"/>
  <c r="AB50" i="10"/>
  <c r="AD50" i="10"/>
  <c r="AF50" i="10"/>
  <c r="AH50" i="10"/>
  <c r="AJ50" i="10"/>
  <c r="AL50" i="10"/>
  <c r="V51" i="10"/>
  <c r="X51" i="10"/>
  <c r="Z51" i="10"/>
  <c r="AB51" i="10"/>
  <c r="G23" i="10" s="1"/>
  <c r="E23" i="10"/>
  <c r="D23" i="10" s="1"/>
  <c r="AD51" i="10"/>
  <c r="AF51" i="10"/>
  <c r="AH51" i="10"/>
  <c r="AK51" i="10"/>
  <c r="W52" i="10"/>
  <c r="AA52" i="10"/>
  <c r="AE52" i="10"/>
  <c r="E32" i="10"/>
  <c r="D32" i="10" s="1"/>
  <c r="AI52" i="10"/>
  <c r="G32" i="10" s="1"/>
  <c r="Y53" i="10"/>
  <c r="AC53" i="10"/>
  <c r="AG53" i="10"/>
  <c r="AK53" i="10"/>
  <c r="W54" i="10"/>
  <c r="AA54" i="10"/>
  <c r="AE54" i="10"/>
  <c r="AI54" i="10"/>
  <c r="Y55" i="10"/>
  <c r="AC55" i="10"/>
  <c r="AG55" i="10"/>
  <c r="AK55" i="10"/>
  <c r="W56" i="10"/>
  <c r="AA56" i="10"/>
  <c r="AE56" i="10"/>
  <c r="AI56" i="10"/>
  <c r="AJ51" i="10"/>
  <c r="AL51" i="10"/>
  <c r="V52" i="10"/>
  <c r="X52" i="10"/>
  <c r="Z52" i="10"/>
  <c r="AB52" i="10"/>
  <c r="AD52" i="10"/>
  <c r="AF52" i="10"/>
  <c r="AH52" i="10"/>
  <c r="AJ52" i="10"/>
  <c r="AL52" i="10"/>
  <c r="V53" i="10"/>
  <c r="G33" i="10" s="1"/>
  <c r="E33" i="10"/>
  <c r="D33" i="10" s="1"/>
  <c r="X53" i="10"/>
  <c r="Z53" i="10"/>
  <c r="AB53" i="10"/>
  <c r="AD53" i="10"/>
  <c r="AF53" i="10"/>
  <c r="AH53" i="10"/>
  <c r="AJ53" i="10"/>
  <c r="AL53" i="10"/>
  <c r="V54" i="10"/>
  <c r="X54" i="10"/>
  <c r="Z54" i="10"/>
  <c r="AB54" i="10"/>
  <c r="AD54" i="10"/>
  <c r="AF54" i="10"/>
  <c r="AH54" i="10"/>
  <c r="AJ54" i="10"/>
  <c r="AL54" i="10"/>
  <c r="G37" i="10" s="1"/>
  <c r="E37" i="10"/>
  <c r="D37" i="10" s="1"/>
  <c r="V55" i="10"/>
  <c r="X55" i="10"/>
  <c r="Z55" i="10"/>
  <c r="AB55" i="10"/>
  <c r="AD55" i="10"/>
  <c r="AF55" i="10"/>
  <c r="AH55" i="10"/>
  <c r="AJ55" i="10"/>
  <c r="AL55" i="10"/>
  <c r="V56" i="10"/>
  <c r="X56" i="10"/>
  <c r="Z56" i="10"/>
  <c r="AB56" i="10"/>
  <c r="AD56" i="10"/>
  <c r="AF56" i="10"/>
  <c r="AH56" i="10"/>
  <c r="AJ56" i="10"/>
  <c r="AL56" i="10"/>
  <c r="H39" i="10"/>
  <c r="G47" i="10" s="1"/>
  <c r="W40" i="9"/>
  <c r="G34" i="9" s="1"/>
  <c r="E34" i="9"/>
  <c r="D34" i="9" s="1"/>
  <c r="Y40" i="9"/>
  <c r="AA40" i="9"/>
  <c r="AC40" i="9"/>
  <c r="AE40" i="9"/>
  <c r="AG40" i="9"/>
  <c r="AI40" i="9"/>
  <c r="AK40" i="9"/>
  <c r="W41" i="9"/>
  <c r="Y41" i="9"/>
  <c r="AA41" i="9"/>
  <c r="AC41" i="9"/>
  <c r="AE41" i="9"/>
  <c r="AG41" i="9"/>
  <c r="AI41" i="9"/>
  <c r="AK41" i="9"/>
  <c r="W42" i="9"/>
  <c r="Y42" i="9"/>
  <c r="AA42" i="9"/>
  <c r="AC42" i="9"/>
  <c r="AE42" i="9"/>
  <c r="AG42" i="9"/>
  <c r="AI42" i="9"/>
  <c r="AK42" i="9"/>
  <c r="W43" i="9"/>
  <c r="Y43" i="9"/>
  <c r="AA43" i="9"/>
  <c r="AC43" i="9"/>
  <c r="AE43" i="9"/>
  <c r="AG43" i="9"/>
  <c r="AI43" i="9"/>
  <c r="AK43" i="9"/>
  <c r="W44" i="9"/>
  <c r="Y44" i="9"/>
  <c r="AA44" i="9"/>
  <c r="E26" i="9"/>
  <c r="D26" i="9" s="1"/>
  <c r="AC44" i="9"/>
  <c r="G26" i="9" s="1"/>
  <c r="AE44" i="9"/>
  <c r="AG44" i="9"/>
  <c r="AI44" i="9"/>
  <c r="AK44" i="9"/>
  <c r="W45" i="9"/>
  <c r="Y45" i="9"/>
  <c r="AA45" i="9"/>
  <c r="AC45" i="9"/>
  <c r="AE45" i="9"/>
  <c r="G28" i="9" s="1"/>
  <c r="E28" i="9"/>
  <c r="D28" i="9" s="1"/>
  <c r="AG45" i="9"/>
  <c r="AI45" i="9"/>
  <c r="AK45" i="9"/>
  <c r="W46" i="9"/>
  <c r="Y46" i="9"/>
  <c r="AA46" i="9"/>
  <c r="AC46" i="9"/>
  <c r="AE46" i="9"/>
  <c r="AG46" i="9"/>
  <c r="AI46" i="9"/>
  <c r="AK46" i="9"/>
  <c r="W47" i="9"/>
  <c r="Y47" i="9"/>
  <c r="AA47" i="9"/>
  <c r="G27" i="9" s="1"/>
  <c r="E27" i="9"/>
  <c r="D27" i="9" s="1"/>
  <c r="AC47" i="9"/>
  <c r="AE47" i="9"/>
  <c r="AG47" i="9"/>
  <c r="AI47" i="9"/>
  <c r="AK47" i="9"/>
  <c r="W48" i="9"/>
  <c r="Y48" i="9"/>
  <c r="AA48" i="9"/>
  <c r="AC48" i="9"/>
  <c r="AE48" i="9"/>
  <c r="AG48" i="9"/>
  <c r="AI48" i="9"/>
  <c r="AK48" i="9"/>
  <c r="W49" i="9"/>
  <c r="Y49" i="9"/>
  <c r="AA49" i="9"/>
  <c r="AC49" i="9"/>
  <c r="AE49" i="9"/>
  <c r="AG49" i="9"/>
  <c r="AI49" i="9"/>
  <c r="AK49" i="9"/>
  <c r="W50" i="9"/>
  <c r="E30" i="9"/>
  <c r="D30" i="9" s="1"/>
  <c r="Y50" i="9"/>
  <c r="G30" i="9" s="1"/>
  <c r="AA50" i="9"/>
  <c r="AC50" i="9"/>
  <c r="AE50" i="9"/>
  <c r="AG50" i="9"/>
  <c r="AI50" i="9"/>
  <c r="AK50" i="9"/>
  <c r="W51" i="9"/>
  <c r="Y51" i="9"/>
  <c r="AA51" i="9"/>
  <c r="AC51" i="9"/>
  <c r="AE51" i="9"/>
  <c r="AG51" i="9"/>
  <c r="AI51" i="9"/>
  <c r="Y52" i="9"/>
  <c r="AC52" i="9"/>
  <c r="AG52" i="9"/>
  <c r="AK52" i="9"/>
  <c r="W53" i="9"/>
  <c r="AA53" i="9"/>
  <c r="AE53" i="9"/>
  <c r="AI53" i="9"/>
  <c r="Y54" i="9"/>
  <c r="AC54" i="9"/>
  <c r="AG54" i="9"/>
  <c r="AK54" i="9"/>
  <c r="W55" i="9"/>
  <c r="AA55" i="9"/>
  <c r="AE55" i="9"/>
  <c r="AI55" i="9"/>
  <c r="Y56" i="9"/>
  <c r="AC56" i="9"/>
  <c r="AG56" i="9"/>
  <c r="AK56" i="9"/>
  <c r="G38" i="9" s="1"/>
  <c r="E38" i="9"/>
  <c r="D38" i="9" s="1"/>
  <c r="V40" i="9"/>
  <c r="X40" i="9"/>
  <c r="Z40" i="9"/>
  <c r="AB40" i="9"/>
  <c r="AD40" i="9"/>
  <c r="AF40" i="9"/>
  <c r="AH40" i="9"/>
  <c r="AJ40" i="9"/>
  <c r="AL40" i="9"/>
  <c r="V41" i="9"/>
  <c r="X41" i="9"/>
  <c r="G35" i="9" s="1"/>
  <c r="E35" i="9"/>
  <c r="D35" i="9" s="1"/>
  <c r="Z41" i="9"/>
  <c r="AB41" i="9"/>
  <c r="AD41" i="9"/>
  <c r="AF41" i="9"/>
  <c r="AH41" i="9"/>
  <c r="AJ41" i="9"/>
  <c r="AL41" i="9"/>
  <c r="V42" i="9"/>
  <c r="X42" i="9"/>
  <c r="Z42" i="9"/>
  <c r="AB42" i="9"/>
  <c r="AD42" i="9"/>
  <c r="AF42" i="9"/>
  <c r="AH42" i="9"/>
  <c r="AJ42" i="9"/>
  <c r="G36" i="9" s="1"/>
  <c r="E36" i="9"/>
  <c r="D36" i="9" s="1"/>
  <c r="AL42" i="9"/>
  <c r="V43" i="9"/>
  <c r="X43" i="9"/>
  <c r="Z43" i="9"/>
  <c r="AB43" i="9"/>
  <c r="AD43" i="9"/>
  <c r="AF43" i="9"/>
  <c r="E31" i="9"/>
  <c r="D31" i="9" s="1"/>
  <c r="AH43" i="9"/>
  <c r="G31" i="9" s="1"/>
  <c r="AJ43" i="9"/>
  <c r="AL43" i="9"/>
  <c r="V44" i="9"/>
  <c r="X44" i="9"/>
  <c r="Z44" i="9"/>
  <c r="AB44" i="9"/>
  <c r="AD44" i="9"/>
  <c r="AF44" i="9"/>
  <c r="AH44" i="9"/>
  <c r="AJ44" i="9"/>
  <c r="AL44" i="9"/>
  <c r="V45" i="9"/>
  <c r="X45" i="9"/>
  <c r="Z45" i="9"/>
  <c r="AB45" i="9"/>
  <c r="AD45" i="9"/>
  <c r="AF45" i="9"/>
  <c r="AH45" i="9"/>
  <c r="AJ45" i="9"/>
  <c r="AL45" i="9"/>
  <c r="V46" i="9"/>
  <c r="X46" i="9"/>
  <c r="Z46" i="9"/>
  <c r="AB46" i="9"/>
  <c r="E24" i="9"/>
  <c r="D24" i="9" s="1"/>
  <c r="AD46" i="9"/>
  <c r="G24" i="9" s="1"/>
  <c r="AF46" i="9"/>
  <c r="AH46" i="9"/>
  <c r="AJ46" i="9"/>
  <c r="AL46" i="9"/>
  <c r="V47" i="9"/>
  <c r="X47" i="9"/>
  <c r="Z47" i="9"/>
  <c r="AB47" i="9"/>
  <c r="AD47" i="9"/>
  <c r="AF47" i="9"/>
  <c r="AH47" i="9"/>
  <c r="AJ47" i="9"/>
  <c r="AL47" i="9"/>
  <c r="V48" i="9"/>
  <c r="X48" i="9"/>
  <c r="Z48" i="9"/>
  <c r="G25" i="9" s="1"/>
  <c r="E25" i="9"/>
  <c r="D25" i="9" s="1"/>
  <c r="AB48" i="9"/>
  <c r="AD48" i="9"/>
  <c r="AF48" i="9"/>
  <c r="AH48" i="9"/>
  <c r="AJ48" i="9"/>
  <c r="AL48" i="9"/>
  <c r="V49" i="9"/>
  <c r="X49" i="9"/>
  <c r="Z49" i="9"/>
  <c r="AB49" i="9"/>
  <c r="AD49" i="9"/>
  <c r="AF49" i="9"/>
  <c r="G29" i="9" s="1"/>
  <c r="E29" i="9"/>
  <c r="D29" i="9" s="1"/>
  <c r="AH49" i="9"/>
  <c r="AJ49" i="9"/>
  <c r="AL49" i="9"/>
  <c r="V50" i="9"/>
  <c r="X50" i="9"/>
  <c r="Z50" i="9"/>
  <c r="AB50" i="9"/>
  <c r="AD50" i="9"/>
  <c r="AF50" i="9"/>
  <c r="AH50" i="9"/>
  <c r="AJ50" i="9"/>
  <c r="AL50" i="9"/>
  <c r="V51" i="9"/>
  <c r="X51" i="9"/>
  <c r="Z51" i="9"/>
  <c r="AB51" i="9"/>
  <c r="G23" i="9" s="1"/>
  <c r="E23" i="9"/>
  <c r="D23" i="9" s="1"/>
  <c r="AD51" i="9"/>
  <c r="AF51" i="9"/>
  <c r="AH51" i="9"/>
  <c r="AK51" i="9"/>
  <c r="W52" i="9"/>
  <c r="AA52" i="9"/>
  <c r="AE52" i="9"/>
  <c r="E32" i="9"/>
  <c r="D32" i="9" s="1"/>
  <c r="AI52" i="9"/>
  <c r="G32" i="9" s="1"/>
  <c r="Y53" i="9"/>
  <c r="AC53" i="9"/>
  <c r="AG53" i="9"/>
  <c r="AK53" i="9"/>
  <c r="W54" i="9"/>
  <c r="AA54" i="9"/>
  <c r="AE54" i="9"/>
  <c r="AI54" i="9"/>
  <c r="Y55" i="9"/>
  <c r="AC55" i="9"/>
  <c r="AG55" i="9"/>
  <c r="AK55" i="9"/>
  <c r="W56" i="9"/>
  <c r="AA56" i="9"/>
  <c r="AE56" i="9"/>
  <c r="AI56" i="9"/>
  <c r="AJ51" i="9"/>
  <c r="AL51" i="9"/>
  <c r="V52" i="9"/>
  <c r="X52" i="9"/>
  <c r="Z52" i="9"/>
  <c r="AB52" i="9"/>
  <c r="AD52" i="9"/>
  <c r="AF52" i="9"/>
  <c r="AH52" i="9"/>
  <c r="AJ52" i="9"/>
  <c r="AL52" i="9"/>
  <c r="V53" i="9"/>
  <c r="G33" i="9" s="1"/>
  <c r="E33" i="9"/>
  <c r="D33" i="9" s="1"/>
  <c r="X53" i="9"/>
  <c r="Z53" i="9"/>
  <c r="AB53" i="9"/>
  <c r="AD53" i="9"/>
  <c r="AF53" i="9"/>
  <c r="AH53" i="9"/>
  <c r="AJ53" i="9"/>
  <c r="AL53" i="9"/>
  <c r="V54" i="9"/>
  <c r="X54" i="9"/>
  <c r="Z54" i="9"/>
  <c r="AB54" i="9"/>
  <c r="AD54" i="9"/>
  <c r="AF54" i="9"/>
  <c r="AH54" i="9"/>
  <c r="AJ54" i="9"/>
  <c r="AL54" i="9"/>
  <c r="G37" i="9" s="1"/>
  <c r="E37" i="9"/>
  <c r="D37" i="9" s="1"/>
  <c r="V55" i="9"/>
  <c r="X55" i="9"/>
  <c r="Z55" i="9"/>
  <c r="AB55" i="9"/>
  <c r="AD55" i="9"/>
  <c r="AF55" i="9"/>
  <c r="AH55" i="9"/>
  <c r="AJ55" i="9"/>
  <c r="AL55" i="9"/>
  <c r="V56" i="9"/>
  <c r="X56" i="9"/>
  <c r="Z56" i="9"/>
  <c r="AB56" i="9"/>
  <c r="AD56" i="9"/>
  <c r="AF56" i="9"/>
  <c r="AH56" i="9"/>
  <c r="AJ56" i="9"/>
  <c r="AL56" i="9"/>
  <c r="H39" i="9"/>
  <c r="G47" i="9" s="1"/>
  <c r="W40" i="8"/>
  <c r="G34" i="8" s="1"/>
  <c r="E34" i="8"/>
  <c r="D34" i="8" s="1"/>
  <c r="Y40" i="8"/>
  <c r="AA40" i="8"/>
  <c r="AC40" i="8"/>
  <c r="AE40" i="8"/>
  <c r="AG40" i="8"/>
  <c r="AI40" i="8"/>
  <c r="AK40" i="8"/>
  <c r="W41" i="8"/>
  <c r="Y41" i="8"/>
  <c r="AA41" i="8"/>
  <c r="AC41" i="8"/>
  <c r="AE41" i="8"/>
  <c r="AG41" i="8"/>
  <c r="AI41" i="8"/>
  <c r="AK41" i="8"/>
  <c r="W42" i="8"/>
  <c r="Y42" i="8"/>
  <c r="AA42" i="8"/>
  <c r="AC42" i="8"/>
  <c r="AE42" i="8"/>
  <c r="AG42" i="8"/>
  <c r="AI42" i="8"/>
  <c r="AK42" i="8"/>
  <c r="W43" i="8"/>
  <c r="Y43" i="8"/>
  <c r="AA43" i="8"/>
  <c r="AC43" i="8"/>
  <c r="AE43" i="8"/>
  <c r="AG43" i="8"/>
  <c r="AI43" i="8"/>
  <c r="AK43" i="8"/>
  <c r="W44" i="8"/>
  <c r="Y44" i="8"/>
  <c r="AA44" i="8"/>
  <c r="E26" i="8"/>
  <c r="D26" i="8" s="1"/>
  <c r="AC44" i="8"/>
  <c r="G26" i="8" s="1"/>
  <c r="AE44" i="8"/>
  <c r="AG44" i="8"/>
  <c r="AI44" i="8"/>
  <c r="AK44" i="8"/>
  <c r="W45" i="8"/>
  <c r="Y45" i="8"/>
  <c r="AA45" i="8"/>
  <c r="AC45" i="8"/>
  <c r="AE45" i="8"/>
  <c r="G28" i="8" s="1"/>
  <c r="E28" i="8"/>
  <c r="D28" i="8" s="1"/>
  <c r="AG45" i="8"/>
  <c r="AI45" i="8"/>
  <c r="AK45" i="8"/>
  <c r="W46" i="8"/>
  <c r="Y46" i="8"/>
  <c r="AA46" i="8"/>
  <c r="AC46" i="8"/>
  <c r="AE46" i="8"/>
  <c r="AG46" i="8"/>
  <c r="AI46" i="8"/>
  <c r="AK46" i="8"/>
  <c r="W47" i="8"/>
  <c r="Y47" i="8"/>
  <c r="AA47" i="8"/>
  <c r="G27" i="8" s="1"/>
  <c r="E27" i="8"/>
  <c r="D27" i="8" s="1"/>
  <c r="AC47" i="8"/>
  <c r="AE47" i="8"/>
  <c r="AG47" i="8"/>
  <c r="AI47" i="8"/>
  <c r="AK47" i="8"/>
  <c r="W48" i="8"/>
  <c r="Y48" i="8"/>
  <c r="AA48" i="8"/>
  <c r="AC48" i="8"/>
  <c r="AE48" i="8"/>
  <c r="AG48" i="8"/>
  <c r="AI48" i="8"/>
  <c r="AK48" i="8"/>
  <c r="W49" i="8"/>
  <c r="Y49" i="8"/>
  <c r="AA49" i="8"/>
  <c r="AC49" i="8"/>
  <c r="AE49" i="8"/>
  <c r="AG49" i="8"/>
  <c r="AI49" i="8"/>
  <c r="AK49" i="8"/>
  <c r="W50" i="8"/>
  <c r="E30" i="8"/>
  <c r="D30" i="8" s="1"/>
  <c r="Y50" i="8"/>
  <c r="G30" i="8" s="1"/>
  <c r="AA50" i="8"/>
  <c r="AC50" i="8"/>
  <c r="AE50" i="8"/>
  <c r="AG50" i="8"/>
  <c r="AI50" i="8"/>
  <c r="AK50" i="8"/>
  <c r="W51" i="8"/>
  <c r="Y51" i="8"/>
  <c r="AA51" i="8"/>
  <c r="AC51" i="8"/>
  <c r="AE51" i="8"/>
  <c r="AG51" i="8"/>
  <c r="AI51" i="8"/>
  <c r="Y52" i="8"/>
  <c r="AC52" i="8"/>
  <c r="AG52" i="8"/>
  <c r="AK52" i="8"/>
  <c r="W53" i="8"/>
  <c r="AA53" i="8"/>
  <c r="AE53" i="8"/>
  <c r="AI53" i="8"/>
  <c r="Y54" i="8"/>
  <c r="AC54" i="8"/>
  <c r="AG54" i="8"/>
  <c r="AK54" i="8"/>
  <c r="W55" i="8"/>
  <c r="AA55" i="8"/>
  <c r="AE55" i="8"/>
  <c r="AI55" i="8"/>
  <c r="Y56" i="8"/>
  <c r="AC56" i="8"/>
  <c r="AG56" i="8"/>
  <c r="AK56" i="8"/>
  <c r="G38" i="8" s="1"/>
  <c r="E38" i="8"/>
  <c r="D38" i="8" s="1"/>
  <c r="V40" i="8"/>
  <c r="X40" i="8"/>
  <c r="Z40" i="8"/>
  <c r="AB40" i="8"/>
  <c r="AD40" i="8"/>
  <c r="AF40" i="8"/>
  <c r="AH40" i="8"/>
  <c r="AJ40" i="8"/>
  <c r="AL40" i="8"/>
  <c r="V41" i="8"/>
  <c r="X41" i="8"/>
  <c r="G35" i="8" s="1"/>
  <c r="E35" i="8"/>
  <c r="D35" i="8" s="1"/>
  <c r="Z41" i="8"/>
  <c r="AB41" i="8"/>
  <c r="AD41" i="8"/>
  <c r="AF41" i="8"/>
  <c r="AH41" i="8"/>
  <c r="AJ41" i="8"/>
  <c r="AL41" i="8"/>
  <c r="V42" i="8"/>
  <c r="X42" i="8"/>
  <c r="Z42" i="8"/>
  <c r="AB42" i="8"/>
  <c r="AD42" i="8"/>
  <c r="AF42" i="8"/>
  <c r="AH42" i="8"/>
  <c r="AJ42" i="8"/>
  <c r="G36" i="8" s="1"/>
  <c r="E36" i="8"/>
  <c r="D36" i="8" s="1"/>
  <c r="AL42" i="8"/>
  <c r="V43" i="8"/>
  <c r="X43" i="8"/>
  <c r="Z43" i="8"/>
  <c r="AB43" i="8"/>
  <c r="AD43" i="8"/>
  <c r="AF43" i="8"/>
  <c r="E31" i="8"/>
  <c r="D31" i="8" s="1"/>
  <c r="AH43" i="8"/>
  <c r="G31" i="8" s="1"/>
  <c r="AJ43" i="8"/>
  <c r="AL43" i="8"/>
  <c r="V44" i="8"/>
  <c r="X44" i="8"/>
  <c r="Z44" i="8"/>
  <c r="AB44" i="8"/>
  <c r="AD44" i="8"/>
  <c r="AF44" i="8"/>
  <c r="AH44" i="8"/>
  <c r="AJ44" i="8"/>
  <c r="AL44" i="8"/>
  <c r="V45" i="8"/>
  <c r="X45" i="8"/>
  <c r="Z45" i="8"/>
  <c r="AB45" i="8"/>
  <c r="AD45" i="8"/>
  <c r="AF45" i="8"/>
  <c r="AH45" i="8"/>
  <c r="AJ45" i="8"/>
  <c r="AL45" i="8"/>
  <c r="V46" i="8"/>
  <c r="X46" i="8"/>
  <c r="Z46" i="8"/>
  <c r="AB46" i="8"/>
  <c r="E24" i="8"/>
  <c r="D24" i="8" s="1"/>
  <c r="AD46" i="8"/>
  <c r="G24" i="8" s="1"/>
  <c r="AF46" i="8"/>
  <c r="AH46" i="8"/>
  <c r="AJ46" i="8"/>
  <c r="AL46" i="8"/>
  <c r="V47" i="8"/>
  <c r="X47" i="8"/>
  <c r="Z47" i="8"/>
  <c r="AB47" i="8"/>
  <c r="AD47" i="8"/>
  <c r="AF47" i="8"/>
  <c r="AH47" i="8"/>
  <c r="AJ47" i="8"/>
  <c r="AL47" i="8"/>
  <c r="V48" i="8"/>
  <c r="X48" i="8"/>
  <c r="Z48" i="8"/>
  <c r="G25" i="8" s="1"/>
  <c r="E25" i="8"/>
  <c r="D25" i="8" s="1"/>
  <c r="AB48" i="8"/>
  <c r="AD48" i="8"/>
  <c r="AF48" i="8"/>
  <c r="AH48" i="8"/>
  <c r="AJ48" i="8"/>
  <c r="AL48" i="8"/>
  <c r="V49" i="8"/>
  <c r="X49" i="8"/>
  <c r="Z49" i="8"/>
  <c r="AB49" i="8"/>
  <c r="AD49" i="8"/>
  <c r="AF49" i="8"/>
  <c r="G29" i="8" s="1"/>
  <c r="E29" i="8"/>
  <c r="D29" i="8" s="1"/>
  <c r="AH49" i="8"/>
  <c r="AJ49" i="8"/>
  <c r="AL49" i="8"/>
  <c r="V50" i="8"/>
  <c r="X50" i="8"/>
  <c r="Z50" i="8"/>
  <c r="AB50" i="8"/>
  <c r="AD50" i="8"/>
  <c r="AF50" i="8"/>
  <c r="AH50" i="8"/>
  <c r="AJ50" i="8"/>
  <c r="AL50" i="8"/>
  <c r="V51" i="8"/>
  <c r="X51" i="8"/>
  <c r="Z51" i="8"/>
  <c r="AB51" i="8"/>
  <c r="G23" i="8" s="1"/>
  <c r="E23" i="8"/>
  <c r="D23" i="8" s="1"/>
  <c r="AD51" i="8"/>
  <c r="AF51" i="8"/>
  <c r="AH51" i="8"/>
  <c r="AK51" i="8"/>
  <c r="W52" i="8"/>
  <c r="AA52" i="8"/>
  <c r="AE52" i="8"/>
  <c r="E32" i="8"/>
  <c r="D32" i="8" s="1"/>
  <c r="AI52" i="8"/>
  <c r="G32" i="8" s="1"/>
  <c r="Y53" i="8"/>
  <c r="AC53" i="8"/>
  <c r="AG53" i="8"/>
  <c r="AK53" i="8"/>
  <c r="W54" i="8"/>
  <c r="AA54" i="8"/>
  <c r="AE54" i="8"/>
  <c r="AI54" i="8"/>
  <c r="Y55" i="8"/>
  <c r="AC55" i="8"/>
  <c r="AG55" i="8"/>
  <c r="AK55" i="8"/>
  <c r="W56" i="8"/>
  <c r="AA56" i="8"/>
  <c r="AE56" i="8"/>
  <c r="AI56" i="8"/>
  <c r="AJ51" i="8"/>
  <c r="AL51" i="8"/>
  <c r="V52" i="8"/>
  <c r="X52" i="8"/>
  <c r="Z52" i="8"/>
  <c r="AB52" i="8"/>
  <c r="AD52" i="8"/>
  <c r="AF52" i="8"/>
  <c r="AH52" i="8"/>
  <c r="AJ52" i="8"/>
  <c r="AL52" i="8"/>
  <c r="V53" i="8"/>
  <c r="G33" i="8" s="1"/>
  <c r="E33" i="8"/>
  <c r="D33" i="8" s="1"/>
  <c r="X53" i="8"/>
  <c r="Z53" i="8"/>
  <c r="AB53" i="8"/>
  <c r="AD53" i="8"/>
  <c r="AF53" i="8"/>
  <c r="AH53" i="8"/>
  <c r="AJ53" i="8"/>
  <c r="AL53" i="8"/>
  <c r="V54" i="8"/>
  <c r="X54" i="8"/>
  <c r="Z54" i="8"/>
  <c r="AB54" i="8"/>
  <c r="AD54" i="8"/>
  <c r="AF54" i="8"/>
  <c r="AH54" i="8"/>
  <c r="AJ54" i="8"/>
  <c r="AL54" i="8"/>
  <c r="G37" i="8" s="1"/>
  <c r="E37" i="8"/>
  <c r="D37" i="8" s="1"/>
  <c r="V55" i="8"/>
  <c r="X55" i="8"/>
  <c r="Z55" i="8"/>
  <c r="AB55" i="8"/>
  <c r="AD55" i="8"/>
  <c r="AF55" i="8"/>
  <c r="AH55" i="8"/>
  <c r="AJ55" i="8"/>
  <c r="AL55" i="8"/>
  <c r="V56" i="8"/>
  <c r="X56" i="8"/>
  <c r="Z56" i="8"/>
  <c r="AB56" i="8"/>
  <c r="AD56" i="8"/>
  <c r="AF56" i="8"/>
  <c r="AH56" i="8"/>
  <c r="AJ56" i="8"/>
  <c r="AL56" i="8"/>
  <c r="H39" i="8"/>
  <c r="G47" i="8" s="1"/>
  <c r="W40" i="7"/>
  <c r="G34" i="7" s="1"/>
  <c r="E34" i="7"/>
  <c r="D34" i="7" s="1"/>
  <c r="Y40" i="7"/>
  <c r="AA40" i="7"/>
  <c r="AC40" i="7"/>
  <c r="AE40" i="7"/>
  <c r="AG40" i="7"/>
  <c r="AI40" i="7"/>
  <c r="AK40" i="7"/>
  <c r="W41" i="7"/>
  <c r="Y41" i="7"/>
  <c r="AA41" i="7"/>
  <c r="AC41" i="7"/>
  <c r="AE41" i="7"/>
  <c r="AG41" i="7"/>
  <c r="AI41" i="7"/>
  <c r="AK41" i="7"/>
  <c r="W42" i="7"/>
  <c r="Y42" i="7"/>
  <c r="AA42" i="7"/>
  <c r="AC42" i="7"/>
  <c r="AE42" i="7"/>
  <c r="AG42" i="7"/>
  <c r="AI42" i="7"/>
  <c r="AK42" i="7"/>
  <c r="W43" i="7"/>
  <c r="Y43" i="7"/>
  <c r="AA43" i="7"/>
  <c r="AC43" i="7"/>
  <c r="AE43" i="7"/>
  <c r="AG43" i="7"/>
  <c r="AI43" i="7"/>
  <c r="AK43" i="7"/>
  <c r="W44" i="7"/>
  <c r="Y44" i="7"/>
  <c r="AA44" i="7"/>
  <c r="E26" i="7"/>
  <c r="D26" i="7" s="1"/>
  <c r="AC44" i="7"/>
  <c r="G26" i="7" s="1"/>
  <c r="AE44" i="7"/>
  <c r="AG44" i="7"/>
  <c r="AI44" i="7"/>
  <c r="AK44" i="7"/>
  <c r="W45" i="7"/>
  <c r="Y45" i="7"/>
  <c r="AA45" i="7"/>
  <c r="AC45" i="7"/>
  <c r="AE45" i="7"/>
  <c r="G28" i="7" s="1"/>
  <c r="E28" i="7"/>
  <c r="D28" i="7" s="1"/>
  <c r="AG45" i="7"/>
  <c r="AI45" i="7"/>
  <c r="AK45" i="7"/>
  <c r="W46" i="7"/>
  <c r="Y46" i="7"/>
  <c r="AA46" i="7"/>
  <c r="AC46" i="7"/>
  <c r="AE46" i="7"/>
  <c r="AG46" i="7"/>
  <c r="AI46" i="7"/>
  <c r="AK46" i="7"/>
  <c r="W47" i="7"/>
  <c r="Y47" i="7"/>
  <c r="AA47" i="7"/>
  <c r="G27" i="7" s="1"/>
  <c r="E27" i="7"/>
  <c r="D27" i="7" s="1"/>
  <c r="AC47" i="7"/>
  <c r="AE47" i="7"/>
  <c r="AG47" i="7"/>
  <c r="AI47" i="7"/>
  <c r="AK47" i="7"/>
  <c r="W48" i="7"/>
  <c r="Y48" i="7"/>
  <c r="AA48" i="7"/>
  <c r="AC48" i="7"/>
  <c r="AE48" i="7"/>
  <c r="AG48" i="7"/>
  <c r="AI48" i="7"/>
  <c r="AK48" i="7"/>
  <c r="W49" i="7"/>
  <c r="Y49" i="7"/>
  <c r="AA49" i="7"/>
  <c r="AC49" i="7"/>
  <c r="AE49" i="7"/>
  <c r="AG49" i="7"/>
  <c r="AI49" i="7"/>
  <c r="AK49" i="7"/>
  <c r="W50" i="7"/>
  <c r="E30" i="7"/>
  <c r="D30" i="7" s="1"/>
  <c r="Y50" i="7"/>
  <c r="G30" i="7" s="1"/>
  <c r="AA50" i="7"/>
  <c r="AC50" i="7"/>
  <c r="AE50" i="7"/>
  <c r="AG50" i="7"/>
  <c r="AI50" i="7"/>
  <c r="AK50" i="7"/>
  <c r="W51" i="7"/>
  <c r="Y51" i="7"/>
  <c r="AA51" i="7"/>
  <c r="AC51" i="7"/>
  <c r="AE51" i="7"/>
  <c r="AG51" i="7"/>
  <c r="AI51" i="7"/>
  <c r="Y52" i="7"/>
  <c r="AC52" i="7"/>
  <c r="AG52" i="7"/>
  <c r="AK52" i="7"/>
  <c r="W53" i="7"/>
  <c r="AA53" i="7"/>
  <c r="AE53" i="7"/>
  <c r="AI53" i="7"/>
  <c r="Y54" i="7"/>
  <c r="AC54" i="7"/>
  <c r="AG54" i="7"/>
  <c r="AK54" i="7"/>
  <c r="W55" i="7"/>
  <c r="AA55" i="7"/>
  <c r="AE55" i="7"/>
  <c r="AI55" i="7"/>
  <c r="Y56" i="7"/>
  <c r="AC56" i="7"/>
  <c r="AG56" i="7"/>
  <c r="AK56" i="7"/>
  <c r="G38" i="7" s="1"/>
  <c r="E38" i="7"/>
  <c r="D38" i="7" s="1"/>
  <c r="V40" i="7"/>
  <c r="X40" i="7"/>
  <c r="Z40" i="7"/>
  <c r="AB40" i="7"/>
  <c r="AD40" i="7"/>
  <c r="AF40" i="7"/>
  <c r="AH40" i="7"/>
  <c r="AJ40" i="7"/>
  <c r="AL40" i="7"/>
  <c r="V41" i="7"/>
  <c r="X41" i="7"/>
  <c r="G35" i="7" s="1"/>
  <c r="E35" i="7"/>
  <c r="D35" i="7" s="1"/>
  <c r="Z41" i="7"/>
  <c r="AB41" i="7"/>
  <c r="AD41" i="7"/>
  <c r="AF41" i="7"/>
  <c r="AH41" i="7"/>
  <c r="AJ41" i="7"/>
  <c r="AL41" i="7"/>
  <c r="V42" i="7"/>
  <c r="X42" i="7"/>
  <c r="Z42" i="7"/>
  <c r="AB42" i="7"/>
  <c r="AD42" i="7"/>
  <c r="AF42" i="7"/>
  <c r="AH42" i="7"/>
  <c r="AJ42" i="7"/>
  <c r="G36" i="7" s="1"/>
  <c r="E36" i="7"/>
  <c r="D36" i="7" s="1"/>
  <c r="AL42" i="7"/>
  <c r="V43" i="7"/>
  <c r="X43" i="7"/>
  <c r="Z43" i="7"/>
  <c r="AB43" i="7"/>
  <c r="AD43" i="7"/>
  <c r="AF43" i="7"/>
  <c r="E31" i="7"/>
  <c r="D31" i="7" s="1"/>
  <c r="AH43" i="7"/>
  <c r="G31" i="7" s="1"/>
  <c r="AJ43" i="7"/>
  <c r="AL43" i="7"/>
  <c r="V44" i="7"/>
  <c r="X44" i="7"/>
  <c r="Z44" i="7"/>
  <c r="AB44" i="7"/>
  <c r="AD44" i="7"/>
  <c r="AF44" i="7"/>
  <c r="AH44" i="7"/>
  <c r="AJ44" i="7"/>
  <c r="AL44" i="7"/>
  <c r="V45" i="7"/>
  <c r="X45" i="7"/>
  <c r="Z45" i="7"/>
  <c r="AB45" i="7"/>
  <c r="AD45" i="7"/>
  <c r="AF45" i="7"/>
  <c r="AH45" i="7"/>
  <c r="AJ45" i="7"/>
  <c r="AL45" i="7"/>
  <c r="V46" i="7"/>
  <c r="X46" i="7"/>
  <c r="Z46" i="7"/>
  <c r="AB46" i="7"/>
  <c r="E24" i="7"/>
  <c r="D24" i="7" s="1"/>
  <c r="AD46" i="7"/>
  <c r="G24" i="7" s="1"/>
  <c r="AF46" i="7"/>
  <c r="AH46" i="7"/>
  <c r="AJ46" i="7"/>
  <c r="AL46" i="7"/>
  <c r="V47" i="7"/>
  <c r="X47" i="7"/>
  <c r="Z47" i="7"/>
  <c r="AB47" i="7"/>
  <c r="AD47" i="7"/>
  <c r="AF47" i="7"/>
  <c r="AH47" i="7"/>
  <c r="AJ47" i="7"/>
  <c r="AL47" i="7"/>
  <c r="V48" i="7"/>
  <c r="X48" i="7"/>
  <c r="Z48" i="7"/>
  <c r="G25" i="7" s="1"/>
  <c r="E25" i="7"/>
  <c r="D25" i="7" s="1"/>
  <c r="AB48" i="7"/>
  <c r="AD48" i="7"/>
  <c r="AF48" i="7"/>
  <c r="AH48" i="7"/>
  <c r="AJ48" i="7"/>
  <c r="AL48" i="7"/>
  <c r="V49" i="7"/>
  <c r="X49" i="7"/>
  <c r="Z49" i="7"/>
  <c r="AB49" i="7"/>
  <c r="AD49" i="7"/>
  <c r="AF49" i="7"/>
  <c r="G29" i="7" s="1"/>
  <c r="E29" i="7"/>
  <c r="D29" i="7" s="1"/>
  <c r="AH49" i="7"/>
  <c r="AJ49" i="7"/>
  <c r="AL49" i="7"/>
  <c r="V50" i="7"/>
  <c r="X50" i="7"/>
  <c r="Z50" i="7"/>
  <c r="AB50" i="7"/>
  <c r="AD50" i="7"/>
  <c r="AF50" i="7"/>
  <c r="AH50" i="7"/>
  <c r="AJ50" i="7"/>
  <c r="AL50" i="7"/>
  <c r="V51" i="7"/>
  <c r="X51" i="7"/>
  <c r="Z51" i="7"/>
  <c r="AB51" i="7"/>
  <c r="G23" i="7" s="1"/>
  <c r="E23" i="7"/>
  <c r="D23" i="7" s="1"/>
  <c r="AD51" i="7"/>
  <c r="AF51" i="7"/>
  <c r="AH51" i="7"/>
  <c r="AK51" i="7"/>
  <c r="W52" i="7"/>
  <c r="AA52" i="7"/>
  <c r="AE52" i="7"/>
  <c r="E32" i="7"/>
  <c r="D32" i="7" s="1"/>
  <c r="AI52" i="7"/>
  <c r="G32" i="7" s="1"/>
  <c r="Y53" i="7"/>
  <c r="AC53" i="7"/>
  <c r="AG53" i="7"/>
  <c r="AK53" i="7"/>
  <c r="W54" i="7"/>
  <c r="AA54" i="7"/>
  <c r="AE54" i="7"/>
  <c r="AI54" i="7"/>
  <c r="Y55" i="7"/>
  <c r="AC55" i="7"/>
  <c r="AG55" i="7"/>
  <c r="AK55" i="7"/>
  <c r="W56" i="7"/>
  <c r="AA56" i="7"/>
  <c r="AE56" i="7"/>
  <c r="AI56" i="7"/>
  <c r="AJ51" i="7"/>
  <c r="AL51" i="7"/>
  <c r="V52" i="7"/>
  <c r="X52" i="7"/>
  <c r="Z52" i="7"/>
  <c r="AB52" i="7"/>
  <c r="AD52" i="7"/>
  <c r="AF52" i="7"/>
  <c r="AH52" i="7"/>
  <c r="AJ52" i="7"/>
  <c r="AL52" i="7"/>
  <c r="V53" i="7"/>
  <c r="G33" i="7" s="1"/>
  <c r="E33" i="7"/>
  <c r="D33" i="7" s="1"/>
  <c r="X53" i="7"/>
  <c r="Z53" i="7"/>
  <c r="AB53" i="7"/>
  <c r="AD53" i="7"/>
  <c r="AF53" i="7"/>
  <c r="AH53" i="7"/>
  <c r="AJ53" i="7"/>
  <c r="AL53" i="7"/>
  <c r="V54" i="7"/>
  <c r="X54" i="7"/>
  <c r="Z54" i="7"/>
  <c r="AB54" i="7"/>
  <c r="AD54" i="7"/>
  <c r="AF54" i="7"/>
  <c r="AH54" i="7"/>
  <c r="AJ54" i="7"/>
  <c r="AL54" i="7"/>
  <c r="G37" i="7" s="1"/>
  <c r="E37" i="7"/>
  <c r="D37" i="7" s="1"/>
  <c r="V55" i="7"/>
  <c r="X55" i="7"/>
  <c r="Z55" i="7"/>
  <c r="AB55" i="7"/>
  <c r="AD55" i="7"/>
  <c r="AF55" i="7"/>
  <c r="AH55" i="7"/>
  <c r="AJ55" i="7"/>
  <c r="AL55" i="7"/>
  <c r="V56" i="7"/>
  <c r="X56" i="7"/>
  <c r="Z56" i="7"/>
  <c r="AB56" i="7"/>
  <c r="AD56" i="7"/>
  <c r="AF56" i="7"/>
  <c r="AH56" i="7"/>
  <c r="AJ56" i="7"/>
  <c r="AL56" i="7"/>
  <c r="H39" i="7"/>
  <c r="G47" i="7" s="1"/>
  <c r="W20" i="5"/>
  <c r="X20" i="5"/>
  <c r="Y20" i="5"/>
  <c r="Z20" i="5"/>
  <c r="AA20" i="5"/>
  <c r="AB20" i="5"/>
  <c r="AC20" i="5"/>
  <c r="AD20" i="5"/>
  <c r="AE20" i="5"/>
  <c r="AF20" i="5"/>
  <c r="AG20" i="5"/>
  <c r="AH20" i="5"/>
  <c r="AI20" i="5"/>
  <c r="AJ20" i="5"/>
  <c r="W21" i="5"/>
  <c r="X21" i="5"/>
  <c r="Y21" i="5"/>
  <c r="Z21" i="5"/>
  <c r="AA21" i="5"/>
  <c r="AB21" i="5"/>
  <c r="AC21" i="5"/>
  <c r="AD21" i="5"/>
  <c r="AE21" i="5"/>
  <c r="AF21" i="5"/>
  <c r="AG21" i="5"/>
  <c r="AH21" i="5"/>
  <c r="AI21" i="5"/>
  <c r="AJ21" i="5"/>
  <c r="W22" i="5"/>
  <c r="X22" i="5"/>
  <c r="Y22" i="5"/>
  <c r="Z22" i="5"/>
  <c r="AA22" i="5"/>
  <c r="AB22" i="5"/>
  <c r="AC22" i="5"/>
  <c r="AD22" i="5"/>
  <c r="AE22" i="5"/>
  <c r="AF22" i="5"/>
  <c r="AG22" i="5"/>
  <c r="AH22" i="5"/>
  <c r="AI22" i="5"/>
  <c r="AJ22" i="5"/>
  <c r="W23" i="5"/>
  <c r="X23" i="5"/>
  <c r="Y23" i="5"/>
  <c r="Z23" i="5"/>
  <c r="AA23" i="5"/>
  <c r="AB23" i="5"/>
  <c r="AC23" i="5"/>
  <c r="AD23" i="5"/>
  <c r="AE23" i="5"/>
  <c r="AF23" i="5"/>
  <c r="AG23" i="5"/>
  <c r="AH23" i="5"/>
  <c r="AI23" i="5"/>
  <c r="AJ23" i="5"/>
  <c r="W24" i="5"/>
  <c r="X24" i="5"/>
  <c r="Y24" i="5"/>
  <c r="Z24" i="5"/>
  <c r="AA24" i="5"/>
  <c r="AB24" i="5"/>
  <c r="AC24" i="5"/>
  <c r="AD24" i="5"/>
  <c r="AE24" i="5"/>
  <c r="AF24" i="5"/>
  <c r="AG24" i="5"/>
  <c r="AH24" i="5"/>
  <c r="AI24" i="5"/>
  <c r="AJ24" i="5"/>
  <c r="W25" i="5"/>
  <c r="X25" i="5"/>
  <c r="Y25" i="5"/>
  <c r="Z25" i="5"/>
  <c r="AA25" i="5"/>
  <c r="AB25" i="5"/>
  <c r="AC25" i="5"/>
  <c r="AD25" i="5"/>
  <c r="AE25" i="5"/>
  <c r="AF25" i="5"/>
  <c r="AG25" i="5"/>
  <c r="AH25" i="5"/>
  <c r="AI25" i="5"/>
  <c r="AJ25" i="5"/>
  <c r="W26" i="5"/>
  <c r="X26" i="5"/>
  <c r="Y26" i="5"/>
  <c r="Z26" i="5"/>
  <c r="AA26" i="5"/>
  <c r="AB26" i="5"/>
  <c r="AC26" i="5"/>
  <c r="AD26" i="5"/>
  <c r="AE26" i="5"/>
  <c r="AF26" i="5"/>
  <c r="AG26" i="5"/>
  <c r="AH26" i="5"/>
  <c r="AI26" i="5"/>
  <c r="AJ26" i="5"/>
  <c r="W27" i="5"/>
  <c r="X27" i="5"/>
  <c r="Y27" i="5"/>
  <c r="Z27" i="5"/>
  <c r="AA27" i="5"/>
  <c r="AB27" i="5"/>
  <c r="AC27" i="5"/>
  <c r="AD27" i="5"/>
  <c r="AE27" i="5"/>
  <c r="AF27" i="5"/>
  <c r="H27" i="5" s="1"/>
  <c r="AG27" i="5"/>
  <c r="AH27" i="5"/>
  <c r="AI27" i="5"/>
  <c r="AJ27" i="5"/>
  <c r="W28" i="5"/>
  <c r="X28" i="5"/>
  <c r="Y28" i="5"/>
  <c r="Z28" i="5"/>
  <c r="AA28" i="5"/>
  <c r="AB28" i="5"/>
  <c r="AC28" i="5"/>
  <c r="AD28" i="5"/>
  <c r="AE28" i="5"/>
  <c r="AF28" i="5"/>
  <c r="AG28" i="5"/>
  <c r="AH28" i="5"/>
  <c r="AI28" i="5"/>
  <c r="AJ28" i="5"/>
  <c r="W29" i="5"/>
  <c r="X29" i="5"/>
  <c r="Y29" i="5"/>
  <c r="Z29" i="5"/>
  <c r="AA29" i="5"/>
  <c r="AB29" i="5"/>
  <c r="AC29" i="5"/>
  <c r="AD29" i="5"/>
  <c r="AE29" i="5"/>
  <c r="AF29" i="5"/>
  <c r="AG29" i="5"/>
  <c r="AH29" i="5"/>
  <c r="AI29" i="5"/>
  <c r="AJ29" i="5"/>
  <c r="W30" i="5"/>
  <c r="X30" i="5"/>
  <c r="Y30" i="5"/>
  <c r="Z30" i="5"/>
  <c r="AA30" i="5"/>
  <c r="AB30" i="5"/>
  <c r="AC30" i="5"/>
  <c r="AD30" i="5"/>
  <c r="AE30" i="5"/>
  <c r="AF30" i="5"/>
  <c r="AG30" i="5"/>
  <c r="AH30" i="5"/>
  <c r="AI30" i="5"/>
  <c r="AJ30" i="5"/>
  <c r="W31" i="5"/>
  <c r="X31" i="5"/>
  <c r="Y31" i="5"/>
  <c r="Z31" i="5"/>
  <c r="AA31" i="5"/>
  <c r="AB31" i="5"/>
  <c r="AC31" i="5"/>
  <c r="AD31" i="5"/>
  <c r="AE31" i="5"/>
  <c r="AF31" i="5"/>
  <c r="AG31" i="5"/>
  <c r="AH31" i="5"/>
  <c r="AI31" i="5"/>
  <c r="AJ31" i="5"/>
  <c r="W32" i="5"/>
  <c r="X32" i="5"/>
  <c r="Y32" i="5"/>
  <c r="Z32" i="5"/>
  <c r="AA32" i="5"/>
  <c r="AB32" i="5"/>
  <c r="AC32" i="5"/>
  <c r="AD32" i="5"/>
  <c r="AE32" i="5"/>
  <c r="AF32" i="5"/>
  <c r="AG32" i="5"/>
  <c r="AH32" i="5"/>
  <c r="AI32" i="5"/>
  <c r="AJ32" i="5"/>
  <c r="W33" i="5"/>
  <c r="X33" i="5"/>
  <c r="Y33" i="5"/>
  <c r="Z33" i="5"/>
  <c r="AA33" i="5"/>
  <c r="AB33" i="5"/>
  <c r="AC33" i="5"/>
  <c r="AD33" i="5"/>
  <c r="AE33" i="5"/>
  <c r="AF33" i="5"/>
  <c r="AG33" i="5"/>
  <c r="AH33" i="5"/>
  <c r="AI33" i="5"/>
  <c r="AJ33" i="5"/>
  <c r="W34" i="5"/>
  <c r="X34" i="5"/>
  <c r="Y34" i="5"/>
  <c r="Z34" i="5"/>
  <c r="AA34" i="5"/>
  <c r="AB34" i="5"/>
  <c r="AC34" i="5"/>
  <c r="AD34" i="5"/>
  <c r="AE34" i="5"/>
  <c r="AF34" i="5"/>
  <c r="AG34" i="5"/>
  <c r="AH34" i="5"/>
  <c r="AI34" i="5"/>
  <c r="AJ34" i="5"/>
  <c r="H34" i="5" s="1"/>
  <c r="V21" i="5"/>
  <c r="V22" i="5"/>
  <c r="V23" i="5"/>
  <c r="V24" i="5"/>
  <c r="V25" i="5"/>
  <c r="V26" i="5"/>
  <c r="V27" i="5"/>
  <c r="V28" i="5"/>
  <c r="V29" i="5"/>
  <c r="V30" i="5"/>
  <c r="V31" i="5"/>
  <c r="V32" i="5"/>
  <c r="V33" i="5"/>
  <c r="V34" i="5"/>
  <c r="V20" i="5"/>
  <c r="H22" i="5"/>
  <c r="H33" i="5"/>
  <c r="AJ35" i="5"/>
  <c r="AI35" i="5"/>
  <c r="AH35" i="5"/>
  <c r="AG35" i="5"/>
  <c r="AF35" i="5"/>
  <c r="AE35" i="5"/>
  <c r="AD35" i="5"/>
  <c r="AC35" i="5"/>
  <c r="AB35" i="5"/>
  <c r="AA35" i="5"/>
  <c r="Z35" i="5"/>
  <c r="Y35" i="5"/>
  <c r="X35" i="5"/>
  <c r="W35" i="5"/>
  <c r="H31" i="5"/>
  <c r="H36" i="5"/>
  <c r="F36" i="5"/>
  <c r="C36" i="5"/>
  <c r="H35" i="5"/>
  <c r="F35" i="5"/>
  <c r="C35" i="5"/>
  <c r="F34" i="5"/>
  <c r="C34" i="5"/>
  <c r="F33" i="5"/>
  <c r="C33" i="5"/>
  <c r="H32" i="5"/>
  <c r="F32" i="5"/>
  <c r="C32" i="5"/>
  <c r="F31" i="5"/>
  <c r="C31" i="5"/>
  <c r="H30" i="5"/>
  <c r="F30" i="5"/>
  <c r="C30" i="5"/>
  <c r="F29" i="5"/>
  <c r="C29" i="5"/>
  <c r="H28" i="5"/>
  <c r="F28" i="5"/>
  <c r="C28" i="5"/>
  <c r="F27" i="5"/>
  <c r="C27" i="5"/>
  <c r="H26" i="5"/>
  <c r="F26" i="5"/>
  <c r="C26" i="5"/>
  <c r="H25" i="5"/>
  <c r="F25" i="5"/>
  <c r="C25" i="5"/>
  <c r="H24" i="5"/>
  <c r="F24" i="5"/>
  <c r="C24" i="5"/>
  <c r="F23" i="5"/>
  <c r="C23" i="5"/>
  <c r="F22" i="5"/>
  <c r="C22" i="5"/>
  <c r="F21" i="5"/>
  <c r="C21" i="5"/>
  <c r="H20" i="5"/>
  <c r="F20" i="5"/>
  <c r="D20" i="5"/>
  <c r="C20" i="5"/>
  <c r="AK17" i="5"/>
  <c r="AK16" i="5"/>
  <c r="AK15" i="5"/>
  <c r="AK14" i="5"/>
  <c r="AK13" i="5"/>
  <c r="AK12" i="5"/>
  <c r="AK11" i="5"/>
  <c r="AK10" i="5"/>
  <c r="AK9" i="5"/>
  <c r="AK8" i="5"/>
  <c r="AK7" i="5"/>
  <c r="AK6" i="5"/>
  <c r="AK5" i="5"/>
  <c r="AK4" i="5"/>
  <c r="AK3" i="5"/>
  <c r="R17" i="5"/>
  <c r="P17" i="5"/>
  <c r="N17" i="5"/>
  <c r="L17" i="5"/>
  <c r="J17" i="5"/>
  <c r="H17" i="5"/>
  <c r="F17" i="5"/>
  <c r="D17" i="5"/>
  <c r="R16" i="5"/>
  <c r="P16" i="5"/>
  <c r="N16" i="5"/>
  <c r="L16" i="5"/>
  <c r="J16" i="5"/>
  <c r="H16" i="5"/>
  <c r="F16" i="5"/>
  <c r="D16" i="5"/>
  <c r="R15" i="5"/>
  <c r="P15" i="5"/>
  <c r="N15" i="5"/>
  <c r="L15" i="5"/>
  <c r="J15" i="5"/>
  <c r="H15" i="5"/>
  <c r="F15" i="5"/>
  <c r="D15" i="5"/>
  <c r="R14" i="5"/>
  <c r="P14" i="5"/>
  <c r="N14" i="5"/>
  <c r="L14" i="5"/>
  <c r="J14" i="5"/>
  <c r="H14" i="5"/>
  <c r="F14" i="5"/>
  <c r="D14" i="5"/>
  <c r="R13" i="5"/>
  <c r="P13" i="5"/>
  <c r="N13" i="5"/>
  <c r="L13" i="5"/>
  <c r="J13" i="5"/>
  <c r="H13" i="5"/>
  <c r="F13" i="5"/>
  <c r="D13" i="5"/>
  <c r="R12" i="5"/>
  <c r="P12" i="5"/>
  <c r="N12" i="5"/>
  <c r="L12" i="5"/>
  <c r="J12" i="5"/>
  <c r="H12" i="5"/>
  <c r="F12" i="5"/>
  <c r="D12" i="5"/>
  <c r="R11" i="5"/>
  <c r="P11" i="5"/>
  <c r="N11" i="5"/>
  <c r="L11" i="5"/>
  <c r="J11" i="5"/>
  <c r="H11" i="5"/>
  <c r="F11" i="5"/>
  <c r="D11" i="5"/>
  <c r="R10" i="5"/>
  <c r="P10" i="5"/>
  <c r="N10" i="5"/>
  <c r="L10" i="5"/>
  <c r="J10" i="5"/>
  <c r="H10" i="5"/>
  <c r="F10" i="5"/>
  <c r="D10" i="5"/>
  <c r="R9" i="5"/>
  <c r="P9" i="5"/>
  <c r="N9" i="5"/>
  <c r="L9" i="5"/>
  <c r="J9" i="5"/>
  <c r="H9" i="5"/>
  <c r="F9" i="5"/>
  <c r="D9" i="5"/>
  <c r="R8" i="5"/>
  <c r="P8" i="5"/>
  <c r="N8" i="5"/>
  <c r="L8" i="5"/>
  <c r="J8" i="5"/>
  <c r="H8" i="5"/>
  <c r="F8" i="5"/>
  <c r="D8" i="5"/>
  <c r="R7" i="5"/>
  <c r="P7" i="5"/>
  <c r="N7" i="5"/>
  <c r="L7" i="5"/>
  <c r="J7" i="5"/>
  <c r="H7" i="5"/>
  <c r="F7" i="5"/>
  <c r="D7" i="5"/>
  <c r="R6" i="5"/>
  <c r="P6" i="5"/>
  <c r="N6" i="5"/>
  <c r="L6" i="5"/>
  <c r="J6" i="5"/>
  <c r="H6" i="5"/>
  <c r="F6" i="5"/>
  <c r="D6" i="5"/>
  <c r="R5" i="5"/>
  <c r="P5" i="5"/>
  <c r="N5" i="5"/>
  <c r="L5" i="5"/>
  <c r="J5" i="5"/>
  <c r="H5" i="5"/>
  <c r="F5" i="5"/>
  <c r="D5" i="5"/>
  <c r="R4" i="5"/>
  <c r="P4" i="5"/>
  <c r="N4" i="5"/>
  <c r="L4" i="5"/>
  <c r="J4" i="5"/>
  <c r="H4" i="5"/>
  <c r="F4" i="5"/>
  <c r="D4" i="5"/>
  <c r="R3" i="5"/>
  <c r="P3" i="5"/>
  <c r="N3" i="5"/>
  <c r="L3" i="5"/>
  <c r="J3" i="5"/>
  <c r="H3" i="5"/>
  <c r="F3" i="5"/>
  <c r="D3" i="5"/>
  <c r="S17" i="5"/>
  <c r="Q17" i="5"/>
  <c r="O17" i="5"/>
  <c r="M17" i="5"/>
  <c r="K17" i="5"/>
  <c r="I17" i="5"/>
  <c r="G17" i="5"/>
  <c r="E17" i="5"/>
  <c r="Q16" i="5"/>
  <c r="M16" i="5"/>
  <c r="I16" i="5"/>
  <c r="E16" i="5"/>
  <c r="Q15" i="5"/>
  <c r="M15" i="5"/>
  <c r="I15" i="5"/>
  <c r="E15" i="5"/>
  <c r="Q14" i="5"/>
  <c r="M14" i="5"/>
  <c r="I14" i="5"/>
  <c r="E14" i="5"/>
  <c r="Q13" i="5"/>
  <c r="M13" i="5"/>
  <c r="I13" i="5"/>
  <c r="E13" i="5"/>
  <c r="Q12" i="5"/>
  <c r="M12" i="5"/>
  <c r="I12" i="5"/>
  <c r="E12" i="5"/>
  <c r="Q11" i="5"/>
  <c r="M11" i="5"/>
  <c r="I11" i="5"/>
  <c r="E11" i="5"/>
  <c r="Q10" i="5"/>
  <c r="M10" i="5"/>
  <c r="I10" i="5"/>
  <c r="E10" i="5"/>
  <c r="Q9" i="5"/>
  <c r="M9" i="5"/>
  <c r="I9" i="5"/>
  <c r="E9" i="5"/>
  <c r="Q8" i="5"/>
  <c r="M8" i="5"/>
  <c r="I8" i="5"/>
  <c r="E8" i="5"/>
  <c r="Q7" i="5"/>
  <c r="M7" i="5"/>
  <c r="I7" i="5"/>
  <c r="E7" i="5"/>
  <c r="Q6" i="5"/>
  <c r="M6" i="5"/>
  <c r="I6" i="5"/>
  <c r="E6" i="5"/>
  <c r="Q5" i="5"/>
  <c r="M5" i="5"/>
  <c r="I5" i="5"/>
  <c r="E5" i="5"/>
  <c r="Q4" i="5"/>
  <c r="M4" i="5"/>
  <c r="I4" i="5"/>
  <c r="E4" i="5"/>
  <c r="Q3" i="5"/>
  <c r="M3" i="5"/>
  <c r="I3" i="5"/>
  <c r="E3" i="5"/>
  <c r="C17" i="5"/>
  <c r="S16" i="5"/>
  <c r="O16" i="5"/>
  <c r="K16" i="5"/>
  <c r="G16" i="5"/>
  <c r="C16" i="5"/>
  <c r="S15" i="5"/>
  <c r="O15" i="5"/>
  <c r="K15" i="5"/>
  <c r="G15" i="5"/>
  <c r="C15" i="5"/>
  <c r="S14" i="5"/>
  <c r="O14" i="5"/>
  <c r="K14" i="5"/>
  <c r="G14" i="5"/>
  <c r="C14" i="5"/>
  <c r="S13" i="5"/>
  <c r="O13" i="5"/>
  <c r="K13" i="5"/>
  <c r="G13" i="5"/>
  <c r="C13" i="5"/>
  <c r="S12" i="5"/>
  <c r="O12" i="5"/>
  <c r="K12" i="5"/>
  <c r="G12" i="5"/>
  <c r="C12" i="5"/>
  <c r="S11" i="5"/>
  <c r="O11" i="5"/>
  <c r="K11" i="5"/>
  <c r="G11" i="5"/>
  <c r="C11" i="5"/>
  <c r="S10" i="5"/>
  <c r="O10" i="5"/>
  <c r="K10" i="5"/>
  <c r="G10" i="5"/>
  <c r="C10" i="5"/>
  <c r="S9" i="5"/>
  <c r="O9" i="5"/>
  <c r="K9" i="5"/>
  <c r="G9" i="5"/>
  <c r="C9" i="5"/>
  <c r="S8" i="5"/>
  <c r="O8" i="5"/>
  <c r="K8" i="5"/>
  <c r="G8" i="5"/>
  <c r="C8" i="5"/>
  <c r="S7" i="5"/>
  <c r="O7" i="5"/>
  <c r="K7" i="5"/>
  <c r="G7" i="5"/>
  <c r="C7" i="5"/>
  <c r="S6" i="5"/>
  <c r="O6" i="5"/>
  <c r="K6" i="5"/>
  <c r="G6" i="5"/>
  <c r="C6" i="5"/>
  <c r="S5" i="5"/>
  <c r="O5" i="5"/>
  <c r="K5" i="5"/>
  <c r="G5" i="5"/>
  <c r="C5" i="5"/>
  <c r="S4" i="5"/>
  <c r="O4" i="5"/>
  <c r="K4" i="5"/>
  <c r="G4" i="5"/>
  <c r="C4" i="5"/>
  <c r="S3" i="5"/>
  <c r="O3" i="5"/>
  <c r="K3" i="5"/>
  <c r="G3" i="5"/>
  <c r="C3" i="5"/>
  <c r="K40" i="10" l="1"/>
  <c r="E42" i="9"/>
  <c r="E42" i="7"/>
  <c r="G39" i="10"/>
  <c r="G45" i="10" s="1"/>
  <c r="G46" i="10" s="1"/>
  <c r="D39" i="10"/>
  <c r="G39" i="9"/>
  <c r="G45" i="9" s="1"/>
  <c r="G46" i="9" s="1"/>
  <c r="D39" i="9"/>
  <c r="G39" i="8"/>
  <c r="G45" i="8" s="1"/>
  <c r="G46" i="8" s="1"/>
  <c r="D39" i="8"/>
  <c r="G39" i="7"/>
  <c r="G45" i="7" s="1"/>
  <c r="G46" i="7" s="1"/>
  <c r="D39" i="7"/>
  <c r="V36" i="5"/>
  <c r="Z36" i="5"/>
  <c r="AD36" i="5"/>
  <c r="AH36" i="5"/>
  <c r="V37" i="5"/>
  <c r="Z37" i="5"/>
  <c r="AD37" i="5"/>
  <c r="AH37" i="5"/>
  <c r="V38" i="5"/>
  <c r="Z38" i="5"/>
  <c r="AD38" i="5"/>
  <c r="AH38" i="5"/>
  <c r="V39" i="5"/>
  <c r="Z39" i="5"/>
  <c r="AD39" i="5"/>
  <c r="AH39" i="5"/>
  <c r="V40" i="5"/>
  <c r="Z40" i="5"/>
  <c r="AD40" i="5"/>
  <c r="AH40" i="5"/>
  <c r="V41" i="5"/>
  <c r="Z41" i="5"/>
  <c r="AD41" i="5"/>
  <c r="AH41" i="5"/>
  <c r="V42" i="5"/>
  <c r="Z42" i="5"/>
  <c r="E22" i="5"/>
  <c r="D22" i="5" s="1"/>
  <c r="AH42" i="5"/>
  <c r="V43" i="5"/>
  <c r="Z43" i="5"/>
  <c r="AD43" i="5"/>
  <c r="AH43" i="5"/>
  <c r="V44" i="5"/>
  <c r="Z44" i="5"/>
  <c r="AD44" i="5"/>
  <c r="AH44" i="5"/>
  <c r="V45" i="5"/>
  <c r="Z45" i="5"/>
  <c r="AD45" i="5"/>
  <c r="AH45" i="5"/>
  <c r="V46" i="5"/>
  <c r="Z46" i="5"/>
  <c r="AD46" i="5"/>
  <c r="AH46" i="5"/>
  <c r="V47" i="5"/>
  <c r="Z47" i="5"/>
  <c r="AD47" i="5"/>
  <c r="AH47" i="5"/>
  <c r="V48" i="5"/>
  <c r="Z48" i="5"/>
  <c r="AD48" i="5"/>
  <c r="AH48" i="5"/>
  <c r="V49" i="5"/>
  <c r="Z49" i="5"/>
  <c r="AD49" i="5"/>
  <c r="AH49" i="5"/>
  <c r="V50" i="5"/>
  <c r="X36" i="5"/>
  <c r="AB36" i="5"/>
  <c r="AF36" i="5"/>
  <c r="AJ36" i="5"/>
  <c r="X37" i="5"/>
  <c r="AB37" i="5"/>
  <c r="AF37" i="5"/>
  <c r="AJ37" i="5"/>
  <c r="X38" i="5"/>
  <c r="AB38" i="5"/>
  <c r="AF38" i="5"/>
  <c r="AJ38" i="5"/>
  <c r="X39" i="5"/>
  <c r="AB39" i="5"/>
  <c r="AF39" i="5"/>
  <c r="AJ39" i="5"/>
  <c r="X40" i="5"/>
  <c r="AB40" i="5"/>
  <c r="AF40" i="5"/>
  <c r="AJ40" i="5"/>
  <c r="X41" i="5"/>
  <c r="AB41" i="5"/>
  <c r="AF41" i="5"/>
  <c r="AJ41" i="5"/>
  <c r="X42" i="5"/>
  <c r="AB42" i="5"/>
  <c r="AF42" i="5"/>
  <c r="AJ42" i="5"/>
  <c r="X43" i="5"/>
  <c r="AB43" i="5"/>
  <c r="AF43" i="5"/>
  <c r="AJ43" i="5"/>
  <c r="X44" i="5"/>
  <c r="AB44" i="5"/>
  <c r="AF44" i="5"/>
  <c r="AJ44" i="5"/>
  <c r="X45" i="5"/>
  <c r="AB45" i="5"/>
  <c r="AF45" i="5"/>
  <c r="AJ45" i="5"/>
  <c r="X46" i="5"/>
  <c r="AB46" i="5"/>
  <c r="AF46" i="5"/>
  <c r="AJ46" i="5"/>
  <c r="X47" i="5"/>
  <c r="AB47" i="5"/>
  <c r="AF47" i="5"/>
  <c r="AJ47" i="5"/>
  <c r="X48" i="5"/>
  <c r="AB48" i="5"/>
  <c r="AF48" i="5"/>
  <c r="AJ48" i="5"/>
  <c r="X49" i="5"/>
  <c r="AB49" i="5"/>
  <c r="AF49" i="5"/>
  <c r="AJ49" i="5"/>
  <c r="X50" i="5"/>
  <c r="Z50" i="5"/>
  <c r="AB50" i="5"/>
  <c r="AD50" i="5"/>
  <c r="AF50" i="5"/>
  <c r="AH50" i="5"/>
  <c r="AJ50" i="5"/>
  <c r="Y36" i="5"/>
  <c r="AA36" i="5"/>
  <c r="AC36" i="5"/>
  <c r="AE36" i="5"/>
  <c r="AG36" i="5"/>
  <c r="AI36" i="5"/>
  <c r="W37" i="5"/>
  <c r="Y37" i="5"/>
  <c r="AA37" i="5"/>
  <c r="AC37" i="5"/>
  <c r="AE37" i="5"/>
  <c r="AG37" i="5"/>
  <c r="AI37" i="5"/>
  <c r="W38" i="5"/>
  <c r="Y38" i="5"/>
  <c r="AA38" i="5"/>
  <c r="AC38" i="5"/>
  <c r="AE38" i="5"/>
  <c r="AG38" i="5"/>
  <c r="AI38" i="5"/>
  <c r="W39" i="5"/>
  <c r="Y39" i="5"/>
  <c r="AA39" i="5"/>
  <c r="AC39" i="5"/>
  <c r="AE39" i="5"/>
  <c r="AG39" i="5"/>
  <c r="AI39" i="5"/>
  <c r="W40" i="5"/>
  <c r="Y40" i="5"/>
  <c r="AA40" i="5"/>
  <c r="AE40" i="5"/>
  <c r="AG40" i="5"/>
  <c r="AI40" i="5"/>
  <c r="W41" i="5"/>
  <c r="Y41" i="5"/>
  <c r="AA41" i="5"/>
  <c r="AC41" i="5"/>
  <c r="AG41" i="5"/>
  <c r="AI41" i="5"/>
  <c r="W42" i="5"/>
  <c r="Y42" i="5"/>
  <c r="AA42" i="5"/>
  <c r="AC42" i="5"/>
  <c r="AE42" i="5"/>
  <c r="AG42" i="5"/>
  <c r="AI42" i="5"/>
  <c r="W43" i="5"/>
  <c r="Y43" i="5"/>
  <c r="AA43" i="5"/>
  <c r="AC43" i="5"/>
  <c r="AE43" i="5"/>
  <c r="AG43" i="5"/>
  <c r="AI43" i="5"/>
  <c r="W44" i="5"/>
  <c r="Y44" i="5"/>
  <c r="AA44" i="5"/>
  <c r="AC44" i="5"/>
  <c r="AE44" i="5"/>
  <c r="AG44" i="5"/>
  <c r="AI44" i="5"/>
  <c r="W45" i="5"/>
  <c r="Y45" i="5"/>
  <c r="AA45" i="5"/>
  <c r="AC45" i="5"/>
  <c r="AE45" i="5"/>
  <c r="AG45" i="5"/>
  <c r="AI45" i="5"/>
  <c r="W46" i="5"/>
  <c r="AA46" i="5"/>
  <c r="AC46" i="5"/>
  <c r="AE46" i="5"/>
  <c r="AG46" i="5"/>
  <c r="AI46" i="5"/>
  <c r="W47" i="5"/>
  <c r="Y47" i="5"/>
  <c r="AA47" i="5"/>
  <c r="AC47" i="5"/>
  <c r="AE47" i="5"/>
  <c r="AG47" i="5"/>
  <c r="AI47" i="5"/>
  <c r="W48" i="5"/>
  <c r="Y48" i="5"/>
  <c r="AA48" i="5"/>
  <c r="AC48" i="5"/>
  <c r="AE48" i="5"/>
  <c r="AG48" i="5"/>
  <c r="W49" i="5"/>
  <c r="Y49" i="5"/>
  <c r="AA49" i="5"/>
  <c r="AC49" i="5"/>
  <c r="AE49" i="5"/>
  <c r="AG49" i="5"/>
  <c r="AI49" i="5"/>
  <c r="W50" i="5"/>
  <c r="Y50" i="5"/>
  <c r="AA50" i="5"/>
  <c r="AC50" i="5"/>
  <c r="AE50" i="5"/>
  <c r="AG50" i="5"/>
  <c r="AI50" i="5"/>
  <c r="V35" i="5"/>
  <c r="G33" i="5"/>
  <c r="G34" i="5"/>
  <c r="G29" i="5"/>
  <c r="G23" i="5"/>
  <c r="G27" i="5"/>
  <c r="G21" i="5"/>
  <c r="G37" i="5" s="1"/>
  <c r="G43" i="5" s="1"/>
  <c r="G44" i="5" s="1"/>
  <c r="G31" i="5"/>
  <c r="G35" i="5"/>
  <c r="G25" i="5"/>
  <c r="H21" i="5"/>
  <c r="H23" i="5"/>
  <c r="H29" i="5"/>
  <c r="E21" i="5"/>
  <c r="D21" i="5" s="1"/>
  <c r="E23" i="5"/>
  <c r="D23" i="5" s="1"/>
  <c r="E29" i="5"/>
  <c r="D29" i="5" s="1"/>
  <c r="E33" i="5"/>
  <c r="D33" i="5" s="1"/>
  <c r="D37" i="5"/>
  <c r="C40" i="5" s="1"/>
  <c r="E27" i="5"/>
  <c r="D27" i="5" s="1"/>
  <c r="E31" i="5"/>
  <c r="D31" i="5" s="1"/>
  <c r="E35" i="5"/>
  <c r="D35" i="5" s="1"/>
  <c r="AD42" i="5"/>
  <c r="G22" i="5" s="1"/>
  <c r="W36" i="5"/>
  <c r="G32" i="5" s="1"/>
  <c r="E32" i="5"/>
  <c r="D32" i="5" s="1"/>
  <c r="E24" i="5"/>
  <c r="D24" i="5" s="1"/>
  <c r="AC40" i="5"/>
  <c r="G24" i="5" s="1"/>
  <c r="AE41" i="5"/>
  <c r="G26" i="5" s="1"/>
  <c r="E26" i="5"/>
  <c r="D26" i="5" s="1"/>
  <c r="E28" i="5"/>
  <c r="D28" i="5" s="1"/>
  <c r="Y46" i="5"/>
  <c r="G28" i="5" s="1"/>
  <c r="E30" i="5"/>
  <c r="D30" i="5" s="1"/>
  <c r="AI48" i="5"/>
  <c r="G30" i="5" s="1"/>
  <c r="G36" i="5"/>
  <c r="E36" i="5"/>
  <c r="D36" i="5" s="1"/>
  <c r="F37" i="5"/>
  <c r="E25" i="5"/>
  <c r="D25" i="5" s="1"/>
  <c r="E34" i="5"/>
  <c r="D34" i="5" s="1"/>
  <c r="H3" i="3"/>
  <c r="H4" i="3"/>
  <c r="H5" i="3"/>
  <c r="H6" i="3"/>
  <c r="H7" i="3"/>
  <c r="H8" i="3"/>
  <c r="H9" i="3"/>
  <c r="H10" i="3"/>
  <c r="H11" i="3"/>
  <c r="H12" i="3"/>
  <c r="H13" i="3"/>
  <c r="H14" i="3"/>
  <c r="H15" i="3"/>
  <c r="H16" i="3"/>
  <c r="H17" i="3"/>
  <c r="H18" i="3"/>
  <c r="H2" i="3"/>
  <c r="C42" i="10" l="1"/>
  <c r="H42" i="10" s="1"/>
  <c r="K39" i="10"/>
  <c r="C42" i="9"/>
  <c r="H42" i="9" s="1"/>
  <c r="K39" i="9"/>
  <c r="C42" i="8"/>
  <c r="H42" i="8" s="1"/>
  <c r="C42" i="7"/>
  <c r="H42" i="7" s="1"/>
  <c r="K39" i="7"/>
  <c r="H37" i="5"/>
  <c r="H43" i="5" s="1"/>
  <c r="K37" i="5"/>
  <c r="E40" i="5"/>
  <c r="H40" i="5" s="1"/>
  <c r="K38" i="5"/>
  <c r="E42" i="2"/>
  <c r="J39" i="2"/>
  <c r="F39" i="2"/>
  <c r="F38" i="2"/>
  <c r="C38" i="2"/>
  <c r="F37" i="2"/>
  <c r="C37" i="2"/>
  <c r="F36" i="2"/>
  <c r="C36" i="2"/>
  <c r="F35" i="2"/>
  <c r="C35" i="2"/>
  <c r="F34" i="2"/>
  <c r="C34" i="2"/>
  <c r="F33" i="2"/>
  <c r="C33" i="2"/>
  <c r="F32" i="2"/>
  <c r="C32" i="2"/>
  <c r="F31" i="2"/>
  <c r="C31" i="2"/>
  <c r="F30" i="2"/>
  <c r="C30" i="2"/>
  <c r="F29" i="2"/>
  <c r="C29" i="2"/>
  <c r="F28" i="2"/>
  <c r="C28" i="2"/>
  <c r="F27" i="2"/>
  <c r="C27" i="2"/>
  <c r="F26" i="2"/>
  <c r="C26" i="2"/>
  <c r="F25" i="2"/>
  <c r="C25" i="2"/>
  <c r="F24" i="2"/>
  <c r="C24" i="2"/>
  <c r="F23" i="2"/>
  <c r="C23" i="2"/>
  <c r="F22" i="2"/>
  <c r="D22" i="2"/>
  <c r="C22" i="2"/>
  <c r="AN19" i="2"/>
  <c r="AM19" i="2"/>
  <c r="AN18" i="2"/>
  <c r="AM18" i="2"/>
  <c r="AN17" i="2"/>
  <c r="AM17" i="2"/>
  <c r="AN16" i="2"/>
  <c r="AM16" i="2"/>
  <c r="AN15" i="2"/>
  <c r="AM15" i="2"/>
  <c r="AN14" i="2"/>
  <c r="AM14" i="2"/>
  <c r="AN13" i="2"/>
  <c r="AM13" i="2"/>
  <c r="AN12" i="2"/>
  <c r="AM12" i="2"/>
  <c r="AN11" i="2"/>
  <c r="AM11" i="2"/>
  <c r="AN10" i="2"/>
  <c r="AM10" i="2"/>
  <c r="AN9" i="2"/>
  <c r="AM9" i="2"/>
  <c r="AN8" i="2"/>
  <c r="AM8" i="2"/>
  <c r="AN7" i="2"/>
  <c r="AM7" i="2"/>
  <c r="AN6" i="2"/>
  <c r="AM6" i="2"/>
  <c r="AN5" i="2"/>
  <c r="AM5" i="2"/>
  <c r="AN4" i="2"/>
  <c r="AM4" i="2"/>
  <c r="AN3" i="2"/>
  <c r="AM3" i="2"/>
  <c r="AL38" i="1"/>
  <c r="AK38" i="1"/>
  <c r="AJ38" i="1"/>
  <c r="AI38" i="1"/>
  <c r="AH38" i="1"/>
  <c r="AG38" i="1"/>
  <c r="AF38" i="1"/>
  <c r="AE38" i="1"/>
  <c r="AD38" i="1"/>
  <c r="AC38" i="1"/>
  <c r="AB38" i="1"/>
  <c r="AA38" i="1"/>
  <c r="Z38" i="1"/>
  <c r="Y38" i="1"/>
  <c r="X38" i="1"/>
  <c r="W38" i="1"/>
  <c r="V38" i="1"/>
  <c r="H38" i="1"/>
  <c r="F38" i="1"/>
  <c r="C38" i="1"/>
  <c r="D18" i="3" s="1"/>
  <c r="E18" i="3" s="1"/>
  <c r="AL37" i="1"/>
  <c r="AK37" i="1"/>
  <c r="AJ37" i="1"/>
  <c r="AI37" i="1"/>
  <c r="AH37" i="1"/>
  <c r="AG37" i="1"/>
  <c r="AF37" i="1"/>
  <c r="AE37" i="1"/>
  <c r="AD37" i="1"/>
  <c r="AC37" i="1"/>
  <c r="AB37" i="1"/>
  <c r="AA37" i="1"/>
  <c r="Z37" i="1"/>
  <c r="Y37" i="1"/>
  <c r="X37" i="1"/>
  <c r="W37" i="1"/>
  <c r="V37" i="1"/>
  <c r="H37" i="1"/>
  <c r="F37" i="1"/>
  <c r="C37" i="1"/>
  <c r="D17" i="3" s="1"/>
  <c r="F17" i="3" s="1"/>
  <c r="AL36" i="1"/>
  <c r="AK36" i="1"/>
  <c r="AJ36" i="1"/>
  <c r="AI36" i="1"/>
  <c r="AH36" i="1"/>
  <c r="AG36" i="1"/>
  <c r="AF36" i="1"/>
  <c r="AE36" i="1"/>
  <c r="AD36" i="1"/>
  <c r="AC36" i="1"/>
  <c r="AB36" i="1"/>
  <c r="AA36" i="1"/>
  <c r="Z36" i="1"/>
  <c r="Y36" i="1"/>
  <c r="X36" i="1"/>
  <c r="W36" i="1"/>
  <c r="V36" i="1"/>
  <c r="H36" i="1"/>
  <c r="F36" i="1"/>
  <c r="C36" i="1"/>
  <c r="D16" i="3" s="1"/>
  <c r="AL35" i="1"/>
  <c r="AK35" i="1"/>
  <c r="AJ35" i="1"/>
  <c r="AI35" i="1"/>
  <c r="AH35" i="1"/>
  <c r="AG35" i="1"/>
  <c r="AF35" i="1"/>
  <c r="AE35" i="1"/>
  <c r="AD35" i="1"/>
  <c r="AC35" i="1"/>
  <c r="AB35" i="1"/>
  <c r="AA35" i="1"/>
  <c r="Z35" i="1"/>
  <c r="Y35" i="1"/>
  <c r="X35" i="1"/>
  <c r="W35" i="1"/>
  <c r="V35" i="1"/>
  <c r="H35" i="1"/>
  <c r="F35" i="1"/>
  <c r="C35" i="1"/>
  <c r="D15" i="3" s="1"/>
  <c r="F15" i="3" s="1"/>
  <c r="AL34" i="1"/>
  <c r="AK34" i="1"/>
  <c r="AJ34" i="1"/>
  <c r="AI34" i="1"/>
  <c r="AH34" i="1"/>
  <c r="AG34" i="1"/>
  <c r="AF34" i="1"/>
  <c r="AE34" i="1"/>
  <c r="AD34" i="1"/>
  <c r="AC34" i="1"/>
  <c r="AB34" i="1"/>
  <c r="AA34" i="1"/>
  <c r="Z34" i="1"/>
  <c r="Y34" i="1"/>
  <c r="X34" i="1"/>
  <c r="W34" i="1"/>
  <c r="V34" i="1"/>
  <c r="H34" i="1"/>
  <c r="F34" i="1"/>
  <c r="C34" i="1"/>
  <c r="D14" i="3" s="1"/>
  <c r="E14" i="3" s="1"/>
  <c r="AL33" i="1"/>
  <c r="AK33" i="1"/>
  <c r="AJ33" i="1"/>
  <c r="AI33" i="1"/>
  <c r="AH33" i="1"/>
  <c r="AG33" i="1"/>
  <c r="AF33" i="1"/>
  <c r="AE33" i="1"/>
  <c r="AD33" i="1"/>
  <c r="AC33" i="1"/>
  <c r="AB33" i="1"/>
  <c r="AA33" i="1"/>
  <c r="Z33" i="1"/>
  <c r="Y33" i="1"/>
  <c r="X33" i="1"/>
  <c r="W33" i="1"/>
  <c r="V33" i="1"/>
  <c r="H33" i="1"/>
  <c r="F33" i="1"/>
  <c r="C33" i="1"/>
  <c r="D13" i="3" s="1"/>
  <c r="F13" i="3" s="1"/>
  <c r="AL32" i="1"/>
  <c r="AK32" i="1"/>
  <c r="AJ32" i="1"/>
  <c r="AI32" i="1"/>
  <c r="AH32" i="1"/>
  <c r="AG32" i="1"/>
  <c r="AF32" i="1"/>
  <c r="AE32" i="1"/>
  <c r="AD32" i="1"/>
  <c r="AC32" i="1"/>
  <c r="AB32" i="1"/>
  <c r="AA32" i="1"/>
  <c r="Z32" i="1"/>
  <c r="Y32" i="1"/>
  <c r="X32" i="1"/>
  <c r="W32" i="1"/>
  <c r="V32" i="1"/>
  <c r="H32" i="1"/>
  <c r="F32" i="1"/>
  <c r="C32" i="1"/>
  <c r="D12" i="3" s="1"/>
  <c r="AL31" i="1"/>
  <c r="AK31" i="1"/>
  <c r="AJ31" i="1"/>
  <c r="AI31" i="1"/>
  <c r="AH31" i="1"/>
  <c r="AG31" i="1"/>
  <c r="AF31" i="1"/>
  <c r="AE31" i="1"/>
  <c r="AD31" i="1"/>
  <c r="AC31" i="1"/>
  <c r="AB31" i="1"/>
  <c r="AA31" i="1"/>
  <c r="Z31" i="1"/>
  <c r="Y31" i="1"/>
  <c r="X31" i="1"/>
  <c r="W31" i="1"/>
  <c r="V31" i="1"/>
  <c r="H31" i="1"/>
  <c r="F31" i="1"/>
  <c r="C31" i="1"/>
  <c r="D11" i="3" s="1"/>
  <c r="F11" i="3" s="1"/>
  <c r="AL30" i="1"/>
  <c r="AK30" i="1"/>
  <c r="AJ30" i="1"/>
  <c r="AI30" i="1"/>
  <c r="AH30" i="1"/>
  <c r="AG30" i="1"/>
  <c r="AF30" i="1"/>
  <c r="AE30" i="1"/>
  <c r="AD30" i="1"/>
  <c r="AC30" i="1"/>
  <c r="AB30" i="1"/>
  <c r="AA30" i="1"/>
  <c r="Z30" i="1"/>
  <c r="Y30" i="1"/>
  <c r="X30" i="1"/>
  <c r="W30" i="1"/>
  <c r="V30" i="1"/>
  <c r="H30" i="1"/>
  <c r="F30" i="1"/>
  <c r="C30" i="1"/>
  <c r="D10" i="3" s="1"/>
  <c r="E10" i="3" s="1"/>
  <c r="AL29" i="1"/>
  <c r="AK29" i="1"/>
  <c r="AJ29" i="1"/>
  <c r="AI29" i="1"/>
  <c r="AH29" i="1"/>
  <c r="AG29" i="1"/>
  <c r="AF29" i="1"/>
  <c r="AE29" i="1"/>
  <c r="AD29" i="1"/>
  <c r="AC29" i="1"/>
  <c r="AB29" i="1"/>
  <c r="AA29" i="1"/>
  <c r="Z29" i="1"/>
  <c r="Y29" i="1"/>
  <c r="X29" i="1"/>
  <c r="W29" i="1"/>
  <c r="V29" i="1"/>
  <c r="H29" i="1"/>
  <c r="F29" i="1"/>
  <c r="C29" i="1"/>
  <c r="D9" i="3" s="1"/>
  <c r="F9" i="3" s="1"/>
  <c r="AL28" i="1"/>
  <c r="AK28" i="1"/>
  <c r="AJ28" i="1"/>
  <c r="AI28" i="1"/>
  <c r="AH28" i="1"/>
  <c r="AG28" i="1"/>
  <c r="AF28" i="1"/>
  <c r="AE28" i="1"/>
  <c r="AD28" i="1"/>
  <c r="AC28" i="1"/>
  <c r="AB28" i="1"/>
  <c r="AA28" i="1"/>
  <c r="Z28" i="1"/>
  <c r="Y28" i="1"/>
  <c r="X28" i="1"/>
  <c r="W28" i="1"/>
  <c r="V28" i="1"/>
  <c r="H28" i="1"/>
  <c r="F28" i="1"/>
  <c r="C28" i="1"/>
  <c r="D8" i="3" s="1"/>
  <c r="AL27" i="1"/>
  <c r="AK27" i="1"/>
  <c r="AJ27" i="1"/>
  <c r="AI27" i="1"/>
  <c r="AH27" i="1"/>
  <c r="AG27" i="1"/>
  <c r="AF27" i="1"/>
  <c r="AE27" i="1"/>
  <c r="AD27" i="1"/>
  <c r="AC27" i="1"/>
  <c r="AB27" i="1"/>
  <c r="AA27" i="1"/>
  <c r="Z27" i="1"/>
  <c r="Y27" i="1"/>
  <c r="X27" i="1"/>
  <c r="W27" i="1"/>
  <c r="V27" i="1"/>
  <c r="H27" i="1"/>
  <c r="F27" i="1"/>
  <c r="C27" i="1"/>
  <c r="D7" i="3" s="1"/>
  <c r="F7" i="3" s="1"/>
  <c r="AL26" i="1"/>
  <c r="AK26" i="1"/>
  <c r="AJ26" i="1"/>
  <c r="AI26" i="1"/>
  <c r="AH26" i="1"/>
  <c r="AG26" i="1"/>
  <c r="AF26" i="1"/>
  <c r="AE26" i="1"/>
  <c r="AD26" i="1"/>
  <c r="AC26" i="1"/>
  <c r="AB26" i="1"/>
  <c r="AA26" i="1"/>
  <c r="Z26" i="1"/>
  <c r="Y26" i="1"/>
  <c r="X26" i="1"/>
  <c r="W26" i="1"/>
  <c r="V26" i="1"/>
  <c r="H26" i="1"/>
  <c r="F26" i="1"/>
  <c r="C26" i="1"/>
  <c r="D6" i="3" s="1"/>
  <c r="E6" i="3" s="1"/>
  <c r="AL25" i="1"/>
  <c r="AK25" i="1"/>
  <c r="AJ25" i="1"/>
  <c r="AI25" i="1"/>
  <c r="AH25" i="1"/>
  <c r="AG25" i="1"/>
  <c r="AF25" i="1"/>
  <c r="AE25" i="1"/>
  <c r="AD25" i="1"/>
  <c r="AC25" i="1"/>
  <c r="AB25" i="1"/>
  <c r="AA25" i="1"/>
  <c r="Z25" i="1"/>
  <c r="Y25" i="1"/>
  <c r="X25" i="1"/>
  <c r="W25" i="1"/>
  <c r="V25" i="1"/>
  <c r="H25" i="1"/>
  <c r="F25" i="1"/>
  <c r="C25" i="1"/>
  <c r="D5" i="3" s="1"/>
  <c r="F5" i="3" s="1"/>
  <c r="AL24" i="1"/>
  <c r="AK24" i="1"/>
  <c r="AJ24" i="1"/>
  <c r="AI24" i="1"/>
  <c r="AH24" i="1"/>
  <c r="AG24" i="1"/>
  <c r="AF24" i="1"/>
  <c r="AE24" i="1"/>
  <c r="AD24" i="1"/>
  <c r="AC24" i="1"/>
  <c r="AB24" i="1"/>
  <c r="AA24" i="1"/>
  <c r="Z24" i="1"/>
  <c r="Y24" i="1"/>
  <c r="X24" i="1"/>
  <c r="W24" i="1"/>
  <c r="V24" i="1"/>
  <c r="H24" i="1"/>
  <c r="F24" i="1"/>
  <c r="C24" i="1"/>
  <c r="D4" i="3" s="1"/>
  <c r="AL23" i="1"/>
  <c r="AK23" i="1"/>
  <c r="AJ23" i="1"/>
  <c r="AI23" i="1"/>
  <c r="AH23" i="1"/>
  <c r="AG23" i="1"/>
  <c r="AF23" i="1"/>
  <c r="AE23" i="1"/>
  <c r="AD23" i="1"/>
  <c r="AC23" i="1"/>
  <c r="AB23" i="1"/>
  <c r="AA23" i="1"/>
  <c r="Z23" i="1"/>
  <c r="Y23" i="1"/>
  <c r="X23" i="1"/>
  <c r="W23" i="1"/>
  <c r="V23" i="1"/>
  <c r="H23" i="1"/>
  <c r="F23" i="1"/>
  <c r="C23" i="1"/>
  <c r="D3" i="3" s="1"/>
  <c r="F3" i="3" s="1"/>
  <c r="AL22" i="1"/>
  <c r="AK22" i="1"/>
  <c r="AJ22" i="1"/>
  <c r="AI22" i="1"/>
  <c r="AH22" i="1"/>
  <c r="AG22" i="1"/>
  <c r="AF22" i="1"/>
  <c r="AE22" i="1"/>
  <c r="AD22" i="1"/>
  <c r="AC22" i="1"/>
  <c r="AB22" i="1"/>
  <c r="AA22" i="1"/>
  <c r="Z22" i="1"/>
  <c r="Y22" i="1"/>
  <c r="X22" i="1"/>
  <c r="W22" i="1"/>
  <c r="V22" i="1"/>
  <c r="H22" i="1"/>
  <c r="F22" i="1"/>
  <c r="D22" i="1"/>
  <c r="C22" i="1"/>
  <c r="D2" i="3" s="1"/>
  <c r="E2" i="3" s="1"/>
  <c r="AM19" i="1"/>
  <c r="AM18" i="1"/>
  <c r="AM17" i="1"/>
  <c r="AM16" i="1"/>
  <c r="AM15" i="1"/>
  <c r="AM14" i="1"/>
  <c r="AM13" i="1"/>
  <c r="AM12" i="1"/>
  <c r="AM11" i="1"/>
  <c r="AM10" i="1"/>
  <c r="AM9" i="1"/>
  <c r="AM8" i="1"/>
  <c r="AM7" i="1"/>
  <c r="AM6" i="1"/>
  <c r="AM5" i="1"/>
  <c r="AM4" i="1"/>
  <c r="AM3" i="1"/>
  <c r="F39" i="1" l="1"/>
  <c r="E42" i="1" s="1"/>
  <c r="H39" i="1"/>
  <c r="H45" i="1" s="1"/>
  <c r="E11" i="3"/>
  <c r="E15" i="3"/>
  <c r="E12" i="3"/>
  <c r="F12" i="3"/>
  <c r="E16" i="3"/>
  <c r="F16" i="3"/>
  <c r="E3" i="3"/>
  <c r="E7" i="3"/>
  <c r="E4" i="3"/>
  <c r="F4" i="3"/>
  <c r="E8" i="3"/>
  <c r="F8" i="3"/>
  <c r="F2" i="3"/>
  <c r="E5" i="3"/>
  <c r="F6" i="3"/>
  <c r="E9" i="3"/>
  <c r="F10" i="3"/>
  <c r="E13" i="3"/>
  <c r="F14" i="3"/>
  <c r="E17" i="3"/>
  <c r="F18" i="3"/>
  <c r="K40" i="1" l="1"/>
  <c r="G19" i="2"/>
  <c r="H18" i="2"/>
  <c r="I17" i="2"/>
  <c r="J16" i="2"/>
  <c r="K15" i="2"/>
  <c r="L14" i="2"/>
  <c r="M13" i="2"/>
  <c r="N12" i="2"/>
  <c r="O11" i="2"/>
  <c r="P10" i="2"/>
  <c r="Q9" i="2"/>
  <c r="R8" i="2"/>
  <c r="S7" i="2"/>
  <c r="C7" i="2"/>
  <c r="D6" i="2"/>
  <c r="E5" i="2"/>
  <c r="F4" i="2"/>
  <c r="G3" i="2"/>
  <c r="I19" i="1"/>
  <c r="K18" i="1"/>
  <c r="M17" i="1"/>
  <c r="O16" i="1"/>
  <c r="Q15" i="1"/>
  <c r="S14" i="1"/>
  <c r="C14" i="1"/>
  <c r="E13" i="1"/>
  <c r="G12" i="1"/>
  <c r="I11" i="1"/>
  <c r="K10" i="1"/>
  <c r="M9" i="1"/>
  <c r="O8" i="1"/>
  <c r="M19" i="2"/>
  <c r="O17" i="2"/>
  <c r="Q15" i="2"/>
  <c r="S13" i="2"/>
  <c r="D12" i="2"/>
  <c r="F10" i="2"/>
  <c r="H8" i="2"/>
  <c r="J6" i="2"/>
  <c r="L4" i="2"/>
  <c r="O19" i="1"/>
  <c r="S17" i="1"/>
  <c r="E16" i="1"/>
  <c r="I14" i="1"/>
  <c r="M12" i="1"/>
  <c r="Q10" i="1"/>
  <c r="C9" i="1"/>
  <c r="M7" i="1"/>
  <c r="O6" i="1"/>
  <c r="Q5" i="1"/>
  <c r="S4" i="1"/>
  <c r="C4" i="1"/>
  <c r="E3" i="1"/>
  <c r="F19" i="2"/>
  <c r="G18" i="2"/>
  <c r="H17" i="2"/>
  <c r="I16" i="2"/>
  <c r="J15" i="2"/>
  <c r="K14" i="2"/>
  <c r="L13" i="2"/>
  <c r="M12" i="2"/>
  <c r="N11" i="2"/>
  <c r="O10" i="2"/>
  <c r="S19" i="2"/>
  <c r="D18" i="2"/>
  <c r="F16" i="2"/>
  <c r="H14" i="2"/>
  <c r="J12" i="2"/>
  <c r="L10" i="2"/>
  <c r="N8" i="2"/>
  <c r="P6" i="2"/>
  <c r="R4" i="2"/>
  <c r="C3" i="2"/>
  <c r="G18" i="1"/>
  <c r="K16" i="1"/>
  <c r="O14" i="1"/>
  <c r="S12" i="1"/>
  <c r="E11" i="1"/>
  <c r="I9" i="1"/>
  <c r="E19" i="2"/>
  <c r="I15" i="2"/>
  <c r="M11" i="2"/>
  <c r="Q7" i="2"/>
  <c r="D4" i="2"/>
  <c r="K17" i="1"/>
  <c r="S13" i="1"/>
  <c r="I10" i="1"/>
  <c r="I7" i="1"/>
  <c r="M5" i="1"/>
  <c r="Q3" i="1"/>
  <c r="S18" i="2"/>
  <c r="D17" i="2"/>
  <c r="F15" i="2"/>
  <c r="H13" i="2"/>
  <c r="J11" i="2"/>
  <c r="P9" i="2"/>
  <c r="Q8" i="2"/>
  <c r="D7" i="2"/>
  <c r="F5" i="2"/>
  <c r="H3" i="2"/>
  <c r="H18" i="1"/>
  <c r="H16" i="1"/>
  <c r="H14" i="1"/>
  <c r="H12" i="1"/>
  <c r="H10" i="1"/>
  <c r="H8" i="1"/>
  <c r="H6" i="1"/>
  <c r="H4" i="1"/>
  <c r="E8" i="2"/>
  <c r="G6" i="2"/>
  <c r="I4" i="2"/>
  <c r="H19" i="1"/>
  <c r="H17" i="1"/>
  <c r="H15" i="1"/>
  <c r="H13" i="1"/>
  <c r="H11" i="1"/>
  <c r="H9" i="1"/>
  <c r="H7" i="1"/>
  <c r="H5" i="1"/>
  <c r="H3" i="1"/>
  <c r="J18" i="2"/>
  <c r="L16" i="2"/>
  <c r="N14" i="2"/>
  <c r="P12" i="2"/>
  <c r="R10" i="2"/>
  <c r="C9" i="2"/>
  <c r="E7" i="2"/>
  <c r="O19" i="2"/>
  <c r="P18" i="2"/>
  <c r="Q17" i="2"/>
  <c r="R16" i="2"/>
  <c r="S15" i="2"/>
  <c r="C15" i="2"/>
  <c r="D14" i="2"/>
  <c r="E13" i="2"/>
  <c r="F12" i="2"/>
  <c r="G11" i="2"/>
  <c r="H10" i="2"/>
  <c r="I9" i="2"/>
  <c r="J8" i="2"/>
  <c r="K7" i="2"/>
  <c r="L6" i="2"/>
  <c r="M5" i="2"/>
  <c r="N4" i="2"/>
  <c r="O3" i="2"/>
  <c r="Q19" i="1"/>
  <c r="S18" i="1"/>
  <c r="C18" i="1"/>
  <c r="E17" i="1"/>
  <c r="G16" i="1"/>
  <c r="I15" i="1"/>
  <c r="K14" i="1"/>
  <c r="M13" i="1"/>
  <c r="O12" i="1"/>
  <c r="Q11" i="1"/>
  <c r="S10" i="1"/>
  <c r="C10" i="1"/>
  <c r="E9" i="1"/>
  <c r="G8" i="1"/>
  <c r="N18" i="2"/>
  <c r="P16" i="2"/>
  <c r="R14" i="2"/>
  <c r="C13" i="2"/>
  <c r="E11" i="2"/>
  <c r="G9" i="2"/>
  <c r="I7" i="2"/>
  <c r="K5" i="2"/>
  <c r="M3" i="2"/>
  <c r="Q18" i="1"/>
  <c r="C17" i="1"/>
  <c r="G15" i="1"/>
  <c r="K13" i="1"/>
  <c r="O11" i="1"/>
  <c r="S9" i="1"/>
  <c r="E8" i="1"/>
  <c r="E7" i="1"/>
  <c r="G6" i="1"/>
  <c r="I5" i="1"/>
  <c r="K4" i="1"/>
  <c r="M3" i="1"/>
  <c r="N19" i="2"/>
  <c r="O18" i="2"/>
  <c r="P17" i="2"/>
  <c r="Q16" i="2"/>
  <c r="R15" i="2"/>
  <c r="S14" i="2"/>
  <c r="C14" i="2"/>
  <c r="D13" i="2"/>
  <c r="E12" i="2"/>
  <c r="F11" i="2"/>
  <c r="G10" i="2"/>
  <c r="C19" i="2"/>
  <c r="E17" i="2"/>
  <c r="G15" i="2"/>
  <c r="I13" i="2"/>
  <c r="K11" i="2"/>
  <c r="M9" i="2"/>
  <c r="O7" i="2"/>
  <c r="Q5" i="2"/>
  <c r="S3" i="2"/>
  <c r="E19" i="1"/>
  <c r="I17" i="1"/>
  <c r="M15" i="1"/>
  <c r="Q13" i="1"/>
  <c r="C12" i="1"/>
  <c r="G10" i="1"/>
  <c r="K8" i="1"/>
  <c r="G17" i="2"/>
  <c r="K13" i="2"/>
  <c r="O9" i="2"/>
  <c r="S5" i="2"/>
  <c r="G19" i="1"/>
  <c r="O15" i="1"/>
  <c r="E12" i="1"/>
  <c r="M8" i="1"/>
  <c r="K6" i="1"/>
  <c r="O4" i="1"/>
  <c r="R19" i="2"/>
  <c r="C18" i="2"/>
  <c r="E16" i="2"/>
  <c r="G14" i="2"/>
  <c r="I12" i="2"/>
  <c r="K10" i="2"/>
  <c r="H9" i="2"/>
  <c r="C8" i="2"/>
  <c r="E6" i="2"/>
  <c r="G4" i="2"/>
  <c r="J19" i="1"/>
  <c r="J17" i="1"/>
  <c r="J15" i="1"/>
  <c r="J13" i="1"/>
  <c r="J11" i="1"/>
  <c r="J9" i="1"/>
  <c r="J7" i="1"/>
  <c r="J5" i="1"/>
  <c r="J3" i="1"/>
  <c r="F7" i="2"/>
  <c r="H5" i="2"/>
  <c r="J3" i="2"/>
  <c r="J18" i="1"/>
  <c r="J16" i="1"/>
  <c r="J14" i="1"/>
  <c r="J12" i="1"/>
  <c r="J10" i="1"/>
  <c r="J8" i="1"/>
  <c r="J6" i="1"/>
  <c r="J4" i="1"/>
  <c r="I19" i="2"/>
  <c r="K17" i="2"/>
  <c r="M15" i="2"/>
  <c r="O13" i="2"/>
  <c r="Q11" i="2"/>
  <c r="S9" i="2"/>
  <c r="D8" i="2"/>
  <c r="F6" i="2"/>
  <c r="S19" i="1"/>
  <c r="I16" i="1"/>
  <c r="Q12" i="1"/>
  <c r="G9" i="1"/>
  <c r="Q6" i="1"/>
  <c r="C5" i="1"/>
  <c r="G3" i="1"/>
  <c r="I18" i="2"/>
  <c r="K16" i="2"/>
  <c r="M14" i="2"/>
  <c r="O12" i="2"/>
  <c r="Q10" i="2"/>
  <c r="S8" i="2"/>
  <c r="J5" i="2"/>
  <c r="L18" i="1"/>
  <c r="L14" i="1"/>
  <c r="L10" i="1"/>
  <c r="L6" i="1"/>
  <c r="I8" i="2"/>
  <c r="M4" i="2"/>
  <c r="L17" i="1"/>
  <c r="L13" i="1"/>
  <c r="L9" i="1"/>
  <c r="L5" i="1"/>
  <c r="H4" i="2"/>
  <c r="O17" i="1"/>
  <c r="E14" i="1"/>
  <c r="M10" i="1"/>
  <c r="K7" i="1"/>
  <c r="O5" i="1"/>
  <c r="S3" i="1"/>
  <c r="D19" i="2"/>
  <c r="F17" i="2"/>
  <c r="H15" i="2"/>
  <c r="J13" i="2"/>
  <c r="L11" i="2"/>
  <c r="N9" i="2"/>
  <c r="Q6" i="2"/>
  <c r="D3" i="2"/>
  <c r="D16" i="1"/>
  <c r="D12" i="1"/>
  <c r="D8" i="1"/>
  <c r="D4" i="1"/>
  <c r="C6" i="2"/>
  <c r="D19" i="1"/>
  <c r="D15" i="1"/>
  <c r="D11" i="1"/>
  <c r="D7" i="1"/>
  <c r="D3" i="1"/>
  <c r="L18" i="2"/>
  <c r="N16" i="2"/>
  <c r="P14" i="2"/>
  <c r="R12" i="2"/>
  <c r="C11" i="2"/>
  <c r="E9" i="2"/>
  <c r="G7" i="2"/>
  <c r="I5" i="2"/>
  <c r="K3" i="2"/>
  <c r="O18" i="1"/>
  <c r="S16" i="1"/>
  <c r="E15" i="1"/>
  <c r="I13" i="1"/>
  <c r="M11" i="1"/>
  <c r="Q9" i="1"/>
  <c r="H16" i="2"/>
  <c r="P8" i="2"/>
  <c r="I18" i="1"/>
  <c r="G11" i="1"/>
  <c r="C6" i="1"/>
  <c r="J19" i="2"/>
  <c r="N15" i="2"/>
  <c r="R11" i="2"/>
  <c r="D9" i="2"/>
  <c r="N5" i="2"/>
  <c r="P18" i="1"/>
  <c r="P14" i="1"/>
  <c r="P10" i="1"/>
  <c r="P6" i="1"/>
  <c r="M8" i="2"/>
  <c r="Q4" i="2"/>
  <c r="P17" i="1"/>
  <c r="P13" i="1"/>
  <c r="P9" i="1"/>
  <c r="P5" i="1"/>
  <c r="R18" i="2"/>
  <c r="E15" i="2"/>
  <c r="I11" i="2"/>
  <c r="M7" i="2"/>
  <c r="C19" i="1"/>
  <c r="S11" i="1"/>
  <c r="I6" i="1"/>
  <c r="P19" i="2"/>
  <c r="C16" i="2"/>
  <c r="G12" i="2"/>
  <c r="G8" i="2"/>
  <c r="N17" i="1"/>
  <c r="N9" i="1"/>
  <c r="J7" i="2"/>
  <c r="N16" i="1"/>
  <c r="N8" i="1"/>
  <c r="I3" i="2"/>
  <c r="G13" i="1"/>
  <c r="C7" i="1"/>
  <c r="K3" i="1"/>
  <c r="O16" i="2"/>
  <c r="S12" i="2"/>
  <c r="F9" i="2"/>
  <c r="F19" i="1"/>
  <c r="F11" i="1"/>
  <c r="F3" i="1"/>
  <c r="F18" i="1"/>
  <c r="F10" i="1"/>
  <c r="S8" i="1"/>
  <c r="J14" i="2"/>
  <c r="R6" i="2"/>
  <c r="M16" i="1"/>
  <c r="K9" i="1"/>
  <c r="E5" i="1"/>
  <c r="K18" i="2"/>
  <c r="O14" i="2"/>
  <c r="S10" i="2"/>
  <c r="K8" i="2"/>
  <c r="O4" i="2"/>
  <c r="R17" i="1"/>
  <c r="R13" i="1"/>
  <c r="R9" i="1"/>
  <c r="R5" i="1"/>
  <c r="N7" i="2"/>
  <c r="R3" i="2"/>
  <c r="R16" i="1"/>
  <c r="R12" i="1"/>
  <c r="R8" i="1"/>
  <c r="R4" i="1"/>
  <c r="S17" i="2"/>
  <c r="F14" i="2"/>
  <c r="J10" i="2"/>
  <c r="N6" i="2"/>
  <c r="G17" i="1"/>
  <c r="E10" i="1"/>
  <c r="K5" i="1"/>
  <c r="Q18" i="2"/>
  <c r="D15" i="2"/>
  <c r="H11" i="2"/>
  <c r="I6" i="2"/>
  <c r="N15" i="1"/>
  <c r="N7" i="1"/>
  <c r="L5" i="2"/>
  <c r="N14" i="1"/>
  <c r="N6" i="1"/>
  <c r="M18" i="1"/>
  <c r="K11" i="1"/>
  <c r="E6" i="1"/>
  <c r="L19" i="2"/>
  <c r="P15" i="2"/>
  <c r="C12" i="2"/>
  <c r="P7" i="2"/>
  <c r="F17" i="1"/>
  <c r="F9" i="1"/>
  <c r="S6" i="2"/>
  <c r="F16" i="1"/>
  <c r="F8" i="1"/>
  <c r="R13" i="2"/>
  <c r="C4" i="2"/>
  <c r="F5" i="1"/>
  <c r="F12" i="1"/>
  <c r="P4" i="2"/>
  <c r="E18" i="1"/>
  <c r="M14" i="1"/>
  <c r="C11" i="1"/>
  <c r="O7" i="1"/>
  <c r="S5" i="1"/>
  <c r="E4" i="1"/>
  <c r="H19" i="2"/>
  <c r="J17" i="2"/>
  <c r="L15" i="2"/>
  <c r="N13" i="2"/>
  <c r="P11" i="2"/>
  <c r="R9" i="2"/>
  <c r="H7" i="2"/>
  <c r="L3" i="2"/>
  <c r="L16" i="1"/>
  <c r="L12" i="1"/>
  <c r="L8" i="1"/>
  <c r="L4" i="1"/>
  <c r="K6" i="2"/>
  <c r="L19" i="1"/>
  <c r="L15" i="1"/>
  <c r="L11" i="1"/>
  <c r="L7" i="1"/>
  <c r="L3" i="1"/>
  <c r="K19" i="1"/>
  <c r="S15" i="1"/>
  <c r="I12" i="1"/>
  <c r="Q8" i="1"/>
  <c r="M6" i="1"/>
  <c r="Q4" i="1"/>
  <c r="C3" i="1"/>
  <c r="E18" i="2"/>
  <c r="G16" i="2"/>
  <c r="I14" i="2"/>
  <c r="K12" i="2"/>
  <c r="M10" i="2"/>
  <c r="O8" i="2"/>
  <c r="S4" i="2"/>
  <c r="D18" i="1"/>
  <c r="D14" i="1"/>
  <c r="D10" i="1"/>
  <c r="D6" i="1"/>
  <c r="R7" i="2"/>
  <c r="E4" i="2"/>
  <c r="D17" i="1"/>
  <c r="D13" i="1"/>
  <c r="D9" i="1"/>
  <c r="D5" i="1"/>
  <c r="K19" i="2"/>
  <c r="M17" i="2"/>
  <c r="O15" i="2"/>
  <c r="Q13" i="2"/>
  <c r="S11" i="2"/>
  <c r="D10" i="2"/>
  <c r="F8" i="2"/>
  <c r="H6" i="2"/>
  <c r="J4" i="2"/>
  <c r="M19" i="1"/>
  <c r="Q17" i="1"/>
  <c r="C16" i="1"/>
  <c r="G14" i="1"/>
  <c r="K12" i="1"/>
  <c r="O10" i="1"/>
  <c r="C8" i="1"/>
  <c r="L12" i="2"/>
  <c r="C5" i="2"/>
  <c r="Q14" i="1"/>
  <c r="Q7" i="1"/>
  <c r="G4" i="1"/>
  <c r="L17" i="2"/>
  <c r="P13" i="2"/>
  <c r="C10" i="2"/>
  <c r="L7" i="2"/>
  <c r="P3" i="2"/>
  <c r="P16" i="1"/>
  <c r="P12" i="1"/>
  <c r="P8" i="1"/>
  <c r="P4" i="1"/>
  <c r="O6" i="2"/>
  <c r="P19" i="1"/>
  <c r="P15" i="1"/>
  <c r="P11" i="1"/>
  <c r="P7" i="1"/>
  <c r="P3" i="1"/>
  <c r="C17" i="2"/>
  <c r="G13" i="2"/>
  <c r="K9" i="2"/>
  <c r="O5" i="2"/>
  <c r="K15" i="1"/>
  <c r="I8" i="1"/>
  <c r="M4" i="1"/>
  <c r="R17" i="2"/>
  <c r="E14" i="2"/>
  <c r="I10" i="2"/>
  <c r="K4" i="2"/>
  <c r="N13" i="1"/>
  <c r="N5" i="1"/>
  <c r="N3" i="2"/>
  <c r="N12" i="1"/>
  <c r="N4" i="1"/>
  <c r="Q16" i="1"/>
  <c r="O9" i="1"/>
  <c r="G5" i="1"/>
  <c r="M18" i="2"/>
  <c r="Q14" i="2"/>
  <c r="D11" i="2"/>
  <c r="R5" i="2"/>
  <c r="F15" i="1"/>
  <c r="F7" i="1"/>
  <c r="D5" i="2"/>
  <c r="F14" i="1"/>
  <c r="F6" i="1"/>
  <c r="F18" i="2"/>
  <c r="N10" i="2"/>
  <c r="E3" i="2"/>
  <c r="C13" i="1"/>
  <c r="S6" i="1"/>
  <c r="I3" i="1"/>
  <c r="M16" i="2"/>
  <c r="Q12" i="2"/>
  <c r="L9" i="2"/>
  <c r="M6" i="2"/>
  <c r="R19" i="1"/>
  <c r="R15" i="1"/>
  <c r="R11" i="1"/>
  <c r="R7" i="1"/>
  <c r="R3" i="1"/>
  <c r="P5" i="2"/>
  <c r="R18" i="1"/>
  <c r="R14" i="1"/>
  <c r="R10" i="1"/>
  <c r="R6" i="1"/>
  <c r="Q19" i="2"/>
  <c r="D16" i="2"/>
  <c r="H12" i="2"/>
  <c r="L8" i="2"/>
  <c r="Q3" i="2"/>
  <c r="O13" i="1"/>
  <c r="G7" i="1"/>
  <c r="O3" i="1"/>
  <c r="S16" i="2"/>
  <c r="F13" i="2"/>
  <c r="J9" i="2"/>
  <c r="N19" i="1"/>
  <c r="N11" i="1"/>
  <c r="N3" i="1"/>
  <c r="N18" i="1"/>
  <c r="N10" i="1"/>
  <c r="G5" i="2"/>
  <c r="C15" i="1"/>
  <c r="S7" i="1"/>
  <c r="I4" i="1"/>
  <c r="N17" i="2"/>
  <c r="E10" i="2"/>
  <c r="F13" i="1"/>
  <c r="F3" i="2"/>
  <c r="F4" i="1"/>
  <c r="Y41" i="1" l="1"/>
  <c r="E30" i="1"/>
  <c r="D30" i="1" s="1"/>
  <c r="Y50" i="1"/>
  <c r="AB41" i="1"/>
  <c r="AL44" i="1"/>
  <c r="V52" i="1"/>
  <c r="AG47" i="1"/>
  <c r="AG55" i="1"/>
  <c r="AG40" i="1"/>
  <c r="AG48" i="1"/>
  <c r="AG56" i="1"/>
  <c r="AH40" i="1"/>
  <c r="Z44" i="1"/>
  <c r="AH50" i="1"/>
  <c r="E23" i="2"/>
  <c r="D23" i="2" s="1"/>
  <c r="AK43" i="1"/>
  <c r="AK47" i="1"/>
  <c r="AK51" i="1"/>
  <c r="AK55" i="1"/>
  <c r="AK40" i="1"/>
  <c r="AK44" i="1"/>
  <c r="AK48" i="1"/>
  <c r="AK52" i="1"/>
  <c r="AK56" i="1"/>
  <c r="G38" i="1" s="1"/>
  <c r="G18" i="3" s="1"/>
  <c r="E38" i="1"/>
  <c r="D38" i="1" s="1"/>
  <c r="E31" i="2"/>
  <c r="D31" i="2" s="1"/>
  <c r="AB40" i="1"/>
  <c r="AL43" i="1"/>
  <c r="V50" i="1"/>
  <c r="E38" i="2"/>
  <c r="D38" i="2" s="1"/>
  <c r="E28" i="2"/>
  <c r="D28" i="2" s="1"/>
  <c r="Y43" i="1"/>
  <c r="Y51" i="1"/>
  <c r="Y44" i="1"/>
  <c r="Y52" i="1"/>
  <c r="Z42" i="1"/>
  <c r="AH46" i="1"/>
  <c r="AJ53" i="1"/>
  <c r="AG41" i="1"/>
  <c r="AG49" i="1"/>
  <c r="AG42" i="1"/>
  <c r="AG50" i="1"/>
  <c r="E24" i="2"/>
  <c r="D24" i="2" s="1"/>
  <c r="AF41" i="1"/>
  <c r="AB45" i="1"/>
  <c r="AD52" i="1"/>
  <c r="AI40" i="1"/>
  <c r="AI44" i="1"/>
  <c r="AI48" i="1"/>
  <c r="AI52" i="1"/>
  <c r="G32" i="1" s="1"/>
  <c r="G12" i="3" s="1"/>
  <c r="E32" i="1"/>
  <c r="D32" i="1" s="1"/>
  <c r="AI56" i="1"/>
  <c r="AI41" i="1"/>
  <c r="AI45" i="1"/>
  <c r="AI49" i="1"/>
  <c r="AI53" i="1"/>
  <c r="Z41" i="1"/>
  <c r="AJ44" i="1"/>
  <c r="AJ51" i="1"/>
  <c r="V45" i="1"/>
  <c r="AH47" i="1"/>
  <c r="AD49" i="1"/>
  <c r="Z51" i="1"/>
  <c r="V53" i="1"/>
  <c r="E33" i="1"/>
  <c r="D33" i="1" s="1"/>
  <c r="AJ54" i="1"/>
  <c r="AF56" i="1"/>
  <c r="W42" i="1"/>
  <c r="W46" i="1"/>
  <c r="W50" i="1"/>
  <c r="W54" i="1"/>
  <c r="W43" i="1"/>
  <c r="W47" i="1"/>
  <c r="W51" i="1"/>
  <c r="W55" i="1"/>
  <c r="V40" i="1"/>
  <c r="AJ41" i="1"/>
  <c r="AF43" i="1"/>
  <c r="AJ45" i="1"/>
  <c r="AB49" i="1"/>
  <c r="AL52" i="1"/>
  <c r="AD56" i="1"/>
  <c r="AE40" i="1"/>
  <c r="AE44" i="1"/>
  <c r="AE48" i="1"/>
  <c r="AE52" i="1"/>
  <c r="AE56" i="1"/>
  <c r="AE41" i="1"/>
  <c r="E28" i="1"/>
  <c r="D28" i="1" s="1"/>
  <c r="AE45" i="1"/>
  <c r="G28" i="1" s="1"/>
  <c r="G8" i="3" s="1"/>
  <c r="AE49" i="1"/>
  <c r="AE53" i="1"/>
  <c r="X41" i="1"/>
  <c r="G35" i="1" s="1"/>
  <c r="G15" i="3" s="1"/>
  <c r="E35" i="1"/>
  <c r="D35" i="1" s="1"/>
  <c r="AL42" i="1"/>
  <c r="AH44" i="1"/>
  <c r="V48" i="1"/>
  <c r="AF51" i="1"/>
  <c r="X55" i="1"/>
  <c r="Y49" i="1"/>
  <c r="Y42" i="1"/>
  <c r="E37" i="2"/>
  <c r="D37" i="2" s="1"/>
  <c r="Y45" i="1"/>
  <c r="Y53" i="1"/>
  <c r="Y46" i="1"/>
  <c r="Y54" i="1"/>
  <c r="E34" i="2"/>
  <c r="D34" i="2" s="1"/>
  <c r="X43" i="1"/>
  <c r="AD48" i="1"/>
  <c r="AF55" i="1"/>
  <c r="AG43" i="1"/>
  <c r="AG51" i="1"/>
  <c r="AG44" i="1"/>
  <c r="AG52" i="1"/>
  <c r="AD42" i="1"/>
  <c r="X47" i="1"/>
  <c r="Z54" i="1"/>
  <c r="AK41" i="1"/>
  <c r="AK45" i="1"/>
  <c r="AK49" i="1"/>
  <c r="AK53" i="1"/>
  <c r="AK42" i="1"/>
  <c r="AK46" i="1"/>
  <c r="AK50" i="1"/>
  <c r="AK54" i="1"/>
  <c r="E26" i="2"/>
  <c r="D26" i="2" s="1"/>
  <c r="X42" i="1"/>
  <c r="E24" i="1"/>
  <c r="D24" i="1" s="1"/>
  <c r="AD46" i="1"/>
  <c r="G24" i="1" s="1"/>
  <c r="G4" i="3" s="1"/>
  <c r="AF53" i="1"/>
  <c r="AL45" i="1"/>
  <c r="Y47" i="1"/>
  <c r="Y55" i="1"/>
  <c r="Y40" i="1"/>
  <c r="Y48" i="1"/>
  <c r="Y56" i="1"/>
  <c r="AD40" i="1"/>
  <c r="V44" i="1"/>
  <c r="Z50" i="1"/>
  <c r="AG45" i="1"/>
  <c r="AG53" i="1"/>
  <c r="AG46" i="1"/>
  <c r="AG54" i="1"/>
  <c r="AB43" i="1"/>
  <c r="AL48" i="1"/>
  <c r="V56" i="1"/>
  <c r="AI42" i="1"/>
  <c r="AI46" i="1"/>
  <c r="AI50" i="1"/>
  <c r="AI54" i="1"/>
  <c r="AI43" i="1"/>
  <c r="AI47" i="1"/>
  <c r="AI51" i="1"/>
  <c r="AI55" i="1"/>
  <c r="V43" i="1"/>
  <c r="Z48" i="1"/>
  <c r="G25" i="1" s="1"/>
  <c r="G5" i="3" s="1"/>
  <c r="E25" i="1"/>
  <c r="D25" i="1" s="1"/>
  <c r="AB55" i="1"/>
  <c r="AJ46" i="1"/>
  <c r="AF48" i="1"/>
  <c r="AB50" i="1"/>
  <c r="X52" i="1"/>
  <c r="AL53" i="1"/>
  <c r="AH55" i="1"/>
  <c r="W40" i="1"/>
  <c r="E34" i="1"/>
  <c r="D34" i="1" s="1"/>
  <c r="W44" i="1"/>
  <c r="W48" i="1"/>
  <c r="W52" i="1"/>
  <c r="W56" i="1"/>
  <c r="W41" i="1"/>
  <c r="W45" i="1"/>
  <c r="W49" i="1"/>
  <c r="W53" i="1"/>
  <c r="AL40" i="1"/>
  <c r="AH42" i="1"/>
  <c r="AD44" i="1"/>
  <c r="AF47" i="1"/>
  <c r="X51" i="1"/>
  <c r="AH54" i="1"/>
  <c r="AE42" i="1"/>
  <c r="AE46" i="1"/>
  <c r="AE50" i="1"/>
  <c r="AE54" i="1"/>
  <c r="AE43" i="1"/>
  <c r="AE47" i="1"/>
  <c r="AE51" i="1"/>
  <c r="AE55" i="1"/>
  <c r="Z40" i="1"/>
  <c r="V42" i="1"/>
  <c r="AJ43" i="1"/>
  <c r="Z46" i="1"/>
  <c r="AJ49" i="1"/>
  <c r="AB53" i="1"/>
  <c r="AL56" i="1"/>
  <c r="E33" i="2"/>
  <c r="D33" i="2" s="1"/>
  <c r="AC41" i="1"/>
  <c r="AC43" i="1"/>
  <c r="AC45" i="1"/>
  <c r="AC47" i="1"/>
  <c r="AC49" i="1"/>
  <c r="AC51" i="1"/>
  <c r="AC53" i="1"/>
  <c r="AC55" i="1"/>
  <c r="AC40" i="1"/>
  <c r="AC42" i="1"/>
  <c r="E26" i="1"/>
  <c r="D26" i="1" s="1"/>
  <c r="AC44" i="1"/>
  <c r="G26" i="1" s="1"/>
  <c r="G6" i="3" s="1"/>
  <c r="AC46" i="1"/>
  <c r="AC48" i="1"/>
  <c r="AC50" i="1"/>
  <c r="AC52" i="1"/>
  <c r="AC54" i="1"/>
  <c r="AC56" i="1"/>
  <c r="E29" i="2"/>
  <c r="D29" i="2" s="1"/>
  <c r="AH41" i="1"/>
  <c r="AD43" i="1"/>
  <c r="AF45" i="1"/>
  <c r="X49" i="1"/>
  <c r="AH52" i="1"/>
  <c r="Z56" i="1"/>
  <c r="AD45" i="1"/>
  <c r="Z47" i="1"/>
  <c r="V49" i="1"/>
  <c r="AJ50" i="1"/>
  <c r="AF52" i="1"/>
  <c r="AB54" i="1"/>
  <c r="G34" i="1" s="1"/>
  <c r="G14" i="3" s="1"/>
  <c r="X56" i="1"/>
  <c r="AF40" i="1"/>
  <c r="AD41" i="1"/>
  <c r="AB42" i="1"/>
  <c r="Z43" i="1"/>
  <c r="X44" i="1"/>
  <c r="G30" i="1" s="1"/>
  <c r="G10" i="3" s="1"/>
  <c r="X45" i="1"/>
  <c r="AL46" i="1"/>
  <c r="AH48" i="1"/>
  <c r="AD50" i="1"/>
  <c r="Z52" i="1"/>
  <c r="V54" i="1"/>
  <c r="AJ55" i="1"/>
  <c r="E30" i="2"/>
  <c r="D30" i="2" s="1"/>
  <c r="Z45" i="1"/>
  <c r="X46" i="1"/>
  <c r="V47" i="1"/>
  <c r="AL47" i="1"/>
  <c r="AJ48" i="1"/>
  <c r="AH49" i="1"/>
  <c r="AF50" i="1"/>
  <c r="AD51" i="1"/>
  <c r="AB52" i="1"/>
  <c r="Z53" i="1"/>
  <c r="X54" i="1"/>
  <c r="V55" i="1"/>
  <c r="AL55" i="1"/>
  <c r="AJ56" i="1"/>
  <c r="G33" i="1" s="1"/>
  <c r="G13" i="3" s="1"/>
  <c r="AA40" i="1"/>
  <c r="AA42" i="1"/>
  <c r="AA44" i="1"/>
  <c r="AA46" i="1"/>
  <c r="AA48" i="1"/>
  <c r="AA50" i="1"/>
  <c r="AA52" i="1"/>
  <c r="AA54" i="1"/>
  <c r="AA56" i="1"/>
  <c r="AA41" i="1"/>
  <c r="AA43" i="1"/>
  <c r="AA45" i="1"/>
  <c r="E27" i="1"/>
  <c r="D27" i="1" s="1"/>
  <c r="AA47" i="1"/>
  <c r="G27" i="1" s="1"/>
  <c r="G7" i="3" s="1"/>
  <c r="AA49" i="1"/>
  <c r="AA51" i="1"/>
  <c r="AA53" i="1"/>
  <c r="AA55" i="1"/>
  <c r="E27" i="2"/>
  <c r="D27" i="2" s="1"/>
  <c r="AJ40" i="1"/>
  <c r="AF42" i="1"/>
  <c r="AB44" i="1"/>
  <c r="AB47" i="1"/>
  <c r="AL50" i="1"/>
  <c r="AD54" i="1"/>
  <c r="AB46" i="1"/>
  <c r="X48" i="1"/>
  <c r="AL49" i="1"/>
  <c r="AH51" i="1"/>
  <c r="AD53" i="1"/>
  <c r="Z55" i="1"/>
  <c r="E35" i="2"/>
  <c r="D35" i="2" s="1"/>
  <c r="E32" i="2"/>
  <c r="D32" i="2" s="1"/>
  <c r="X40" i="1"/>
  <c r="V41" i="1"/>
  <c r="AL41" i="1"/>
  <c r="E36" i="1"/>
  <c r="D36" i="1" s="1"/>
  <c r="AJ42" i="1"/>
  <c r="E31" i="1"/>
  <c r="D31" i="1" s="1"/>
  <c r="AH43" i="1"/>
  <c r="G31" i="1" s="1"/>
  <c r="G11" i="3" s="1"/>
  <c r="AF44" i="1"/>
  <c r="V46" i="1"/>
  <c r="AJ47" i="1"/>
  <c r="AF49" i="1"/>
  <c r="G29" i="1" s="1"/>
  <c r="G9" i="3" s="1"/>
  <c r="E29" i="1"/>
  <c r="D29" i="1" s="1"/>
  <c r="E23" i="1"/>
  <c r="D23" i="1" s="1"/>
  <c r="D39" i="1" s="1"/>
  <c r="AB51" i="1"/>
  <c r="G23" i="1" s="1"/>
  <c r="X53" i="1"/>
  <c r="E37" i="1"/>
  <c r="D37" i="1" s="1"/>
  <c r="AL54" i="1"/>
  <c r="G37" i="1" s="1"/>
  <c r="G17" i="3" s="1"/>
  <c r="AH56" i="1"/>
  <c r="AH45" i="1"/>
  <c r="AF46" i="1"/>
  <c r="AD47" i="1"/>
  <c r="AB48" i="1"/>
  <c r="Z49" i="1"/>
  <c r="X50" i="1"/>
  <c r="V51" i="1"/>
  <c r="AL51" i="1"/>
  <c r="AJ52" i="1"/>
  <c r="AH53" i="1"/>
  <c r="AF54" i="1"/>
  <c r="AD55" i="1"/>
  <c r="AB56" i="1"/>
  <c r="E36" i="2"/>
  <c r="D36" i="2" s="1"/>
  <c r="E25" i="2"/>
  <c r="D25" i="2" s="1"/>
  <c r="G3" i="3" l="1"/>
  <c r="G36" i="1"/>
  <c r="G16" i="3" s="1"/>
  <c r="C42" i="1"/>
  <c r="H42" i="1" s="1"/>
  <c r="K39" i="1"/>
  <c r="D39" i="2"/>
  <c r="C42" i="2" l="1"/>
  <c r="H42" i="2" s="1"/>
  <c r="J38" i="2"/>
  <c r="G39" i="1"/>
  <c r="G45" i="1" s="1"/>
  <c r="G46" i="1" s="1"/>
</calcChain>
</file>

<file path=xl/sharedStrings.xml><?xml version="1.0" encoding="utf-8"?>
<sst xmlns="http://schemas.openxmlformats.org/spreadsheetml/2006/main" count="356" uniqueCount="69">
  <si>
    <t>times</t>
  </si>
  <si>
    <t>distance</t>
  </si>
  <si>
    <t>distance (abs)</t>
  </si>
  <si>
    <t>weights</t>
  </si>
  <si>
    <t>time factor</t>
  </si>
  <si>
    <t>Ride Number</t>
  </si>
  <si>
    <t>Ride number</t>
  </si>
  <si>
    <t>ride number</t>
  </si>
  <si>
    <t>Solution</t>
  </si>
  <si>
    <t>name</t>
  </si>
  <si>
    <t>Distance Matrix (in walking minutes)</t>
  </si>
  <si>
    <t>Time Matrix (waiting in mins.)</t>
  </si>
  <si>
    <t>time of the day</t>
  </si>
  <si>
    <t xml:space="preserve">average wait time </t>
  </si>
  <si>
    <t>Indian Jones</t>
  </si>
  <si>
    <t>Jungle Cruise</t>
  </si>
  <si>
    <t>Tiki room</t>
  </si>
  <si>
    <t>Splash Mtn</t>
  </si>
  <si>
    <t>Alice in Wonderland</t>
  </si>
  <si>
    <t>Dumbo</t>
  </si>
  <si>
    <t>Small World</t>
  </si>
  <si>
    <t>Mad Tea</t>
  </si>
  <si>
    <t>Matterhorn</t>
  </si>
  <si>
    <t>Peter Pan</t>
  </si>
  <si>
    <t>Thunder Mtn</t>
  </si>
  <si>
    <t>Toon Spin</t>
  </si>
  <si>
    <t>Haunted Mansion</t>
  </si>
  <si>
    <t>Pirates</t>
  </si>
  <si>
    <t>Buzz Lightyear</t>
  </si>
  <si>
    <t>Space Mtn</t>
  </si>
  <si>
    <t>Star Tours</t>
  </si>
  <si>
    <t>walking</t>
  </si>
  <si>
    <t>waiting</t>
  </si>
  <si>
    <t>Line</t>
  </si>
  <si>
    <t>Line Group (Path ID)</t>
  </si>
  <si>
    <t>Order of Points</t>
  </si>
  <si>
    <t>attraction</t>
  </si>
  <si>
    <t>lat</t>
  </si>
  <si>
    <t>long</t>
  </si>
  <si>
    <t>Indiana Jones</t>
  </si>
  <si>
    <t>Ride List</t>
  </si>
  <si>
    <t>Distance Matrix (in meters)</t>
  </si>
  <si>
    <t>Walking Distance</t>
  </si>
  <si>
    <t>Wait Time</t>
  </si>
  <si>
    <t>https://www.parkgeni.us/disney-world/magic-kingdom/astro-orbiter/wait-times/2018-12-18</t>
  </si>
  <si>
    <t>https://www.parkgeni.us/disney-world/magic-kingdom/big-thunder-mountain-railroad/wait-times/2018-12-18</t>
  </si>
  <si>
    <t>https://www.parkgeni.us/disney-world/magic-kingdom/buzz-lightyears-space-ranger-spin/wait-times/2018-12-18</t>
  </si>
  <si>
    <t>https://www.parkgeni.us/disney-world/magic-kingdom/dumbo-the-flying-elephant/wait-times/2018-12-18</t>
  </si>
  <si>
    <t>https://www.parkgeni.us/disney-world/magic-kingdom/haunted-mansion/wait-times/2018-12-18</t>
  </si>
  <si>
    <t>https://www.parkgeni.us/disney-world/magic-kingdom/its-a-small-world/wait-times/2018-12-18</t>
  </si>
  <si>
    <t>https://www.parkgeni.us/disney-world/magic-kingdom/jungle-cruise/wait-times/2018-12-18</t>
  </si>
  <si>
    <t>https://www.parkgeni.us/disney-world/magic-kingdom/monsters-inc-laugh-floor/wait-times/2018-12-18</t>
  </si>
  <si>
    <t>https://www.parkgeni.us/disney-world/magic-kingdom/peter-pans-flight/wait-times/2018-12-18</t>
  </si>
  <si>
    <t>https://www.parkgeni.us/disney-world/magic-kingdom/pirates-of-the-caribbean/wait-times/2018-12-18</t>
  </si>
  <si>
    <t>https://www.parkgeni.us/disney-world/magic-kingdom/seven-dwarfs-mine-train/wait-times/2018-12-18</t>
  </si>
  <si>
    <t>https://www.parkgeni.us/disney-world/magic-kingdom/space-mountain/wait-times/2018-12-18</t>
  </si>
  <si>
    <t>https://www.parkgeni.us/disney-world/magic-kingdom/splash-mountain/wait-times/2018-12-18</t>
  </si>
  <si>
    <t>https://www.parkgeni.us/disney-world/magic-kingdom/the-many-adventures-of-winnie-the-pooh/wait-times/2018-12-18</t>
  </si>
  <si>
    <t>https://www.parkgeni.us/disney-world/magic-kingdom/tomorrowland-speedway/wait-times/2018-12-18</t>
  </si>
  <si>
    <t>distance (m)</t>
  </si>
  <si>
    <t>wait time (min)</t>
  </si>
  <si>
    <t>distance (norm)</t>
  </si>
  <si>
    <t>distance % of total</t>
  </si>
  <si>
    <t>waitTimes (norm)</t>
  </si>
  <si>
    <t>dist convt. Ft</t>
  </si>
  <si>
    <t>dist convt mi</t>
  </si>
  <si>
    <t>time convt hrs</t>
  </si>
  <si>
    <t>% walking (3-6)</t>
  </si>
  <si>
    <t>% waiting (3-6)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</si>
</sst>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000"/>
    <numFmt numFmtId="165" formatCode="0.000"/>
    <numFmt numFmtId="166" formatCode="0.0000"/>
  </numFmts>
  <fonts count="3">
    <font>
      <sz val="11"/>
      <color theme="1"/>
      <name val="MS Office Symbol Regular"/>
      <family val="2"/>
    </font>
    <font>
      <b/>
      <sz val="11"/>
      <color theme="1"/>
      <name val="MS Office Symbol Regular"/>
    </font>
    <font>
      <b/>
      <sz val="11"/>
      <color theme="1"/>
      <name val="MS Office Symbol Regular"/>
      <family val="2"/>
    </font>
  </fonts>
  <fills count="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4" tint="0.79998168889431442"/>
        <bgColor theme="4" tint="0.79998168889431442"/>
      </patternFill>
    </fill>
  </fills>
  <borders count="29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theme="4" tint="0.39997558519241921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72">
    <xf numFmtId="0" fontId="0" fillId="0" borderId="0" xfId="0"/>
    <xf numFmtId="0" fontId="0" fillId="0" borderId="2" xfId="0" applyBorder="1"/>
    <xf numFmtId="0" fontId="0" fillId="2" borderId="0" xfId="0" applyFill="1"/>
    <xf numFmtId="0" fontId="0" fillId="2" borderId="3" xfId="0" applyFill="1" applyBorder="1"/>
    <xf numFmtId="0" fontId="0" fillId="2" borderId="0" xfId="0" applyFill="1" applyBorder="1"/>
    <xf numFmtId="0" fontId="0" fillId="3" borderId="1" xfId="0" applyFill="1" applyBorder="1"/>
    <xf numFmtId="0" fontId="0" fillId="0" borderId="2" xfId="0" applyFill="1" applyBorder="1"/>
    <xf numFmtId="0" fontId="0" fillId="5" borderId="0" xfId="0" applyFill="1" applyBorder="1"/>
    <xf numFmtId="0" fontId="0" fillId="4" borderId="0" xfId="0" applyFill="1" applyBorder="1"/>
    <xf numFmtId="0" fontId="0" fillId="3" borderId="0" xfId="0" applyFill="1" applyBorder="1"/>
    <xf numFmtId="0" fontId="0" fillId="0" borderId="0" xfId="0" applyFill="1" applyBorder="1"/>
    <xf numFmtId="0" fontId="0" fillId="2" borderId="0" xfId="0" applyFill="1" applyAlignment="1">
      <alignment horizontal="left"/>
    </xf>
    <xf numFmtId="0" fontId="0" fillId="0" borderId="0" xfId="0" applyBorder="1"/>
    <xf numFmtId="0" fontId="1" fillId="0" borderId="4" xfId="0" applyFont="1" applyBorder="1" applyAlignment="1">
      <alignment wrapText="1"/>
    </xf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4" borderId="9" xfId="0" applyFill="1" applyBorder="1"/>
    <xf numFmtId="0" fontId="0" fillId="0" borderId="8" xfId="0" applyBorder="1"/>
    <xf numFmtId="0" fontId="0" fillId="4" borderId="10" xfId="0" applyFill="1" applyBorder="1"/>
    <xf numFmtId="0" fontId="0" fillId="0" borderId="11" xfId="0" applyBorder="1"/>
    <xf numFmtId="0" fontId="0" fillId="0" borderId="12" xfId="0" applyBorder="1"/>
    <xf numFmtId="0" fontId="0" fillId="3" borderId="13" xfId="0" applyFill="1" applyBorder="1"/>
    <xf numFmtId="0" fontId="0" fillId="2" borderId="14" xfId="0" applyFill="1" applyBorder="1" applyAlignment="1">
      <alignment horizontal="left"/>
    </xf>
    <xf numFmtId="0" fontId="0" fillId="2" borderId="1" xfId="0" applyFill="1" applyBorder="1"/>
    <xf numFmtId="0" fontId="0" fillId="2" borderId="15" xfId="0" applyFill="1" applyBorder="1" applyAlignment="1">
      <alignment horizontal="left"/>
    </xf>
    <xf numFmtId="0" fontId="0" fillId="2" borderId="16" xfId="0" applyFill="1" applyBorder="1" applyAlignment="1">
      <alignment horizontal="left"/>
    </xf>
    <xf numFmtId="0" fontId="0" fillId="0" borderId="18" xfId="0" applyBorder="1"/>
    <xf numFmtId="0" fontId="0" fillId="0" borderId="19" xfId="0" applyBorder="1"/>
    <xf numFmtId="0" fontId="0" fillId="2" borderId="17" xfId="0" applyFill="1" applyBorder="1"/>
    <xf numFmtId="0" fontId="2" fillId="0" borderId="0" xfId="0" applyFont="1" applyAlignment="1">
      <alignment vertical="center" wrapText="1"/>
    </xf>
    <xf numFmtId="164" fontId="0" fillId="0" borderId="0" xfId="0" applyNumberFormat="1"/>
    <xf numFmtId="0" fontId="1" fillId="0" borderId="20" xfId="0" applyFont="1" applyBorder="1" applyAlignment="1">
      <alignment wrapText="1"/>
    </xf>
    <xf numFmtId="0" fontId="0" fillId="0" borderId="21" xfId="0" applyBorder="1"/>
    <xf numFmtId="0" fontId="0" fillId="0" borderId="22" xfId="0" applyBorder="1"/>
    <xf numFmtId="2" fontId="1" fillId="0" borderId="17" xfId="0" applyNumberFormat="1" applyFont="1" applyBorder="1"/>
    <xf numFmtId="2" fontId="0" fillId="0" borderId="17" xfId="0" applyNumberFormat="1" applyBorder="1"/>
    <xf numFmtId="2" fontId="0" fillId="0" borderId="18" xfId="0" applyNumberFormat="1" applyBorder="1"/>
    <xf numFmtId="2" fontId="0" fillId="0" borderId="0" xfId="0" applyNumberFormat="1" applyBorder="1"/>
    <xf numFmtId="2" fontId="1" fillId="0" borderId="0" xfId="0" applyNumberFormat="1" applyFont="1" applyBorder="1"/>
    <xf numFmtId="2" fontId="0" fillId="0" borderId="2" xfId="0" applyNumberFormat="1" applyBorder="1"/>
    <xf numFmtId="2" fontId="0" fillId="0" borderId="1" xfId="0" applyNumberFormat="1" applyBorder="1"/>
    <xf numFmtId="2" fontId="1" fillId="0" borderId="19" xfId="0" applyNumberFormat="1" applyFont="1" applyBorder="1"/>
    <xf numFmtId="165" fontId="1" fillId="0" borderId="17" xfId="0" applyNumberFormat="1" applyFont="1" applyBorder="1"/>
    <xf numFmtId="165" fontId="0" fillId="0" borderId="17" xfId="0" applyNumberFormat="1" applyBorder="1"/>
    <xf numFmtId="165" fontId="0" fillId="0" borderId="0" xfId="0" applyNumberFormat="1" applyBorder="1"/>
    <xf numFmtId="165" fontId="1" fillId="0" borderId="0" xfId="0" applyNumberFormat="1" applyFont="1" applyBorder="1"/>
    <xf numFmtId="165" fontId="0" fillId="0" borderId="1" xfId="0" applyNumberFormat="1" applyBorder="1"/>
    <xf numFmtId="166" fontId="0" fillId="0" borderId="17" xfId="0" applyNumberFormat="1" applyBorder="1"/>
    <xf numFmtId="166" fontId="0" fillId="0" borderId="0" xfId="0" applyNumberFormat="1" applyBorder="1"/>
    <xf numFmtId="166" fontId="0" fillId="0" borderId="1" xfId="0" applyNumberFormat="1" applyBorder="1"/>
    <xf numFmtId="2" fontId="0" fillId="0" borderId="0" xfId="0" applyNumberFormat="1"/>
    <xf numFmtId="166" fontId="0" fillId="0" borderId="0" xfId="0" applyNumberFormat="1"/>
    <xf numFmtId="0" fontId="0" fillId="6" borderId="0" xfId="0" applyFill="1"/>
    <xf numFmtId="165" fontId="1" fillId="0" borderId="1" xfId="0" applyNumberFormat="1" applyFont="1" applyBorder="1"/>
    <xf numFmtId="2" fontId="1" fillId="0" borderId="0" xfId="0" applyNumberFormat="1" applyFont="1"/>
    <xf numFmtId="0" fontId="1" fillId="0" borderId="0" xfId="0" applyFont="1"/>
    <xf numFmtId="1" fontId="0" fillId="0" borderId="2" xfId="0" applyNumberFormat="1" applyBorder="1"/>
    <xf numFmtId="0" fontId="2" fillId="7" borderId="23" xfId="0" applyFont="1" applyFill="1" applyBorder="1" applyAlignment="1">
      <alignment wrapText="1"/>
    </xf>
    <xf numFmtId="0" fontId="0" fillId="0" borderId="0" xfId="0" applyNumberFormat="1"/>
    <xf numFmtId="0" fontId="0" fillId="0" borderId="24" xfId="0" applyBorder="1"/>
    <xf numFmtId="0" fontId="0" fillId="3" borderId="25" xfId="0" applyFill="1" applyBorder="1"/>
    <xf numFmtId="0" fontId="0" fillId="3" borderId="26" xfId="0" applyFill="1" applyBorder="1"/>
    <xf numFmtId="0" fontId="0" fillId="0" borderId="27" xfId="0" applyBorder="1"/>
    <xf numFmtId="0" fontId="0" fillId="0" borderId="20" xfId="0" applyBorder="1"/>
    <xf numFmtId="0" fontId="0" fillId="3" borderId="21" xfId="0" applyFill="1" applyBorder="1"/>
    <xf numFmtId="0" fontId="0" fillId="3" borderId="22" xfId="0" applyFill="1" applyBorder="1"/>
    <xf numFmtId="0" fontId="0" fillId="0" borderId="4" xfId="0" applyBorder="1"/>
    <xf numFmtId="0" fontId="1" fillId="0" borderId="8" xfId="0" applyFont="1" applyBorder="1"/>
    <xf numFmtId="0" fontId="0" fillId="6" borderId="0" xfId="0" applyFill="1" applyBorder="1"/>
    <xf numFmtId="166" fontId="0" fillId="0" borderId="11" xfId="0" applyNumberFormat="1" applyBorder="1"/>
    <xf numFmtId="0" fontId="0" fillId="2" borderId="28" xfId="0" applyFill="1" applyBorder="1"/>
  </cellXfs>
  <cellStyles count="1">
    <cellStyle name="Normal" xfId="0" builtinId="0"/>
  </cellStyles>
  <dxfs count="7"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Wait</a:t>
            </a:r>
            <a:r>
              <a:rPr lang="en-US" baseline="0"/>
              <a:t> Times by Hour</a:t>
            </a:r>
            <a:endParaRPr lang="en-US"/>
          </a:p>
        </c:rich>
      </c:tx>
      <c:layout>
        <c:manualLayout>
          <c:xMode val="edge"/>
          <c:yMode val="edge"/>
          <c:x val="0.45038747140300461"/>
          <c:y val="3.605087825560266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DL!$A$22:$A$38</c:f>
              <c:numCache>
                <c:formatCode>General</c:formatCode>
                <c:ptCount val="17"/>
                <c:pt idx="0">
                  <c:v>8</c:v>
                </c:pt>
                <c:pt idx="1">
                  <c:v>9</c:v>
                </c:pt>
                <c:pt idx="2">
                  <c:v>10</c:v>
                </c:pt>
                <c:pt idx="3">
                  <c:v>11</c:v>
                </c:pt>
                <c:pt idx="4">
                  <c:v>12</c:v>
                </c:pt>
                <c:pt idx="5">
                  <c:v>13</c:v>
                </c:pt>
                <c:pt idx="6">
                  <c:v>14</c:v>
                </c:pt>
                <c:pt idx="7">
                  <c:v>15</c:v>
                </c:pt>
                <c:pt idx="8">
                  <c:v>16</c:v>
                </c:pt>
                <c:pt idx="9">
                  <c:v>17</c:v>
                </c:pt>
                <c:pt idx="10">
                  <c:v>18</c:v>
                </c:pt>
                <c:pt idx="11">
                  <c:v>19</c:v>
                </c:pt>
                <c:pt idx="12">
                  <c:v>20</c:v>
                </c:pt>
                <c:pt idx="13">
                  <c:v>21</c:v>
                </c:pt>
                <c:pt idx="14">
                  <c:v>22</c:v>
                </c:pt>
                <c:pt idx="15">
                  <c:v>23</c:v>
                </c:pt>
                <c:pt idx="16">
                  <c:v>24</c:v>
                </c:pt>
              </c:numCache>
            </c:numRef>
          </c:xVal>
          <c:yVal>
            <c:numRef>
              <c:f>DL!$H$22:$H$38</c:f>
              <c:numCache>
                <c:formatCode>General</c:formatCode>
                <c:ptCount val="17"/>
                <c:pt idx="0">
                  <c:v>5</c:v>
                </c:pt>
                <c:pt idx="1">
                  <c:v>5</c:v>
                </c:pt>
                <c:pt idx="2">
                  <c:v>15</c:v>
                </c:pt>
                <c:pt idx="3">
                  <c:v>40</c:v>
                </c:pt>
                <c:pt idx="4">
                  <c:v>15</c:v>
                </c:pt>
                <c:pt idx="5">
                  <c:v>30.000000000000004</c:v>
                </c:pt>
                <c:pt idx="6">
                  <c:v>45</c:v>
                </c:pt>
                <c:pt idx="7">
                  <c:v>40</c:v>
                </c:pt>
                <c:pt idx="8">
                  <c:v>60</c:v>
                </c:pt>
                <c:pt idx="9">
                  <c:v>35</c:v>
                </c:pt>
                <c:pt idx="10">
                  <c:v>25</c:v>
                </c:pt>
                <c:pt idx="11">
                  <c:v>60</c:v>
                </c:pt>
                <c:pt idx="12">
                  <c:v>15</c:v>
                </c:pt>
                <c:pt idx="13">
                  <c:v>10</c:v>
                </c:pt>
                <c:pt idx="14">
                  <c:v>15</c:v>
                </c:pt>
                <c:pt idx="15">
                  <c:v>20</c:v>
                </c:pt>
                <c:pt idx="16">
                  <c:v>29.999999999999996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31B-44AB-AFB4-829FC0E521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0441311"/>
        <c:axId val="196873903"/>
      </c:scatterChart>
      <c:valAx>
        <c:axId val="310441311"/>
        <c:scaling>
          <c:orientation val="minMax"/>
          <c:max val="24"/>
          <c:min val="8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6873903"/>
        <c:crosses val="autoZero"/>
        <c:crossBetween val="midCat"/>
      </c:valAx>
      <c:valAx>
        <c:axId val="19687390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044131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DLFP!$A$22:$A$38</c:f>
              <c:numCache>
                <c:formatCode>General</c:formatCode>
                <c:ptCount val="17"/>
                <c:pt idx="0">
                  <c:v>8</c:v>
                </c:pt>
                <c:pt idx="1">
                  <c:v>9</c:v>
                </c:pt>
                <c:pt idx="2">
                  <c:v>10</c:v>
                </c:pt>
                <c:pt idx="3">
                  <c:v>11</c:v>
                </c:pt>
                <c:pt idx="4">
                  <c:v>12</c:v>
                </c:pt>
                <c:pt idx="5">
                  <c:v>13</c:v>
                </c:pt>
                <c:pt idx="6">
                  <c:v>14</c:v>
                </c:pt>
                <c:pt idx="7">
                  <c:v>15</c:v>
                </c:pt>
                <c:pt idx="8">
                  <c:v>16</c:v>
                </c:pt>
                <c:pt idx="9">
                  <c:v>17</c:v>
                </c:pt>
                <c:pt idx="10">
                  <c:v>18</c:v>
                </c:pt>
                <c:pt idx="11">
                  <c:v>19</c:v>
                </c:pt>
                <c:pt idx="12">
                  <c:v>20</c:v>
                </c:pt>
                <c:pt idx="13">
                  <c:v>21</c:v>
                </c:pt>
                <c:pt idx="14">
                  <c:v>22</c:v>
                </c:pt>
                <c:pt idx="15">
                  <c:v>23</c:v>
                </c:pt>
                <c:pt idx="16">
                  <c:v>24</c:v>
                </c:pt>
              </c:numCache>
            </c:numRef>
          </c:xVal>
          <c:yVal>
            <c:numRef>
              <c:f>DLFP!$F$22:$F$38</c:f>
              <c:numCache>
                <c:formatCode>General</c:formatCode>
                <c:ptCount val="17"/>
                <c:pt idx="0">
                  <c:v>2.5</c:v>
                </c:pt>
                <c:pt idx="1">
                  <c:v>7.5</c:v>
                </c:pt>
                <c:pt idx="2">
                  <c:v>12.5</c:v>
                </c:pt>
                <c:pt idx="3">
                  <c:v>15</c:v>
                </c:pt>
                <c:pt idx="4">
                  <c:v>12.5</c:v>
                </c:pt>
                <c:pt idx="5">
                  <c:v>15</c:v>
                </c:pt>
                <c:pt idx="6">
                  <c:v>17.5</c:v>
                </c:pt>
                <c:pt idx="7">
                  <c:v>40</c:v>
                </c:pt>
                <c:pt idx="8">
                  <c:v>20</c:v>
                </c:pt>
                <c:pt idx="9">
                  <c:v>40</c:v>
                </c:pt>
                <c:pt idx="10">
                  <c:v>17.5</c:v>
                </c:pt>
                <c:pt idx="11">
                  <c:v>12.5</c:v>
                </c:pt>
                <c:pt idx="12">
                  <c:v>15</c:v>
                </c:pt>
                <c:pt idx="13">
                  <c:v>12.5</c:v>
                </c:pt>
                <c:pt idx="14">
                  <c:v>5</c:v>
                </c:pt>
                <c:pt idx="15">
                  <c:v>10</c:v>
                </c:pt>
                <c:pt idx="16">
                  <c:v>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383-4F0C-8569-B1D73B6866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9087551"/>
        <c:axId val="196877791"/>
      </c:scatterChart>
      <c:valAx>
        <c:axId val="299087551"/>
        <c:scaling>
          <c:orientation val="minMax"/>
          <c:max val="24"/>
          <c:min val="8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6877791"/>
        <c:crosses val="autoZero"/>
        <c:crossBetween val="midCat"/>
      </c:valAx>
      <c:valAx>
        <c:axId val="1968777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908755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Wait</a:t>
            </a:r>
            <a:r>
              <a:rPr lang="en-US" baseline="0"/>
              <a:t> Times by Hour</a:t>
            </a:r>
            <a:endParaRPr lang="en-US"/>
          </a:p>
        </c:rich>
      </c:tx>
      <c:layout>
        <c:manualLayout>
          <c:xMode val="edge"/>
          <c:yMode val="edge"/>
          <c:x val="0.45038747140300461"/>
          <c:y val="3.605087825560266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DL!$A$22:$A$38</c:f>
              <c:numCache>
                <c:formatCode>General</c:formatCode>
                <c:ptCount val="17"/>
                <c:pt idx="0">
                  <c:v>8</c:v>
                </c:pt>
                <c:pt idx="1">
                  <c:v>9</c:v>
                </c:pt>
                <c:pt idx="2">
                  <c:v>10</c:v>
                </c:pt>
                <c:pt idx="3">
                  <c:v>11</c:v>
                </c:pt>
                <c:pt idx="4">
                  <c:v>12</c:v>
                </c:pt>
                <c:pt idx="5">
                  <c:v>13</c:v>
                </c:pt>
                <c:pt idx="6">
                  <c:v>14</c:v>
                </c:pt>
                <c:pt idx="7">
                  <c:v>15</c:v>
                </c:pt>
                <c:pt idx="8">
                  <c:v>16</c:v>
                </c:pt>
                <c:pt idx="9">
                  <c:v>17</c:v>
                </c:pt>
                <c:pt idx="10">
                  <c:v>18</c:v>
                </c:pt>
                <c:pt idx="11">
                  <c:v>19</c:v>
                </c:pt>
                <c:pt idx="12">
                  <c:v>20</c:v>
                </c:pt>
                <c:pt idx="13">
                  <c:v>21</c:v>
                </c:pt>
                <c:pt idx="14">
                  <c:v>22</c:v>
                </c:pt>
                <c:pt idx="15">
                  <c:v>23</c:v>
                </c:pt>
                <c:pt idx="16">
                  <c:v>24</c:v>
                </c:pt>
              </c:numCache>
            </c:numRef>
          </c:xVal>
          <c:yVal>
            <c:numRef>
              <c:f>DL!$H$22:$H$38</c:f>
              <c:numCache>
                <c:formatCode>General</c:formatCode>
                <c:ptCount val="17"/>
                <c:pt idx="0">
                  <c:v>5</c:v>
                </c:pt>
                <c:pt idx="1">
                  <c:v>5</c:v>
                </c:pt>
                <c:pt idx="2">
                  <c:v>15</c:v>
                </c:pt>
                <c:pt idx="3">
                  <c:v>40</c:v>
                </c:pt>
                <c:pt idx="4">
                  <c:v>15</c:v>
                </c:pt>
                <c:pt idx="5">
                  <c:v>30.000000000000004</c:v>
                </c:pt>
                <c:pt idx="6">
                  <c:v>45</c:v>
                </c:pt>
                <c:pt idx="7">
                  <c:v>40</c:v>
                </c:pt>
                <c:pt idx="8">
                  <c:v>60</c:v>
                </c:pt>
                <c:pt idx="9">
                  <c:v>35</c:v>
                </c:pt>
                <c:pt idx="10">
                  <c:v>25</c:v>
                </c:pt>
                <c:pt idx="11">
                  <c:v>60</c:v>
                </c:pt>
                <c:pt idx="12">
                  <c:v>15</c:v>
                </c:pt>
                <c:pt idx="13">
                  <c:v>10</c:v>
                </c:pt>
                <c:pt idx="14">
                  <c:v>15</c:v>
                </c:pt>
                <c:pt idx="15">
                  <c:v>20</c:v>
                </c:pt>
                <c:pt idx="16">
                  <c:v>29.999999999999996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14B-4DF7-9705-0C29FF96D4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0441311"/>
        <c:axId val="196873903"/>
      </c:scatterChart>
      <c:valAx>
        <c:axId val="310441311"/>
        <c:scaling>
          <c:orientation val="minMax"/>
          <c:max val="24"/>
          <c:min val="8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6873903"/>
        <c:crosses val="autoZero"/>
        <c:crossBetween val="midCat"/>
      </c:valAx>
      <c:valAx>
        <c:axId val="19687390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044131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Wait</a:t>
            </a:r>
            <a:r>
              <a:rPr lang="en-US" baseline="0"/>
              <a:t> Times by Hour</a:t>
            </a:r>
            <a:endParaRPr lang="en-US"/>
          </a:p>
        </c:rich>
      </c:tx>
      <c:layout>
        <c:manualLayout>
          <c:xMode val="edge"/>
          <c:yMode val="edge"/>
          <c:x val="0.45038747140300461"/>
          <c:y val="3.605087825560266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'Scenario1-BestPath'!$A$22:$A$38</c:f>
              <c:numCache>
                <c:formatCode>General</c:formatCode>
                <c:ptCount val="17"/>
                <c:pt idx="0">
                  <c:v>8</c:v>
                </c:pt>
                <c:pt idx="1">
                  <c:v>9</c:v>
                </c:pt>
                <c:pt idx="2">
                  <c:v>10</c:v>
                </c:pt>
                <c:pt idx="3">
                  <c:v>11</c:v>
                </c:pt>
                <c:pt idx="4">
                  <c:v>12</c:v>
                </c:pt>
                <c:pt idx="5">
                  <c:v>13</c:v>
                </c:pt>
                <c:pt idx="6">
                  <c:v>14</c:v>
                </c:pt>
                <c:pt idx="7">
                  <c:v>15</c:v>
                </c:pt>
                <c:pt idx="8">
                  <c:v>16</c:v>
                </c:pt>
                <c:pt idx="9">
                  <c:v>17</c:v>
                </c:pt>
                <c:pt idx="10">
                  <c:v>18</c:v>
                </c:pt>
                <c:pt idx="11">
                  <c:v>19</c:v>
                </c:pt>
                <c:pt idx="12">
                  <c:v>20</c:v>
                </c:pt>
                <c:pt idx="13">
                  <c:v>21</c:v>
                </c:pt>
                <c:pt idx="14">
                  <c:v>22</c:v>
                </c:pt>
                <c:pt idx="15">
                  <c:v>23</c:v>
                </c:pt>
                <c:pt idx="16">
                  <c:v>24</c:v>
                </c:pt>
              </c:numCache>
            </c:numRef>
          </c:xVal>
          <c:yVal>
            <c:numRef>
              <c:f>'Scenario1-BestPath'!$H$22:$H$38</c:f>
              <c:numCache>
                <c:formatCode>General</c:formatCode>
                <c:ptCount val="17"/>
                <c:pt idx="0">
                  <c:v>5</c:v>
                </c:pt>
                <c:pt idx="1">
                  <c:v>10</c:v>
                </c:pt>
                <c:pt idx="2">
                  <c:v>10</c:v>
                </c:pt>
                <c:pt idx="3">
                  <c:v>15.000000000000002</c:v>
                </c:pt>
                <c:pt idx="4">
                  <c:v>25</c:v>
                </c:pt>
                <c:pt idx="5">
                  <c:v>15</c:v>
                </c:pt>
                <c:pt idx="6">
                  <c:v>40</c:v>
                </c:pt>
                <c:pt idx="7">
                  <c:v>45</c:v>
                </c:pt>
                <c:pt idx="8">
                  <c:v>75</c:v>
                </c:pt>
                <c:pt idx="9">
                  <c:v>40</c:v>
                </c:pt>
                <c:pt idx="10">
                  <c:v>25</c:v>
                </c:pt>
                <c:pt idx="11">
                  <c:v>10</c:v>
                </c:pt>
                <c:pt idx="12">
                  <c:v>45</c:v>
                </c:pt>
                <c:pt idx="13">
                  <c:v>10</c:v>
                </c:pt>
                <c:pt idx="14">
                  <c:v>5</c:v>
                </c:pt>
                <c:pt idx="15">
                  <c:v>10.000000000000002</c:v>
                </c:pt>
                <c:pt idx="16">
                  <c:v>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478-44F8-9F04-BA8FCE0F87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0441311"/>
        <c:axId val="196873903"/>
      </c:scatterChart>
      <c:valAx>
        <c:axId val="310441311"/>
        <c:scaling>
          <c:orientation val="minMax"/>
          <c:max val="24"/>
          <c:min val="8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6873903"/>
        <c:crosses val="autoZero"/>
        <c:crossBetween val="midCat"/>
      </c:valAx>
      <c:valAx>
        <c:axId val="19687390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044131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Wait</a:t>
            </a:r>
            <a:r>
              <a:rPr lang="en-US" baseline="0"/>
              <a:t> Times by Hour</a:t>
            </a:r>
            <a:endParaRPr lang="en-US"/>
          </a:p>
        </c:rich>
      </c:tx>
      <c:layout>
        <c:manualLayout>
          <c:xMode val="edge"/>
          <c:yMode val="edge"/>
          <c:x val="0.45038747140300461"/>
          <c:y val="3.605087825560266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'Scenario2-MinWalk'!$A$22:$A$38</c:f>
              <c:numCache>
                <c:formatCode>General</c:formatCode>
                <c:ptCount val="17"/>
                <c:pt idx="0">
                  <c:v>8</c:v>
                </c:pt>
                <c:pt idx="1">
                  <c:v>9</c:v>
                </c:pt>
                <c:pt idx="2">
                  <c:v>10</c:v>
                </c:pt>
                <c:pt idx="3">
                  <c:v>11</c:v>
                </c:pt>
                <c:pt idx="4">
                  <c:v>12</c:v>
                </c:pt>
                <c:pt idx="5">
                  <c:v>13</c:v>
                </c:pt>
                <c:pt idx="6">
                  <c:v>14</c:v>
                </c:pt>
                <c:pt idx="7">
                  <c:v>15</c:v>
                </c:pt>
                <c:pt idx="8">
                  <c:v>16</c:v>
                </c:pt>
                <c:pt idx="9">
                  <c:v>17</c:v>
                </c:pt>
                <c:pt idx="10">
                  <c:v>18</c:v>
                </c:pt>
                <c:pt idx="11">
                  <c:v>19</c:v>
                </c:pt>
                <c:pt idx="12">
                  <c:v>20</c:v>
                </c:pt>
                <c:pt idx="13">
                  <c:v>21</c:v>
                </c:pt>
                <c:pt idx="14">
                  <c:v>22</c:v>
                </c:pt>
                <c:pt idx="15">
                  <c:v>23</c:v>
                </c:pt>
                <c:pt idx="16">
                  <c:v>24</c:v>
                </c:pt>
              </c:numCache>
            </c:numRef>
          </c:xVal>
          <c:yVal>
            <c:numRef>
              <c:f>'Scenario2-MinWalk'!$H$22:$H$38</c:f>
              <c:numCache>
                <c:formatCode>General</c:formatCode>
                <c:ptCount val="17"/>
                <c:pt idx="0">
                  <c:v>14.999999999999998</c:v>
                </c:pt>
                <c:pt idx="1">
                  <c:v>20</c:v>
                </c:pt>
                <c:pt idx="2">
                  <c:v>25</c:v>
                </c:pt>
                <c:pt idx="3">
                  <c:v>20</c:v>
                </c:pt>
                <c:pt idx="4">
                  <c:v>40</c:v>
                </c:pt>
                <c:pt idx="5">
                  <c:v>15</c:v>
                </c:pt>
                <c:pt idx="6">
                  <c:v>35</c:v>
                </c:pt>
                <c:pt idx="7">
                  <c:v>20</c:v>
                </c:pt>
                <c:pt idx="8">
                  <c:v>30.000000000000004</c:v>
                </c:pt>
                <c:pt idx="9">
                  <c:v>40</c:v>
                </c:pt>
                <c:pt idx="10">
                  <c:v>35</c:v>
                </c:pt>
                <c:pt idx="11">
                  <c:v>50</c:v>
                </c:pt>
                <c:pt idx="12">
                  <c:v>20</c:v>
                </c:pt>
                <c:pt idx="13">
                  <c:v>10</c:v>
                </c:pt>
                <c:pt idx="14">
                  <c:v>35</c:v>
                </c:pt>
                <c:pt idx="15">
                  <c:v>5</c:v>
                </c:pt>
                <c:pt idx="16">
                  <c:v>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7C2-4374-A6D4-60588D3E18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0441311"/>
        <c:axId val="196873903"/>
      </c:scatterChart>
      <c:valAx>
        <c:axId val="310441311"/>
        <c:scaling>
          <c:orientation val="minMax"/>
          <c:max val="24"/>
          <c:min val="8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6873903"/>
        <c:crosses val="autoZero"/>
        <c:crossBetween val="midCat"/>
      </c:valAx>
      <c:valAx>
        <c:axId val="19687390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044131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Wait</a:t>
            </a:r>
            <a:r>
              <a:rPr lang="en-US" baseline="0"/>
              <a:t> Times by Hour</a:t>
            </a:r>
            <a:endParaRPr lang="en-US"/>
          </a:p>
        </c:rich>
      </c:tx>
      <c:layout>
        <c:manualLayout>
          <c:xMode val="edge"/>
          <c:yMode val="edge"/>
          <c:x val="0.45038747140300461"/>
          <c:y val="3.605087825560266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'Scenario3-MinWait'!$A$22:$A$38</c:f>
              <c:numCache>
                <c:formatCode>General</c:formatCode>
                <c:ptCount val="17"/>
                <c:pt idx="0">
                  <c:v>8</c:v>
                </c:pt>
                <c:pt idx="1">
                  <c:v>9</c:v>
                </c:pt>
                <c:pt idx="2">
                  <c:v>10</c:v>
                </c:pt>
                <c:pt idx="3">
                  <c:v>11</c:v>
                </c:pt>
                <c:pt idx="4">
                  <c:v>12</c:v>
                </c:pt>
                <c:pt idx="5">
                  <c:v>13</c:v>
                </c:pt>
                <c:pt idx="6">
                  <c:v>14</c:v>
                </c:pt>
                <c:pt idx="7">
                  <c:v>15</c:v>
                </c:pt>
                <c:pt idx="8">
                  <c:v>16</c:v>
                </c:pt>
                <c:pt idx="9">
                  <c:v>17</c:v>
                </c:pt>
                <c:pt idx="10">
                  <c:v>18</c:v>
                </c:pt>
                <c:pt idx="11">
                  <c:v>19</c:v>
                </c:pt>
                <c:pt idx="12">
                  <c:v>20</c:v>
                </c:pt>
                <c:pt idx="13">
                  <c:v>21</c:v>
                </c:pt>
                <c:pt idx="14">
                  <c:v>22</c:v>
                </c:pt>
                <c:pt idx="15">
                  <c:v>23</c:v>
                </c:pt>
                <c:pt idx="16">
                  <c:v>24</c:v>
                </c:pt>
              </c:numCache>
            </c:numRef>
          </c:xVal>
          <c:yVal>
            <c:numRef>
              <c:f>'Scenario3-MinWait'!$H$22:$H$38</c:f>
              <c:numCache>
                <c:formatCode>General</c:formatCode>
                <c:ptCount val="17"/>
                <c:pt idx="0">
                  <c:v>5</c:v>
                </c:pt>
                <c:pt idx="1">
                  <c:v>5</c:v>
                </c:pt>
                <c:pt idx="2">
                  <c:v>10.000000000000002</c:v>
                </c:pt>
                <c:pt idx="3">
                  <c:v>20</c:v>
                </c:pt>
                <c:pt idx="4">
                  <c:v>35</c:v>
                </c:pt>
                <c:pt idx="5">
                  <c:v>15</c:v>
                </c:pt>
                <c:pt idx="6">
                  <c:v>55</c:v>
                </c:pt>
                <c:pt idx="7">
                  <c:v>40</c:v>
                </c:pt>
                <c:pt idx="8">
                  <c:v>10</c:v>
                </c:pt>
                <c:pt idx="9">
                  <c:v>40</c:v>
                </c:pt>
                <c:pt idx="10">
                  <c:v>35</c:v>
                </c:pt>
                <c:pt idx="11">
                  <c:v>20</c:v>
                </c:pt>
                <c:pt idx="12">
                  <c:v>10</c:v>
                </c:pt>
                <c:pt idx="13">
                  <c:v>10</c:v>
                </c:pt>
                <c:pt idx="14">
                  <c:v>5</c:v>
                </c:pt>
                <c:pt idx="15">
                  <c:v>10</c:v>
                </c:pt>
                <c:pt idx="16">
                  <c:v>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D63-436D-8F46-954219D9AE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0441311"/>
        <c:axId val="196873903"/>
      </c:scatterChart>
      <c:valAx>
        <c:axId val="310441311"/>
        <c:scaling>
          <c:orientation val="minMax"/>
          <c:max val="24"/>
          <c:min val="8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6873903"/>
        <c:crosses val="autoZero"/>
        <c:crossBetween val="midCat"/>
      </c:valAx>
      <c:valAx>
        <c:axId val="19687390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044131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Wait</a:t>
            </a:r>
            <a:r>
              <a:rPr lang="en-US" baseline="0"/>
              <a:t> Times by Hour</a:t>
            </a:r>
            <a:endParaRPr lang="en-US"/>
          </a:p>
        </c:rich>
      </c:tx>
      <c:layout>
        <c:manualLayout>
          <c:xMode val="edge"/>
          <c:yMode val="edge"/>
          <c:x val="0.45038747140300461"/>
          <c:y val="3.605087825560266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'Scenario4-Min35'!$A$22:$A$38</c:f>
              <c:numCache>
                <c:formatCode>General</c:formatCode>
                <c:ptCount val="17"/>
                <c:pt idx="0">
                  <c:v>8</c:v>
                </c:pt>
                <c:pt idx="1">
                  <c:v>9</c:v>
                </c:pt>
                <c:pt idx="2">
                  <c:v>10</c:v>
                </c:pt>
                <c:pt idx="3">
                  <c:v>11</c:v>
                </c:pt>
                <c:pt idx="4">
                  <c:v>12</c:v>
                </c:pt>
                <c:pt idx="5">
                  <c:v>13</c:v>
                </c:pt>
                <c:pt idx="6">
                  <c:v>14</c:v>
                </c:pt>
                <c:pt idx="7">
                  <c:v>15</c:v>
                </c:pt>
                <c:pt idx="8">
                  <c:v>16</c:v>
                </c:pt>
                <c:pt idx="9">
                  <c:v>17</c:v>
                </c:pt>
                <c:pt idx="10">
                  <c:v>18</c:v>
                </c:pt>
                <c:pt idx="11">
                  <c:v>19</c:v>
                </c:pt>
                <c:pt idx="12">
                  <c:v>20</c:v>
                </c:pt>
                <c:pt idx="13">
                  <c:v>21</c:v>
                </c:pt>
                <c:pt idx="14">
                  <c:v>22</c:v>
                </c:pt>
                <c:pt idx="15">
                  <c:v>23</c:v>
                </c:pt>
                <c:pt idx="16">
                  <c:v>24</c:v>
                </c:pt>
              </c:numCache>
            </c:numRef>
          </c:xVal>
          <c:yVal>
            <c:numRef>
              <c:f>'Scenario4-Min35'!$H$22:$H$38</c:f>
              <c:numCache>
                <c:formatCode>General</c:formatCode>
                <c:ptCount val="17"/>
                <c:pt idx="0">
                  <c:v>35</c:v>
                </c:pt>
                <c:pt idx="1">
                  <c:v>5</c:v>
                </c:pt>
                <c:pt idx="2">
                  <c:v>15</c:v>
                </c:pt>
                <c:pt idx="3">
                  <c:v>20</c:v>
                </c:pt>
                <c:pt idx="4">
                  <c:v>15</c:v>
                </c:pt>
                <c:pt idx="5">
                  <c:v>30.000000000000004</c:v>
                </c:pt>
                <c:pt idx="6">
                  <c:v>35</c:v>
                </c:pt>
                <c:pt idx="7">
                  <c:v>25</c:v>
                </c:pt>
                <c:pt idx="8">
                  <c:v>10</c:v>
                </c:pt>
                <c:pt idx="9">
                  <c:v>30</c:v>
                </c:pt>
                <c:pt idx="10">
                  <c:v>35</c:v>
                </c:pt>
                <c:pt idx="11">
                  <c:v>20</c:v>
                </c:pt>
                <c:pt idx="12">
                  <c:v>35</c:v>
                </c:pt>
                <c:pt idx="13">
                  <c:v>25</c:v>
                </c:pt>
                <c:pt idx="14">
                  <c:v>15</c:v>
                </c:pt>
                <c:pt idx="15">
                  <c:v>20</c:v>
                </c:pt>
                <c:pt idx="16">
                  <c:v>29.999999999999996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96A-4504-AEF8-4DE72B55E2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0441311"/>
        <c:axId val="196873903"/>
      </c:scatterChart>
      <c:valAx>
        <c:axId val="310441311"/>
        <c:scaling>
          <c:orientation val="minMax"/>
          <c:max val="24"/>
          <c:min val="8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6873903"/>
        <c:crosses val="autoZero"/>
        <c:crossBetween val="midCat"/>
      </c:valAx>
      <c:valAx>
        <c:axId val="19687390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044131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138111</xdr:colOff>
      <xdr:row>20</xdr:row>
      <xdr:rowOff>47625</xdr:rowOff>
    </xdr:from>
    <xdr:to>
      <xdr:col>19</xdr:col>
      <xdr:colOff>1295400</xdr:colOff>
      <xdr:row>41</xdr:row>
      <xdr:rowOff>19050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603FACC2-8BB9-46AB-831F-736F6FBB4C4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71437</xdr:colOff>
      <xdr:row>19</xdr:row>
      <xdr:rowOff>76200</xdr:rowOff>
    </xdr:from>
    <xdr:to>
      <xdr:col>19</xdr:col>
      <xdr:colOff>704850</xdr:colOff>
      <xdr:row>36</xdr:row>
      <xdr:rowOff>66675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10635F3-3107-49DE-AC24-2823404BC24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138111</xdr:colOff>
      <xdr:row>18</xdr:row>
      <xdr:rowOff>47625</xdr:rowOff>
    </xdr:from>
    <xdr:to>
      <xdr:col>19</xdr:col>
      <xdr:colOff>1295400</xdr:colOff>
      <xdr:row>39</xdr:row>
      <xdr:rowOff>19050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855FEC8-FC08-4D59-AB36-12EF71EDB81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138111</xdr:colOff>
      <xdr:row>20</xdr:row>
      <xdr:rowOff>47625</xdr:rowOff>
    </xdr:from>
    <xdr:to>
      <xdr:col>19</xdr:col>
      <xdr:colOff>1295400</xdr:colOff>
      <xdr:row>41</xdr:row>
      <xdr:rowOff>19050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B940CAE8-8B86-4F6D-A022-DDAACEA0ECD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71436</xdr:colOff>
      <xdr:row>20</xdr:row>
      <xdr:rowOff>19050</xdr:rowOff>
    </xdr:from>
    <xdr:to>
      <xdr:col>19</xdr:col>
      <xdr:colOff>1228725</xdr:colOff>
      <xdr:row>40</xdr:row>
      <xdr:rowOff>171450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67C525B-3947-4266-8B83-57EB0327DFF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138111</xdr:colOff>
      <xdr:row>20</xdr:row>
      <xdr:rowOff>47625</xdr:rowOff>
    </xdr:from>
    <xdr:to>
      <xdr:col>19</xdr:col>
      <xdr:colOff>1295400</xdr:colOff>
      <xdr:row>41</xdr:row>
      <xdr:rowOff>19050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5EDAC35-A19A-475D-B6FC-5FEC26CF1F9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138111</xdr:colOff>
      <xdr:row>20</xdr:row>
      <xdr:rowOff>47625</xdr:rowOff>
    </xdr:from>
    <xdr:to>
      <xdr:col>19</xdr:col>
      <xdr:colOff>1295400</xdr:colOff>
      <xdr:row>41</xdr:row>
      <xdr:rowOff>19050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3D5E844-7D5C-40DC-9551-2C6291AA961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2836D9-8D03-4381-A8F4-CBB65AAB60E3}">
  <sheetPr codeName="Sheet1"/>
  <dimension ref="A1:H18"/>
  <sheetViews>
    <sheetView workbookViewId="0">
      <selection activeCell="A5" sqref="A5"/>
    </sheetView>
  </sheetViews>
  <sheetFormatPr defaultRowHeight="14.25"/>
  <cols>
    <col min="4" max="4" width="17.25" bestFit="1" customWidth="1"/>
    <col min="5" max="5" width="9.375" bestFit="1" customWidth="1"/>
    <col min="6" max="6" width="12.875" customWidth="1"/>
  </cols>
  <sheetData>
    <row r="1" spans="1:8" ht="45">
      <c r="A1" s="30" t="s">
        <v>33</v>
      </c>
      <c r="B1" s="30" t="s">
        <v>34</v>
      </c>
      <c r="C1" s="30" t="s">
        <v>35</v>
      </c>
      <c r="D1" t="s">
        <v>36</v>
      </c>
      <c r="E1" t="s">
        <v>37</v>
      </c>
      <c r="F1" t="s">
        <v>38</v>
      </c>
      <c r="G1" t="s">
        <v>42</v>
      </c>
      <c r="H1" t="s">
        <v>43</v>
      </c>
    </row>
    <row r="2" spans="1:8">
      <c r="A2">
        <v>1</v>
      </c>
      <c r="B2">
        <v>1</v>
      </c>
      <c r="C2" s="57">
        <v>8</v>
      </c>
      <c r="D2" t="str">
        <f>DL!C22</f>
        <v>Toon Spin</v>
      </c>
      <c r="E2" s="31">
        <f>VLOOKUP(D2,coord!B:D,2,0)</f>
        <v>33.815263999999999</v>
      </c>
      <c r="F2">
        <f>VLOOKUP(D2,coord!B:D,3,0)</f>
        <v>-117.918117</v>
      </c>
      <c r="G2" s="51"/>
      <c r="H2">
        <f>DL!H22</f>
        <v>5</v>
      </c>
    </row>
    <row r="3" spans="1:8">
      <c r="A3">
        <v>1</v>
      </c>
      <c r="B3">
        <v>1</v>
      </c>
      <c r="C3" s="57">
        <v>9</v>
      </c>
      <c r="D3" t="str">
        <f>DL!C23</f>
        <v>Small World</v>
      </c>
      <c r="E3" s="31">
        <f>VLOOKUP(D3,coord!B:D,2,0)</f>
        <v>33.814573000000003</v>
      </c>
      <c r="F3">
        <f>VLOOKUP(D3,coord!B:D,3,0)</f>
        <v>-117.91784</v>
      </c>
      <c r="G3" s="51">
        <f>DL!G23</f>
        <v>80.985227741250185</v>
      </c>
      <c r="H3">
        <f>DL!H23</f>
        <v>5</v>
      </c>
    </row>
    <row r="4" spans="1:8">
      <c r="A4">
        <v>1</v>
      </c>
      <c r="B4">
        <v>1</v>
      </c>
      <c r="C4" s="57">
        <v>10</v>
      </c>
      <c r="D4" t="str">
        <f>DL!C24</f>
        <v>Matterhorn</v>
      </c>
      <c r="E4" s="31">
        <f>VLOOKUP(D4,coord!B:D,2,0)</f>
        <v>33.813076000000002</v>
      </c>
      <c r="F4">
        <f>VLOOKUP(D4,coord!B:D,3,0)</f>
        <v>-117.917888</v>
      </c>
      <c r="G4" s="51">
        <f>DL!G24</f>
        <v>166.51786372548233</v>
      </c>
      <c r="H4">
        <f>DL!H24</f>
        <v>15</v>
      </c>
    </row>
    <row r="5" spans="1:8">
      <c r="A5">
        <v>1</v>
      </c>
      <c r="B5">
        <v>1</v>
      </c>
      <c r="C5" s="57">
        <v>11</v>
      </c>
      <c r="D5" t="str">
        <f>DL!C25</f>
        <v>Alice in Wonderland</v>
      </c>
      <c r="E5" s="31">
        <f>VLOOKUP(D5,coord!B:D,2,0)</f>
        <v>33.813315000000003</v>
      </c>
      <c r="F5">
        <f>VLOOKUP(D5,coord!B:D,3,0)</f>
        <v>-117.918296</v>
      </c>
      <c r="G5" s="51">
        <f>DL!G25</f>
        <v>46.120406617537434</v>
      </c>
      <c r="H5">
        <f>DL!H25</f>
        <v>40</v>
      </c>
    </row>
    <row r="6" spans="1:8">
      <c r="A6">
        <v>1</v>
      </c>
      <c r="B6">
        <v>1</v>
      </c>
      <c r="C6" s="57">
        <v>12</v>
      </c>
      <c r="D6" t="str">
        <f>DL!C26</f>
        <v>Mad Tea</v>
      </c>
      <c r="E6" s="31">
        <f>VLOOKUP(D6,coord!B:D,2,0)</f>
        <v>33.813509000000003</v>
      </c>
      <c r="F6">
        <f>VLOOKUP(D6,coord!B:D,3,0)</f>
        <v>-117.918341</v>
      </c>
      <c r="G6" s="51">
        <f>DL!G26</f>
        <v>21.968778976333269</v>
      </c>
      <c r="H6">
        <f>DL!H26</f>
        <v>15</v>
      </c>
    </row>
    <row r="7" spans="1:8">
      <c r="A7">
        <v>1</v>
      </c>
      <c r="B7">
        <v>1</v>
      </c>
      <c r="C7" s="57">
        <v>13</v>
      </c>
      <c r="D7" t="str">
        <f>DL!C27</f>
        <v>Dumbo</v>
      </c>
      <c r="E7" s="31">
        <f>VLOOKUP(D7,coord!B:D,2,0)</f>
        <v>33.813699999999997</v>
      </c>
      <c r="F7">
        <f>VLOOKUP(D7,coord!B:D,3,0)</f>
        <v>-117.918888</v>
      </c>
      <c r="G7" s="51">
        <f>DL!G27</f>
        <v>54.816916820998742</v>
      </c>
      <c r="H7">
        <f>DL!H27</f>
        <v>30.000000000000004</v>
      </c>
    </row>
    <row r="8" spans="1:8">
      <c r="A8">
        <v>1</v>
      </c>
      <c r="B8">
        <v>1</v>
      </c>
      <c r="C8" s="57">
        <v>14</v>
      </c>
      <c r="D8" t="str">
        <f>DL!C28</f>
        <v>Peter Pan</v>
      </c>
      <c r="E8" s="31">
        <f>VLOOKUP(D8,coord!B:D,2,0)</f>
        <v>33.813205000000004</v>
      </c>
      <c r="F8">
        <f>VLOOKUP(D8,coord!B:D,3,0)</f>
        <v>-117.918857</v>
      </c>
      <c r="G8" s="51">
        <f>DL!G28</f>
        <v>55.11594960765737</v>
      </c>
      <c r="H8">
        <f>DL!H28</f>
        <v>45</v>
      </c>
    </row>
    <row r="9" spans="1:8">
      <c r="A9">
        <v>1</v>
      </c>
      <c r="B9">
        <v>1</v>
      </c>
      <c r="C9" s="57">
        <v>15</v>
      </c>
      <c r="D9" t="str">
        <f>DL!C29</f>
        <v>Thunder Mtn</v>
      </c>
      <c r="E9" s="31">
        <f>VLOOKUP(D9,coord!B:D,2,0)</f>
        <v>33.813229</v>
      </c>
      <c r="F9">
        <f>VLOOKUP(D9,coord!B:D,3,0)</f>
        <v>-117.920417</v>
      </c>
      <c r="G9" s="51">
        <f>DL!G29</f>
        <v>144.14840241197871</v>
      </c>
      <c r="H9">
        <f>DL!H29</f>
        <v>40</v>
      </c>
    </row>
    <row r="10" spans="1:8">
      <c r="A10">
        <v>1</v>
      </c>
      <c r="B10">
        <v>1</v>
      </c>
      <c r="C10" s="57">
        <v>16</v>
      </c>
      <c r="D10" t="str">
        <f>DL!C30</f>
        <v>Splash Mtn</v>
      </c>
      <c r="E10" s="31">
        <f>VLOOKUP(D10,coord!B:D,2,0)</f>
        <v>33.812258999999997</v>
      </c>
      <c r="F10">
        <f>VLOOKUP(D10,coord!B:D,3,0)</f>
        <v>-117.92278</v>
      </c>
      <c r="G10" s="51">
        <f>DL!G30</f>
        <v>243.50268764516565</v>
      </c>
      <c r="H10">
        <f>DL!H30</f>
        <v>60</v>
      </c>
    </row>
    <row r="11" spans="1:8">
      <c r="A11">
        <v>1</v>
      </c>
      <c r="B11">
        <v>1</v>
      </c>
      <c r="C11" s="57">
        <v>17</v>
      </c>
      <c r="D11" t="str">
        <f>DL!C31</f>
        <v>Haunted Mansion</v>
      </c>
      <c r="E11" s="31">
        <f>VLOOKUP(D11,coord!B:D,2,0)</f>
        <v>33.811723000000001</v>
      </c>
      <c r="F11">
        <f>VLOOKUP(D11,coord!B:D,3,0)</f>
        <v>-117.922116</v>
      </c>
      <c r="G11" s="51">
        <f>DL!G31</f>
        <v>85.530866119049492</v>
      </c>
      <c r="H11">
        <f>DL!H31</f>
        <v>35</v>
      </c>
    </row>
    <row r="12" spans="1:8">
      <c r="A12">
        <v>1</v>
      </c>
      <c r="B12">
        <v>1</v>
      </c>
      <c r="C12" s="57">
        <v>18</v>
      </c>
      <c r="D12" t="str">
        <f>DL!C32</f>
        <v>Pirates</v>
      </c>
      <c r="E12" s="31">
        <f>VLOOKUP(D12,coord!B:D,2,0)</f>
        <v>33.811318999999997</v>
      </c>
      <c r="F12">
        <f>VLOOKUP(D12,coord!B:D,3,0)</f>
        <v>-117.92081899999999</v>
      </c>
      <c r="G12" s="51">
        <f>DL!G32</f>
        <v>127.9721607205676</v>
      </c>
      <c r="H12">
        <f>DL!H32</f>
        <v>25</v>
      </c>
    </row>
    <row r="13" spans="1:8">
      <c r="A13">
        <v>1</v>
      </c>
      <c r="B13">
        <v>1</v>
      </c>
      <c r="C13" s="57">
        <v>19</v>
      </c>
      <c r="D13" t="str">
        <f>DL!C33</f>
        <v>Indiana Jones</v>
      </c>
      <c r="E13" s="31">
        <f>VLOOKUP(D13,coord!B:D,2,0)</f>
        <v>33.811404000000003</v>
      </c>
      <c r="F13">
        <f>VLOOKUP(D13,coord!B:D,3,0)</f>
        <v>-117.92035799999999</v>
      </c>
      <c r="G13" s="51">
        <f>DL!G33</f>
        <v>43.627434418712667</v>
      </c>
      <c r="H13">
        <f>DL!H33</f>
        <v>60</v>
      </c>
    </row>
    <row r="14" spans="1:8">
      <c r="A14">
        <v>1</v>
      </c>
      <c r="B14">
        <v>1</v>
      </c>
      <c r="C14" s="57">
        <v>20</v>
      </c>
      <c r="D14" t="str">
        <f>DL!C34</f>
        <v>Jungle Cruise</v>
      </c>
      <c r="E14" s="31">
        <f>VLOOKUP(D14,coord!B:D,2,0)</f>
        <v>33.811466000000003</v>
      </c>
      <c r="F14">
        <f>VLOOKUP(D14,coord!B:D,3,0)</f>
        <v>-117.919982</v>
      </c>
      <c r="G14" s="51">
        <f>DL!G34</f>
        <v>35.41571747416252</v>
      </c>
      <c r="H14">
        <f>DL!H34</f>
        <v>15</v>
      </c>
    </row>
    <row r="15" spans="1:8">
      <c r="A15">
        <v>1</v>
      </c>
      <c r="B15">
        <v>1</v>
      </c>
      <c r="C15" s="57">
        <v>21</v>
      </c>
      <c r="D15" t="str">
        <f>DL!C35</f>
        <v>Tiki room</v>
      </c>
      <c r="E15" s="31">
        <f>VLOOKUP(D15,coord!B:D,2,0)</f>
        <v>33.811774999999997</v>
      </c>
      <c r="F15">
        <f>VLOOKUP(D15,coord!B:D,3,0)</f>
        <v>-117.91967699999999</v>
      </c>
      <c r="G15" s="51">
        <f>DL!G35</f>
        <v>44.436335182955069</v>
      </c>
      <c r="H15">
        <f>DL!H35</f>
        <v>10</v>
      </c>
    </row>
    <row r="16" spans="1:8">
      <c r="A16">
        <v>1</v>
      </c>
      <c r="B16">
        <v>1</v>
      </c>
      <c r="C16" s="57">
        <v>22</v>
      </c>
      <c r="D16" t="str">
        <f>DL!C36</f>
        <v>Buzz Lightyear</v>
      </c>
      <c r="E16" s="31">
        <f>VLOOKUP(D16,coord!B:D,2,0)</f>
        <v>33.812175000000003</v>
      </c>
      <c r="F16">
        <f>VLOOKUP(D16,coord!B:D,3,0)</f>
        <v>-117.917979</v>
      </c>
      <c r="G16" s="51">
        <f>DL!G36</f>
        <v>163.05880626550467</v>
      </c>
      <c r="H16">
        <f>DL!H36</f>
        <v>15</v>
      </c>
    </row>
    <row r="17" spans="1:8">
      <c r="A17">
        <v>1</v>
      </c>
      <c r="B17">
        <v>1</v>
      </c>
      <c r="C17" s="57">
        <v>23</v>
      </c>
      <c r="D17" t="str">
        <f>DL!C37</f>
        <v>Star Tours</v>
      </c>
      <c r="E17" s="31">
        <f>VLOOKUP(D17,coord!B:D,2,0)</f>
        <v>33.811883000000002</v>
      </c>
      <c r="F17">
        <f>VLOOKUP(D17,coord!B:D,3,0)</f>
        <v>-117.91792</v>
      </c>
      <c r="G17" s="51">
        <f>DL!G37</f>
        <v>32.923290655312897</v>
      </c>
      <c r="H17">
        <f>DL!H37</f>
        <v>20</v>
      </c>
    </row>
    <row r="18" spans="1:8">
      <c r="A18">
        <v>1</v>
      </c>
      <c r="B18">
        <v>1</v>
      </c>
      <c r="C18" s="57">
        <v>24</v>
      </c>
      <c r="D18" t="str">
        <f>DL!C38</f>
        <v>Space Mtn</v>
      </c>
      <c r="E18" s="31">
        <f>VLOOKUP(D18,coord!B:D,2,0)</f>
        <v>33.811390000000003</v>
      </c>
      <c r="F18">
        <f>VLOOKUP(D18,coord!B:D,3,0)</f>
        <v>-117.91726800000001</v>
      </c>
      <c r="G18" s="51">
        <f>DL!G38</f>
        <v>81.447413962744832</v>
      </c>
      <c r="H18">
        <f>DL!H38</f>
        <v>29.999999999999996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D9DB32-774C-49D6-BC1A-1508F2A7A4B8}">
  <sheetPr codeName="Sheet2"/>
  <dimension ref="A1:AM56"/>
  <sheetViews>
    <sheetView topLeftCell="A7" workbookViewId="0"/>
  </sheetViews>
  <sheetFormatPr defaultRowHeight="14.25"/>
  <cols>
    <col min="1" max="1" width="9.5" bestFit="1" customWidth="1"/>
    <col min="2" max="2" width="14.75" bestFit="1" customWidth="1"/>
    <col min="3" max="3" width="16.875" customWidth="1"/>
    <col min="4" max="4" width="12.5" bestFit="1" customWidth="1"/>
    <col min="5" max="5" width="7.75" bestFit="1" customWidth="1"/>
    <col min="6" max="6" width="8.375" bestFit="1" customWidth="1"/>
    <col min="7" max="7" width="7.375" bestFit="1" customWidth="1"/>
    <col min="8" max="8" width="8" customWidth="1"/>
    <col min="9" max="19" width="6.75" customWidth="1"/>
    <col min="20" max="20" width="18.25" customWidth="1"/>
    <col min="21" max="21" width="12.75" bestFit="1" customWidth="1"/>
    <col min="22" max="38" width="5.5" customWidth="1"/>
    <col min="39" max="39" width="15.75" bestFit="1" customWidth="1"/>
  </cols>
  <sheetData>
    <row r="1" spans="1:39" ht="48.75" customHeight="1" thickBot="1">
      <c r="B1" s="32" t="s">
        <v>41</v>
      </c>
      <c r="C1" s="33" t="s">
        <v>5</v>
      </c>
      <c r="D1" s="33"/>
      <c r="E1" s="33"/>
      <c r="F1" s="33"/>
      <c r="G1" s="33"/>
      <c r="H1" s="33"/>
      <c r="I1" s="33"/>
      <c r="J1" s="33"/>
      <c r="K1" s="33"/>
      <c r="L1" s="33"/>
      <c r="M1" s="33"/>
      <c r="N1" s="33"/>
      <c r="O1" s="33"/>
      <c r="P1" s="33"/>
      <c r="Q1" s="33"/>
      <c r="R1" s="33"/>
      <c r="S1" s="34"/>
      <c r="T1" s="13" t="s">
        <v>40</v>
      </c>
      <c r="U1" s="13" t="s">
        <v>11</v>
      </c>
      <c r="V1" s="14" t="s">
        <v>6</v>
      </c>
      <c r="W1" s="14"/>
      <c r="X1" s="14"/>
      <c r="Y1" s="14"/>
      <c r="Z1" s="14"/>
      <c r="AA1" s="14"/>
      <c r="AB1" s="14"/>
      <c r="AC1" s="14"/>
      <c r="AD1" s="14"/>
      <c r="AE1" s="14"/>
      <c r="AF1" s="14"/>
      <c r="AG1" s="14"/>
      <c r="AH1" s="14"/>
      <c r="AI1" s="14"/>
      <c r="AJ1" s="14"/>
      <c r="AK1" s="14"/>
      <c r="AL1" s="15"/>
    </row>
    <row r="2" spans="1:39">
      <c r="B2" s="16" t="s">
        <v>5</v>
      </c>
      <c r="C2" s="5">
        <v>1</v>
      </c>
      <c r="D2" s="5">
        <v>2</v>
      </c>
      <c r="E2" s="5">
        <v>3</v>
      </c>
      <c r="F2" s="5">
        <v>4</v>
      </c>
      <c r="G2" s="5">
        <v>5</v>
      </c>
      <c r="H2" s="5">
        <v>6</v>
      </c>
      <c r="I2" s="5">
        <v>7</v>
      </c>
      <c r="J2" s="5">
        <v>8</v>
      </c>
      <c r="K2" s="5">
        <v>9</v>
      </c>
      <c r="L2" s="5">
        <v>10</v>
      </c>
      <c r="M2" s="5">
        <v>11</v>
      </c>
      <c r="N2" s="5">
        <v>12</v>
      </c>
      <c r="O2" s="5">
        <v>13</v>
      </c>
      <c r="P2" s="5">
        <v>14</v>
      </c>
      <c r="Q2" s="5">
        <v>15</v>
      </c>
      <c r="R2" s="5">
        <v>16</v>
      </c>
      <c r="S2" s="22">
        <v>17</v>
      </c>
      <c r="U2" s="16" t="s">
        <v>12</v>
      </c>
      <c r="V2" s="5">
        <v>1</v>
      </c>
      <c r="W2" s="5">
        <v>2</v>
      </c>
      <c r="X2" s="5">
        <v>3</v>
      </c>
      <c r="Y2" s="5">
        <v>4</v>
      </c>
      <c r="Z2" s="5">
        <v>5</v>
      </c>
      <c r="AA2" s="5">
        <v>6</v>
      </c>
      <c r="AB2" s="5">
        <v>7</v>
      </c>
      <c r="AC2" s="5">
        <v>8</v>
      </c>
      <c r="AD2" s="5">
        <v>9</v>
      </c>
      <c r="AE2" s="5">
        <v>10</v>
      </c>
      <c r="AF2" s="5">
        <v>11</v>
      </c>
      <c r="AG2" s="5">
        <v>12</v>
      </c>
      <c r="AH2" s="5">
        <v>13</v>
      </c>
      <c r="AI2" s="5">
        <v>14</v>
      </c>
      <c r="AJ2" s="5">
        <v>15</v>
      </c>
      <c r="AK2" s="5">
        <v>16</v>
      </c>
      <c r="AL2" s="22">
        <v>17</v>
      </c>
      <c r="AM2" s="9" t="s">
        <v>13</v>
      </c>
    </row>
    <row r="3" spans="1:39" ht="15">
      <c r="A3" s="12"/>
      <c r="B3" s="17">
        <v>1</v>
      </c>
      <c r="C3" s="43">
        <f>(getDistance(coord!C1,coord!D1,coord!$C$1,coord!$D$1)*1000)/$C$20</f>
        <v>0</v>
      </c>
      <c r="D3" s="44">
        <f>(getDistance(coord!C1,coord!D1,coord!$C$2,coord!$D$2)*1000)/$D$20</f>
        <v>9.7939859857844019E-3</v>
      </c>
      <c r="E3" s="44">
        <f>(getDistance(coord!$C1,coord!$D1,coord!$C$3,coord!$D$3)*1000)/$E$20</f>
        <v>2.2698884083943889E-2</v>
      </c>
      <c r="F3" s="44">
        <f>(getDistance(coord!$C1,coord!$D1,coord!$C$4,coord!$D$4)*1000)/$F$20</f>
        <v>4.1041595442076105E-2</v>
      </c>
      <c r="G3" s="44">
        <f>(getDistance(coord!$C1,coord!$D1,coord!$C$5,coord!$D$5)*1000)/$G$20</f>
        <v>8.9692706304415254E-2</v>
      </c>
      <c r="H3" s="44">
        <f>(getDistance(coord!$C1,coord!$D1,coord!$C$6,coord!$D$6)*1000)/$H$20</f>
        <v>8.6451824708535505E-2</v>
      </c>
      <c r="I3" s="44">
        <f>(getDistance(coord!$C1,coord!$D1,coord!$C$7,coord!$D$7)*1000)/$I$20</f>
        <v>8.9811228695136011E-2</v>
      </c>
      <c r="J3" s="44">
        <f>(getDistance(coord!$C1,coord!$D1,coord!$C$8,coord!$D$8)*1000)/$J$20</f>
        <v>9.1240820893187149E-2</v>
      </c>
      <c r="K3" s="44">
        <f>(getDistance(coord!$C1,coord!$D1,coord!$C$9,coord!$D$9)*1000)/$K$20</f>
        <v>8.7047462622908689E-2</v>
      </c>
      <c r="L3" s="44">
        <f>(getDistance(coord!$C1,coord!$D1,coord!$C$10,coord!$D$10)*1000)/$L$20</f>
        <v>8.0740347669411905E-2</v>
      </c>
      <c r="M3" s="44">
        <f>(getDistance(coord!$C1,coord!$D1,coord!$C$11,coord!$D$11)*1000)/$M$20</f>
        <v>5.5422256969853041E-2</v>
      </c>
      <c r="N3" s="44">
        <f>(getDistance(coord!$C1,coord!$D1,coord!$C$12,coord!$D$12)*1000)/$N$20</f>
        <v>8.5548369994808526E-2</v>
      </c>
      <c r="O3" s="44">
        <f>(getDistance(coord!$C1,coord!$D1,coord!$C$13,coord!$D$13)*1000)/$O$20</f>
        <v>3.1776523621703266E-2</v>
      </c>
      <c r="P3" s="44">
        <f>(getDistance(coord!$C1,coord!$D1,coord!$C$14,coord!$D$14)*1000)/$P$20</f>
        <v>1.0336778634729865E-2</v>
      </c>
      <c r="Q3" s="44">
        <f>(getDistance(coord!$C1,coord!$D1,coord!$C$15,coord!$D$15)*1000)/$Q$20</f>
        <v>6.8833375128825133E-2</v>
      </c>
      <c r="R3" s="44">
        <f>(getDistance(coord!$C1,coord!$D1,coord!$C$16,coord!$D$16)*1000)/$R$20</f>
        <v>6.1611762184374974E-2</v>
      </c>
      <c r="S3" s="44">
        <f>(getDistance(coord!$C1,coord!$D1,coord!$C$17,coord!$D$17)*1000)/$S$20</f>
        <v>6.3560494570447018E-2</v>
      </c>
      <c r="T3" s="8" t="s">
        <v>39</v>
      </c>
      <c r="U3" s="17">
        <v>8</v>
      </c>
      <c r="V3" s="12">
        <v>1.3793103448275862E-2</v>
      </c>
      <c r="W3" s="12">
        <v>1.9607843137254902E-2</v>
      </c>
      <c r="X3" s="12">
        <v>6.0606060606060608E-2</v>
      </c>
      <c r="Y3" s="12">
        <v>9.5238095238095247E-3</v>
      </c>
      <c r="Z3" s="12">
        <v>2.6315789473684209E-2</v>
      </c>
      <c r="AA3" s="12">
        <v>1.3192612137203167E-2</v>
      </c>
      <c r="AB3" s="12">
        <v>2.1739130434782608E-2</v>
      </c>
      <c r="AC3" s="12">
        <v>1.8181818181818181E-2</v>
      </c>
      <c r="AD3" s="12">
        <v>8.0000000000000002E-3</v>
      </c>
      <c r="AE3" s="12">
        <v>4.9295774647887321E-2</v>
      </c>
      <c r="AF3" s="12">
        <v>1.2048192771084338E-2</v>
      </c>
      <c r="AG3" s="12">
        <v>1.1764705882352941E-2</v>
      </c>
      <c r="AH3" s="12">
        <v>1.2345679012345678E-2</v>
      </c>
      <c r="AI3" s="12">
        <v>1.3157894736842105E-2</v>
      </c>
      <c r="AJ3" s="12">
        <v>1.3513513513513514E-2</v>
      </c>
      <c r="AK3" s="12">
        <v>1.8292682926829267E-2</v>
      </c>
      <c r="AL3" s="18">
        <v>9.1743119266055051E-3</v>
      </c>
      <c r="AM3">
        <f>AVERAGE(V3:AL3)</f>
        <v>1.9444289550608812E-2</v>
      </c>
    </row>
    <row r="4" spans="1:39" ht="15">
      <c r="A4" s="12"/>
      <c r="B4" s="17">
        <v>2</v>
      </c>
      <c r="C4" s="45">
        <f>(getDistance(coord!C2,coord!D2,coord!$C$1,coord!$D$1)*1000)/$C$20</f>
        <v>9.2469745750658385E-3</v>
      </c>
      <c r="D4" s="46">
        <f>(getDistance(coord!C2,coord!D2,coord!$C$2,coord!$D$2)*1000)/$D$20</f>
        <v>0</v>
      </c>
      <c r="E4" s="45">
        <f>(getDistance(coord!$C2,coord!$D2,coord!$C$3,coord!$D$3)*1000)/$E$20</f>
        <v>1.3406673571440857E-2</v>
      </c>
      <c r="F4" s="45">
        <f>(getDistance(coord!$C2,coord!$D2,coord!$C$4,coord!$D$4)*1000)/$F$20</f>
        <v>4.6106558172381198E-2</v>
      </c>
      <c r="G4" s="45">
        <f>(getDistance(coord!$C2,coord!$D2,coord!$C$5,coord!$D$5)*1000)/$G$20</f>
        <v>8.1067478863828216E-2</v>
      </c>
      <c r="H4" s="45">
        <f>(getDistance(coord!$C2,coord!$D2,coord!$C$6,coord!$D$6)*1000)/$H$20</f>
        <v>8.0175462212965953E-2</v>
      </c>
      <c r="I4" s="45">
        <f>(getDistance(coord!$C2,coord!$D2,coord!$C$7,coord!$D$7)*1000)/$I$20</f>
        <v>8.468635184258988E-2</v>
      </c>
      <c r="J4" s="45">
        <f>(getDistance(coord!$C2,coord!$D2,coord!$C$8,coord!$D$8)*1000)/$J$20</f>
        <v>8.3290509632205356E-2</v>
      </c>
      <c r="K4" s="45">
        <f>(getDistance(coord!$C2,coord!$D2,coord!$C$9,coord!$D$9)*1000)/$K$20</f>
        <v>7.7949945055034039E-2</v>
      </c>
      <c r="L4" s="45">
        <f>(getDistance(coord!$C2,coord!$D2,coord!$C$10,coord!$D$10)*1000)/$L$20</f>
        <v>7.2766203954019684E-2</v>
      </c>
      <c r="M4" s="45">
        <f>(getDistance(coord!$C2,coord!$D2,coord!$C$11,coord!$D$11)*1000)/$M$20</f>
        <v>5.4633200319977884E-2</v>
      </c>
      <c r="N4" s="45">
        <f>(getDistance(coord!$C2,coord!$D2,coord!$C$12,coord!$D$12)*1000)/$N$20</f>
        <v>8.1881962218171789E-2</v>
      </c>
      <c r="O4" s="45">
        <f>(getDistance(coord!$C2,coord!$D2,coord!$C$13,coord!$D$13)*1000)/$O$20</f>
        <v>3.8078436406743466E-2</v>
      </c>
      <c r="P4" s="45">
        <f>(getDistance(coord!$C2,coord!$D2,coord!$C$14,coord!$D$14)*1000)/$P$20</f>
        <v>1.8726762682311E-2</v>
      </c>
      <c r="Q4" s="45">
        <f>(getDistance(coord!$C2,coord!$D2,coord!$C$15,coord!$D$15)*1000)/$Q$20</f>
        <v>5.8687830639966236E-2</v>
      </c>
      <c r="R4" s="45">
        <f>(getDistance(coord!$C2,coord!$D2,coord!$C$16,coord!$D$16)*1000)/$R$20</f>
        <v>5.4144568419983552E-2</v>
      </c>
      <c r="S4" s="45">
        <f>(getDistance(coord!$C2,coord!$D2,coord!$C$17,coord!$D$17)*1000)/$S$20</f>
        <v>5.3842463364049263E-2</v>
      </c>
      <c r="T4" s="8" t="s">
        <v>15</v>
      </c>
      <c r="U4" s="17">
        <v>9</v>
      </c>
      <c r="V4" s="12">
        <v>3.4482758620689655E-2</v>
      </c>
      <c r="W4" s="12">
        <v>1.9607843137254902E-2</v>
      </c>
      <c r="X4" s="12">
        <v>6.0606060606060608E-2</v>
      </c>
      <c r="Y4" s="12">
        <v>9.5238095238095247E-3</v>
      </c>
      <c r="Z4" s="12">
        <v>4.3859649122807015E-2</v>
      </c>
      <c r="AA4" s="12">
        <v>1.3192612137203167E-2</v>
      </c>
      <c r="AB4" s="12">
        <v>2.1739130434782608E-2</v>
      </c>
      <c r="AC4" s="12">
        <v>1.8181818181818181E-2</v>
      </c>
      <c r="AD4" s="12">
        <v>1.6E-2</v>
      </c>
      <c r="AE4" s="12">
        <v>5.6338028169014086E-2</v>
      </c>
      <c r="AF4" s="12">
        <v>2.4096385542168676E-2</v>
      </c>
      <c r="AG4" s="12">
        <v>2.3529411764705882E-2</v>
      </c>
      <c r="AH4" s="12">
        <v>2.4691358024691357E-2</v>
      </c>
      <c r="AI4" s="12">
        <v>3.9473684210526314E-2</v>
      </c>
      <c r="AJ4" s="12">
        <v>4.0540540540540543E-2</v>
      </c>
      <c r="AK4" s="12">
        <v>2.4390243902439025E-2</v>
      </c>
      <c r="AL4" s="18">
        <v>3.669724770642202E-2</v>
      </c>
      <c r="AM4">
        <f t="shared" ref="AM4:AM19" si="0">AVERAGE(V4:AL4)</f>
        <v>2.982062244852551E-2</v>
      </c>
    </row>
    <row r="5" spans="1:39" ht="15">
      <c r="A5" s="12"/>
      <c r="B5" s="17">
        <v>3</v>
      </c>
      <c r="C5" s="45">
        <f>(getDistance(coord!C3,coord!D3,coord!$C$1,coord!$D$1)*1000)/$C$20</f>
        <v>1.9643791909343934E-2</v>
      </c>
      <c r="D5" s="45">
        <f>(getDistance(coord!C3,coord!D3,coord!$C$2,coord!$D$2)*1000)/$D$20</f>
        <v>1.2288579056995987E-2</v>
      </c>
      <c r="E5" s="46">
        <f>(getDistance(coord!$C3,coord!$D3,coord!$C$3,coord!$D$3)*1000)/$E$20</f>
        <v>0</v>
      </c>
      <c r="F5" s="45">
        <f>(getDistance(coord!$C3,coord!$D3,coord!$C$4,coord!$D$4)*1000)/$F$20</f>
        <v>4.9239744032680575E-2</v>
      </c>
      <c r="G5" s="45">
        <f>(getDistance(coord!$C3,coord!$D3,coord!$C$5,coord!$D$5)*1000)/$G$20</f>
        <v>6.7114307356976877E-2</v>
      </c>
      <c r="H5" s="45">
        <f>(getDistance(coord!$C3,coord!$D3,coord!$C$6,coord!$D$6)*1000)/$H$20</f>
        <v>6.7600548215057135E-2</v>
      </c>
      <c r="I5" s="45">
        <f>(getDistance(coord!$C3,coord!$D3,coord!$C$7,coord!$D$7)*1000)/$I$20</f>
        <v>7.5382023485248112E-2</v>
      </c>
      <c r="J5" s="45">
        <f>(getDistance(coord!$C3,coord!$D3,coord!$C$8,coord!$D$8)*1000)/$J$20</f>
        <v>6.9817238172495161E-2</v>
      </c>
      <c r="K5" s="45">
        <f>(getDistance(coord!$C3,coord!$D3,coord!$C$9,coord!$D$9)*1000)/$K$20</f>
        <v>6.4957190869945655E-2</v>
      </c>
      <c r="L5" s="45">
        <f>(getDistance(coord!$C3,coord!$D3,coord!$C$10,coord!$D$10)*1000)/$L$20</f>
        <v>5.8381558747137567E-2</v>
      </c>
      <c r="M5" s="45">
        <f>(getDistance(coord!$C3,coord!$D3,coord!$C$11,coord!$D$11)*1000)/$M$20</f>
        <v>4.7923791064915143E-2</v>
      </c>
      <c r="N5" s="45">
        <f>(getDistance(coord!$C3,coord!$D3,coord!$C$12,coord!$D$12)*1000)/$N$20</f>
        <v>7.4297179559466797E-2</v>
      </c>
      <c r="O5" s="45">
        <f>(getDistance(coord!$C3,coord!$D3,coord!$C$13,coord!$D$13)*1000)/$O$20</f>
        <v>4.3084773468247912E-2</v>
      </c>
      <c r="P5" s="45">
        <f>(getDistance(coord!$C3,coord!$D3,coord!$C$14,coord!$D$14)*1000)/$P$20</f>
        <v>2.7735254089680056E-2</v>
      </c>
      <c r="Q5" s="45">
        <f>(getDistance(coord!$C3,coord!$D3,coord!$C$15,coord!$D$15)*1000)/$Q$20</f>
        <v>4.7574861205438287E-2</v>
      </c>
      <c r="R5" s="45">
        <f>(getDistance(coord!$C3,coord!$D3,coord!$C$16,coord!$D$16)*1000)/$R$20</f>
        <v>4.891291394410003E-2</v>
      </c>
      <c r="S5" s="45">
        <f>(getDistance(coord!$C3,coord!$D3,coord!$C$17,coord!$D$17)*1000)/$S$20</f>
        <v>4.4698705395085934E-2</v>
      </c>
      <c r="T5" s="8" t="s">
        <v>16</v>
      </c>
      <c r="U5" s="17">
        <v>10</v>
      </c>
      <c r="V5" s="12">
        <v>4.8275862068965517E-2</v>
      </c>
      <c r="W5" s="12">
        <v>3.9215686274509803E-2</v>
      </c>
      <c r="X5" s="12">
        <v>6.0606060606060608E-2</v>
      </c>
      <c r="Y5" s="12">
        <v>1.9047619047619049E-2</v>
      </c>
      <c r="Z5" s="12">
        <v>6.1403508771929821E-2</v>
      </c>
      <c r="AA5" s="12">
        <v>2.6385224274406333E-2</v>
      </c>
      <c r="AB5" s="12">
        <v>4.3478260869565216E-2</v>
      </c>
      <c r="AC5" s="12">
        <v>3.6363636363636362E-2</v>
      </c>
      <c r="AD5" s="12">
        <v>2.4E-2</v>
      </c>
      <c r="AE5" s="12">
        <v>6.3380281690140844E-2</v>
      </c>
      <c r="AF5" s="12">
        <v>3.614457831325301E-2</v>
      </c>
      <c r="AG5" s="12">
        <v>3.5294117647058823E-2</v>
      </c>
      <c r="AH5" s="12">
        <v>3.7037037037037035E-2</v>
      </c>
      <c r="AI5" s="12">
        <v>6.5789473684210523E-2</v>
      </c>
      <c r="AJ5" s="12">
        <v>6.7567567567567571E-2</v>
      </c>
      <c r="AK5" s="12">
        <v>3.048780487804878E-2</v>
      </c>
      <c r="AL5" s="18">
        <v>6.4220183486238536E-2</v>
      </c>
      <c r="AM5">
        <f t="shared" si="0"/>
        <v>4.4629229563543996E-2</v>
      </c>
    </row>
    <row r="6" spans="1:39" ht="15">
      <c r="A6" s="12"/>
      <c r="B6" s="17">
        <v>4</v>
      </c>
      <c r="C6" s="45">
        <f>(getDistance(coord!C4,coord!D4,coord!$C$1,coord!$D$1)*1000)/$C$20</f>
        <v>6.3479240244314714E-2</v>
      </c>
      <c r="D6" s="45">
        <f>(getDistance(coord!C4,coord!D4,coord!$C$2,coord!$D$2)*1000)/$D$20</f>
        <v>7.5531829384877472E-2</v>
      </c>
      <c r="E6" s="45">
        <f>(getDistance(coord!$C4,coord!$D4,coord!$C$3,coord!$D$3)*1000)/$E$20</f>
        <v>8.800400841849014E-2</v>
      </c>
      <c r="F6" s="46">
        <f>(getDistance(coord!$C4,coord!$D4,coord!$C$4,coord!$D$4)*1000)/$F$20</f>
        <v>0</v>
      </c>
      <c r="G6" s="45">
        <f>(getDistance(coord!$C4,coord!$D4,coord!$C$5,coord!$D$5)*1000)/$G$20</f>
        <v>0.13532669589065421</v>
      </c>
      <c r="H6" s="45">
        <f>(getDistance(coord!$C4,coord!$D4,coord!$C$6,coord!$D$6)*1000)/$H$20</f>
        <v>0.11768627586774991</v>
      </c>
      <c r="I6" s="45">
        <f>(getDistance(coord!$C4,coord!$D4,coord!$C$7,coord!$D$7)*1000)/$I$20</f>
        <v>0.11144001891511569</v>
      </c>
      <c r="J6" s="45">
        <f>(getDistance(coord!$C4,coord!$D4,coord!$C$8,coord!$D$8)*1000)/$J$20</f>
        <v>0.13205624405448768</v>
      </c>
      <c r="K6" s="45">
        <f>(getDistance(coord!$C4,coord!$D4,coord!$C$9,coord!$D$9)*1000)/$K$20</f>
        <v>0.13633197020169702</v>
      </c>
      <c r="L6" s="45">
        <f>(getDistance(coord!$C4,coord!$D4,coord!$C$10,coord!$D$10)*1000)/$L$20</f>
        <v>0.12509114644578523</v>
      </c>
      <c r="M6" s="45">
        <f>(getDistance(coord!$C4,coord!$D4,coord!$C$11,coord!$D$11)*1000)/$M$20</f>
        <v>6.6478851750094006E-2</v>
      </c>
      <c r="N6" s="45">
        <f>(getDistance(coord!$C4,coord!$D4,coord!$C$12,coord!$D$12)*1000)/$N$20</f>
        <v>9.7873585979555255E-2</v>
      </c>
      <c r="O6" s="45">
        <f>(getDistance(coord!$C4,coord!$D4,coord!$C$13,coord!$D$13)*1000)/$O$20</f>
        <v>1.6348341587255268E-2</v>
      </c>
      <c r="P6" s="45">
        <f>(getDistance(coord!$C4,coord!$D4,coord!$C$14,coord!$D$14)*1000)/$P$20</f>
        <v>4.9557575034467172E-2</v>
      </c>
      <c r="Q6" s="45">
        <f>(getDistance(coord!$C4,coord!$D4,coord!$C$15,coord!$D$15)*1000)/$Q$20</f>
        <v>0.1294425679412515</v>
      </c>
      <c r="R6" s="45">
        <f>(getDistance(coord!$C4,coord!$D4,coord!$C$16,coord!$D$16)*1000)/$R$20</f>
        <v>0.11186301713772151</v>
      </c>
      <c r="S6" s="45">
        <f>(getDistance(coord!$C4,coord!$D4,coord!$C$17,coord!$D$17)*1000)/$S$20</f>
        <v>0.12383620205405937</v>
      </c>
      <c r="T6" s="8" t="s">
        <v>17</v>
      </c>
      <c r="U6" s="17">
        <v>11</v>
      </c>
      <c r="V6" s="12">
        <v>5.5172413793103448E-2</v>
      </c>
      <c r="W6" s="12">
        <v>5.8823529411764705E-2</v>
      </c>
      <c r="X6" s="12">
        <v>6.0606060606060608E-2</v>
      </c>
      <c r="Y6" s="12">
        <v>2.8571428571428571E-2</v>
      </c>
      <c r="Z6" s="12">
        <v>7.0175438596491224E-2</v>
      </c>
      <c r="AA6" s="12">
        <v>3.9577836411609502E-2</v>
      </c>
      <c r="AB6" s="12">
        <v>6.5217391304347824E-2</v>
      </c>
      <c r="AC6" s="12">
        <v>3.6363636363636362E-2</v>
      </c>
      <c r="AD6" s="12">
        <v>3.2000000000000001E-2</v>
      </c>
      <c r="AE6" s="12">
        <v>6.3380281690140844E-2</v>
      </c>
      <c r="AF6" s="12">
        <v>4.8192771084337352E-2</v>
      </c>
      <c r="AG6" s="12">
        <v>4.7058823529411764E-2</v>
      </c>
      <c r="AH6" s="12">
        <v>6.1728395061728392E-2</v>
      </c>
      <c r="AI6" s="12">
        <v>7.8947368421052627E-2</v>
      </c>
      <c r="AJ6" s="12">
        <v>8.1081081081081086E-2</v>
      </c>
      <c r="AK6" s="12">
        <v>3.6585365853658534E-2</v>
      </c>
      <c r="AL6" s="18">
        <v>9.1743119266055051E-2</v>
      </c>
      <c r="AM6">
        <f t="shared" si="0"/>
        <v>5.6189702414465192E-2</v>
      </c>
    </row>
    <row r="7" spans="1:39" ht="15">
      <c r="A7" s="12"/>
      <c r="B7" s="17">
        <v>5</v>
      </c>
      <c r="C7" s="45">
        <f>(getDistance(coord!C5,coord!D5,coord!$C$1,coord!$D$1)*1000)/$C$20</f>
        <v>7.4513747663746827E-2</v>
      </c>
      <c r="D7" s="45">
        <f>(getDistance(coord!C5,coord!D5,coord!$C$2,coord!$D$2)*1000)/$D$20</f>
        <v>7.1332223275925158E-2</v>
      </c>
      <c r="E7" s="45">
        <f>(getDistance(coord!$C5,coord!$D5,coord!$C$3,coord!$D$3)*1000)/$E$20</f>
        <v>6.4427840249098367E-2</v>
      </c>
      <c r="F7" s="45">
        <f>(getDistance(coord!$C5,coord!$D5,coord!$C$4,coord!$D$4)*1000)/$F$20</f>
        <v>7.2686753478064511E-2</v>
      </c>
      <c r="G7" s="46">
        <f>(getDistance(coord!$C5,coord!$D5,coord!$C$5,coord!$D$5)*1000)/$G$20</f>
        <v>0</v>
      </c>
      <c r="H7" s="45">
        <f>(getDistance(coord!$C5,coord!$D5,coord!$C$6,coord!$D$6)*1000)/$H$20</f>
        <v>2.0764064813478561E-2</v>
      </c>
      <c r="I7" s="45">
        <f>(getDistance(coord!$C5,coord!$D5,coord!$C$7,coord!$D$7)*1000)/$I$20</f>
        <v>3.1073475364880684E-2</v>
      </c>
      <c r="J7" s="45">
        <f>(getDistance(coord!$C5,coord!$D5,coord!$C$8,coord!$D$8)*1000)/$J$20</f>
        <v>6.6997057360049812E-3</v>
      </c>
      <c r="K7" s="45">
        <f>(getDistance(coord!$C5,coord!$D5,coord!$C$9,coord!$D$9)*1000)/$K$20</f>
        <v>1.3639234596297669E-2</v>
      </c>
      <c r="L7" s="45">
        <f>(getDistance(coord!$C5,coord!$D5,coord!$C$10,coord!$D$10)*1000)/$L$20</f>
        <v>1.7651267526811714E-2</v>
      </c>
      <c r="M7" s="45">
        <f>(getDistance(coord!$C5,coord!$D5,coord!$C$11,coord!$D$11)*1000)/$M$20</f>
        <v>5.3560851603546879E-2</v>
      </c>
      <c r="N7" s="45">
        <f>(getDistance(coord!$C5,coord!$D5,coord!$C$12,coord!$D$12)*1000)/$N$20</f>
        <v>3.9018607255554762E-2</v>
      </c>
      <c r="O7" s="45">
        <f>(getDistance(coord!$C5,coord!$D5,coord!$C$13,coord!$D$13)*1000)/$O$20</f>
        <v>7.5467560403881626E-2</v>
      </c>
      <c r="P7" s="45">
        <f>(getDistance(coord!$C5,coord!$D5,coord!$C$14,coord!$D$14)*1000)/$P$20</f>
        <v>7.6258866569330716E-2</v>
      </c>
      <c r="Q7" s="45">
        <f>(getDistance(coord!$C5,coord!$D5,coord!$C$15,coord!$D$15)*1000)/$Q$20</f>
        <v>3.7959046248182332E-2</v>
      </c>
      <c r="R7" s="45">
        <f>(getDistance(coord!$C5,coord!$D5,coord!$C$16,coord!$D$16)*1000)/$R$20</f>
        <v>5.0538031267408988E-2</v>
      </c>
      <c r="S7" s="45">
        <f>(getDistance(coord!$C5,coord!$D5,coord!$C$17,coord!$D$17)*1000)/$S$20</f>
        <v>4.4755301363570019E-2</v>
      </c>
      <c r="T7" s="8" t="s">
        <v>18</v>
      </c>
      <c r="U7" s="17">
        <v>12</v>
      </c>
      <c r="V7" s="12">
        <v>6.2068965517241378E-2</v>
      </c>
      <c r="W7" s="12">
        <v>5.8823529411764705E-2</v>
      </c>
      <c r="X7" s="12">
        <v>6.0606060606060608E-2</v>
      </c>
      <c r="Y7" s="12">
        <v>4.7619047619047616E-2</v>
      </c>
      <c r="Z7" s="12">
        <v>7.0175438596491224E-2</v>
      </c>
      <c r="AA7" s="12">
        <v>6.3324538258575203E-2</v>
      </c>
      <c r="AB7" s="12">
        <v>6.5217391304347824E-2</v>
      </c>
      <c r="AC7" s="12">
        <v>5.4545454545454543E-2</v>
      </c>
      <c r="AD7" s="12">
        <v>0.04</v>
      </c>
      <c r="AE7" s="12">
        <v>6.3380281690140844E-2</v>
      </c>
      <c r="AF7" s="12">
        <v>6.0240963855421686E-2</v>
      </c>
      <c r="AG7" s="12">
        <v>5.8823529411764705E-2</v>
      </c>
      <c r="AH7" s="12">
        <v>8.6419753086419748E-2</v>
      </c>
      <c r="AI7" s="12">
        <v>9.2105263157894732E-2</v>
      </c>
      <c r="AJ7" s="12">
        <v>8.1081081081081086E-2</v>
      </c>
      <c r="AK7" s="12">
        <v>4.2682926829268296E-2</v>
      </c>
      <c r="AL7" s="18">
        <v>9.1743119266055051E-2</v>
      </c>
      <c r="AM7">
        <f t="shared" si="0"/>
        <v>6.4638667308060546E-2</v>
      </c>
    </row>
    <row r="8" spans="1:39" ht="15">
      <c r="A8" s="12"/>
      <c r="B8" s="17">
        <v>6</v>
      </c>
      <c r="C8" s="45">
        <f>(getDistance(coord!C6,coord!D6,coord!$C$1,coord!$D$1)*1000)/$C$20</f>
        <v>7.5503956165217129E-2</v>
      </c>
      <c r="D8" s="45">
        <f>(getDistance(coord!C6,coord!D6,coord!$C$2,coord!$D$2)*1000)/$D$20</f>
        <v>7.416462936716553E-2</v>
      </c>
      <c r="E8" s="45">
        <f>(getDistance(coord!$C6,coord!$D6,coord!$C$3,coord!$D$3)*1000)/$E$20</f>
        <v>6.8222078018574397E-2</v>
      </c>
      <c r="F8" s="45">
        <f>(getDistance(coord!$C6,coord!$D6,coord!$C$4,coord!$D$4)*1000)/$F$20</f>
        <v>6.6452890858092556E-2</v>
      </c>
      <c r="G8" s="45">
        <f>(getDistance(coord!$C6,coord!$D6,coord!$C$5,coord!$D$5)*1000)/$G$20</f>
        <v>2.1828738636758608E-2</v>
      </c>
      <c r="H8" s="46">
        <f>(getDistance(coord!$C6,coord!$D6,coord!$C$6,coord!$D$6)*1000)/$H$20</f>
        <v>0</v>
      </c>
      <c r="I8" s="45">
        <f>(getDistance(coord!$C6,coord!$D6,coord!$C$7,coord!$D$7)*1000)/$I$20</f>
        <v>2.9162206687823905E-2</v>
      </c>
      <c r="J8" s="45">
        <f>(getDistance(coord!$C6,coord!$D6,coord!$C$8,coord!$D$8)*1000)/$J$20</f>
        <v>1.6717233691112079E-2</v>
      </c>
      <c r="K8" s="45">
        <f>(getDistance(coord!$C6,coord!$D6,coord!$C$9,coord!$D$9)*1000)/$K$20</f>
        <v>3.4169011585670317E-2</v>
      </c>
      <c r="L8" s="45">
        <f>(getDistance(coord!$C6,coord!$D6,coord!$C$10,coord!$D$10)*1000)/$L$20</f>
        <v>1.8268829617316084E-2</v>
      </c>
      <c r="M8" s="45">
        <f>(getDistance(coord!$C6,coord!$D6,coord!$C$11,coord!$D$11)*1000)/$M$20</f>
        <v>4.1130588610241409E-2</v>
      </c>
      <c r="N8" s="45">
        <f>(getDistance(coord!$C6,coord!$D6,coord!$C$12,coord!$D$12)*1000)/$N$20</f>
        <v>3.3737409043053328E-2</v>
      </c>
      <c r="O8" s="45">
        <f>(getDistance(coord!$C6,coord!$D6,coord!$C$13,coord!$D$13)*1000)/$O$20</f>
        <v>7.0816044670883788E-2</v>
      </c>
      <c r="P8" s="45">
        <f>(getDistance(coord!$C6,coord!$D6,coord!$C$14,coord!$D$14)*1000)/$P$20</f>
        <v>7.5641428358044008E-2</v>
      </c>
      <c r="Q8" s="45">
        <f>(getDistance(coord!$C6,coord!$D6,coord!$C$15,coord!$D$15)*1000)/$Q$20</f>
        <v>5.5210243961729924E-2</v>
      </c>
      <c r="R8" s="45">
        <f>(getDistance(coord!$C6,coord!$D6,coord!$C$16,coord!$D$16)*1000)/$R$20</f>
        <v>6.4157895195982612E-2</v>
      </c>
      <c r="S8" s="45">
        <f>(getDistance(coord!$C6,coord!$D6,coord!$C$17,coord!$D$17)*1000)/$S$20</f>
        <v>6.067538526253205E-2</v>
      </c>
      <c r="T8" s="8" t="s">
        <v>19</v>
      </c>
      <c r="U8" s="17">
        <v>13</v>
      </c>
      <c r="V8" s="10">
        <v>7.586206896551724E-2</v>
      </c>
      <c r="W8" s="10">
        <v>7.8431372549019607E-2</v>
      </c>
      <c r="X8" s="12">
        <v>6.0606060606060608E-2</v>
      </c>
      <c r="Y8" s="12">
        <v>6.6666666666666666E-2</v>
      </c>
      <c r="Z8" s="12">
        <v>7.0175438596491224E-2</v>
      </c>
      <c r="AA8" s="12">
        <v>7.9155672823219003E-2</v>
      </c>
      <c r="AB8" s="12">
        <v>8.6956521739130432E-2</v>
      </c>
      <c r="AC8" s="12">
        <v>5.4545454545454543E-2</v>
      </c>
      <c r="AD8" s="12">
        <v>5.6000000000000001E-2</v>
      </c>
      <c r="AE8" s="12">
        <v>6.3380281690140844E-2</v>
      </c>
      <c r="AF8" s="12">
        <v>7.2289156626506021E-2</v>
      </c>
      <c r="AG8" s="12">
        <v>7.0588235294117646E-2</v>
      </c>
      <c r="AH8" s="12">
        <v>9.8765432098765427E-2</v>
      </c>
      <c r="AI8" s="12">
        <v>9.2105263157894732E-2</v>
      </c>
      <c r="AJ8" s="12">
        <v>8.1081081081081086E-2</v>
      </c>
      <c r="AK8" s="12">
        <v>5.4878048780487805E-2</v>
      </c>
      <c r="AL8" s="18">
        <v>9.1743119266055051E-2</v>
      </c>
      <c r="AM8">
        <f t="shared" si="0"/>
        <v>7.3719404381565184E-2</v>
      </c>
    </row>
    <row r="9" spans="1:39" ht="15">
      <c r="A9" s="12"/>
      <c r="B9" s="17">
        <v>7</v>
      </c>
      <c r="C9" s="45">
        <f>(getDistance(coord!C7,coord!D7,coord!$C$1,coord!$D$1)*1000)/$C$20</f>
        <v>0.11024602044878865</v>
      </c>
      <c r="D9" s="45">
        <f>(getDistance(coord!C7,coord!D7,coord!$C$2,coord!$D$2)*1000)/$D$20</f>
        <v>0.11010461508476854</v>
      </c>
      <c r="E9" s="45">
        <f>(getDistance(coord!$C7,coord!$D7,coord!$C$3,coord!$D$3)*1000)/$E$20</f>
        <v>0.10692499951284801</v>
      </c>
      <c r="F9" s="45">
        <f>(getDistance(coord!$C7,coord!$D7,coord!$C$4,coord!$D$4)*1000)/$F$20</f>
        <v>8.8443511207543263E-2</v>
      </c>
      <c r="G9" s="45">
        <f>(getDistance(coord!$C7,coord!$D7,coord!$C$5,coord!$D$5)*1000)/$G$20</f>
        <v>4.5913757294255543E-2</v>
      </c>
      <c r="H9" s="45">
        <f>(getDistance(coord!$C7,coord!$D7,coord!$C$6,coord!$D$6)*1000)/$H$20</f>
        <v>4.0988037398308211E-2</v>
      </c>
      <c r="I9" s="46">
        <f>(getDistance(coord!$C7,coord!$D7,coord!$C$7,coord!$D$7)*1000)/$I$20</f>
        <v>0</v>
      </c>
      <c r="J9" s="45">
        <f>(getDistance(coord!$C7,coord!$D7,coord!$C$8,coord!$D$8)*1000)/$J$20</f>
        <v>3.8743657867997619E-2</v>
      </c>
      <c r="K9" s="45">
        <f>(getDistance(coord!$C7,coord!$D7,coord!$C$9,coord!$D$9)*1000)/$K$20</f>
        <v>4.9244496620776908E-2</v>
      </c>
      <c r="L9" s="45">
        <f>(getDistance(coord!$C7,coord!$D7,coord!$C$10,coord!$D$10)*1000)/$L$20</f>
        <v>5.9262873544274626E-2</v>
      </c>
      <c r="M9" s="45">
        <f>(getDistance(coord!$C7,coord!$D7,coord!$C$11,coord!$D$11)*1000)/$M$20</f>
        <v>7.6742677255341979E-2</v>
      </c>
      <c r="N9" s="45">
        <f>(getDistance(coord!$C7,coord!$D7,coord!$C$12,coord!$D$12)*1000)/$N$20</f>
        <v>1.4538514946681543E-2</v>
      </c>
      <c r="O9" s="45">
        <f>(getDistance(coord!$C7,coord!$D7,coord!$C$13,coord!$D$13)*1000)/$O$20</f>
        <v>9.6802630564305797E-2</v>
      </c>
      <c r="P9" s="45">
        <f>(getDistance(coord!$C7,coord!$D7,coord!$C$14,coord!$D$14)*1000)/$P$20</f>
        <v>0.10771118170244345</v>
      </c>
      <c r="Q9" s="45">
        <f>(getDistance(coord!$C7,coord!$D7,coord!$C$15,coord!$D$15)*1000)/$Q$20</f>
        <v>7.7887990092287598E-2</v>
      </c>
      <c r="R9" s="45">
        <f>(getDistance(coord!$C7,coord!$D7,coord!$C$16,coord!$D$16)*1000)/$R$20</f>
        <v>7.7230351239655826E-2</v>
      </c>
      <c r="S9" s="45">
        <f>(getDistance(coord!$C7,coord!$D7,coord!$C$17,coord!$D$17)*1000)/$S$20</f>
        <v>8.2165573782386259E-2</v>
      </c>
      <c r="T9" s="8" t="s">
        <v>20</v>
      </c>
      <c r="U9" s="17">
        <v>14</v>
      </c>
      <c r="V9" s="10">
        <v>7.586206896551724E-2</v>
      </c>
      <c r="W9" s="10">
        <v>7.8431372549019607E-2</v>
      </c>
      <c r="X9" s="12">
        <v>6.0606060606060608E-2</v>
      </c>
      <c r="Y9" s="12">
        <v>8.5714285714285715E-2</v>
      </c>
      <c r="Z9" s="12">
        <v>7.0175438596491224E-2</v>
      </c>
      <c r="AA9" s="12">
        <v>7.9155672823219003E-2</v>
      </c>
      <c r="AB9" s="12">
        <v>8.6956521739130432E-2</v>
      </c>
      <c r="AC9" s="12">
        <v>7.2727272727272724E-2</v>
      </c>
      <c r="AD9" s="12">
        <v>7.1999999999999995E-2</v>
      </c>
      <c r="AE9" s="12">
        <v>6.3380281690140844E-2</v>
      </c>
      <c r="AF9" s="12">
        <v>8.4337349397590355E-2</v>
      </c>
      <c r="AG9" s="12">
        <v>8.2352941176470587E-2</v>
      </c>
      <c r="AH9" s="12">
        <v>9.8765432098765427E-2</v>
      </c>
      <c r="AI9" s="12">
        <v>9.2105263157894732E-2</v>
      </c>
      <c r="AJ9" s="12">
        <v>8.1081081081081086E-2</v>
      </c>
      <c r="AK9" s="12">
        <v>6.7073170731707321E-2</v>
      </c>
      <c r="AL9" s="18">
        <v>8.2568807339449546E-2</v>
      </c>
      <c r="AM9">
        <f t="shared" si="0"/>
        <v>7.8429001199652737E-2</v>
      </c>
    </row>
    <row r="10" spans="1:39" ht="15">
      <c r="A10" s="12"/>
      <c r="B10" s="17">
        <v>8</v>
      </c>
      <c r="C10" s="45">
        <f>(getDistance(coord!C8,coord!D8,coord!$C$1,coord!$D$1)*1000)/$C$20</f>
        <v>7.8116539205215205E-2</v>
      </c>
      <c r="D10" s="45">
        <f>(getDistance(coord!C8,coord!D8,coord!$C$2,coord!$D$2)*1000)/$D$20</f>
        <v>7.5528201747367199E-2</v>
      </c>
      <c r="E10" s="45">
        <f>(getDistance(coord!$C8,coord!$D8,coord!$C$3,coord!$D$3)*1000)/$E$20</f>
        <v>6.9070986320844893E-2</v>
      </c>
      <c r="F10" s="45">
        <f>(getDistance(coord!$C8,coord!$D8,coord!$C$4,coord!$D$4)*1000)/$F$20</f>
        <v>7.3097961577115442E-2</v>
      </c>
      <c r="G10" s="45">
        <f>(getDistance(coord!$C8,coord!$D8,coord!$C$5,coord!$D$5)*1000)/$G$20</f>
        <v>6.9044686187920493E-3</v>
      </c>
      <c r="H10" s="45">
        <f>(getDistance(coord!$C8,coord!$D8,coord!$C$6,coord!$D$6)*1000)/$H$20</f>
        <v>1.6387876424078383E-2</v>
      </c>
      <c r="I10" s="45">
        <f>(getDistance(coord!$C8,coord!$D8,coord!$C$7,coord!$D$7)*1000)/$I$20</f>
        <v>2.7022289830822523E-2</v>
      </c>
      <c r="J10" s="46">
        <f>(getDistance(coord!$C8,coord!$D8,coord!$C$8,coord!$D$8)*1000)/$J$20</f>
        <v>0</v>
      </c>
      <c r="K10" s="45">
        <f>(getDistance(coord!$C8,coord!$D8,coord!$C$9,coord!$D$9)*1000)/$K$20</f>
        <v>1.8865925894248264E-2</v>
      </c>
      <c r="L10" s="45">
        <f>(getDistance(coord!$C8,coord!$D8,coord!$C$10,coord!$D$10)*1000)/$L$20</f>
        <v>1.9370649843554015E-2</v>
      </c>
      <c r="M10" s="45">
        <f>(getDistance(coord!$C8,coord!$D8,coord!$C$11,coord!$D$11)*1000)/$M$20</f>
        <v>5.3047541420967771E-2</v>
      </c>
      <c r="N10" s="45">
        <f>(getDistance(coord!$C8,coord!$D8,coord!$C$12,coord!$D$12)*1000)/$N$20</f>
        <v>3.5229351517956919E-2</v>
      </c>
      <c r="O10" s="45">
        <f>(getDistance(coord!$C8,coord!$D8,coord!$C$13,coord!$D$13)*1000)/$O$20</f>
        <v>7.6712397791357037E-2</v>
      </c>
      <c r="P10" s="45">
        <f>(getDistance(coord!$C8,coord!$D8,coord!$C$14,coord!$D$14)*1000)/$P$20</f>
        <v>7.9191169760593288E-2</v>
      </c>
      <c r="Q10" s="45">
        <f>(getDistance(coord!$C8,coord!$D8,coord!$C$15,coord!$D$15)*1000)/$Q$20</f>
        <v>4.4365082357417922E-2</v>
      </c>
      <c r="R10" s="45">
        <f>(getDistance(coord!$C8,coord!$D8,coord!$C$16,coord!$D$16)*1000)/$R$20</f>
        <v>5.516766485577608E-2</v>
      </c>
      <c r="S10" s="45">
        <f>(getDistance(coord!$C8,coord!$D8,coord!$C$17,coord!$D$17)*1000)/$S$20</f>
        <v>5.0786616553483946E-2</v>
      </c>
      <c r="T10" s="8" t="s">
        <v>21</v>
      </c>
      <c r="U10" s="17">
        <v>15</v>
      </c>
      <c r="V10" s="10">
        <v>8.2758620689655171E-2</v>
      </c>
      <c r="W10" s="10">
        <v>9.8039215686274508E-2</v>
      </c>
      <c r="X10" s="12">
        <v>6.0606060606060608E-2</v>
      </c>
      <c r="Y10" s="12">
        <v>0.11428571428571428</v>
      </c>
      <c r="Z10" s="12">
        <v>7.0175438596491224E-2</v>
      </c>
      <c r="AA10" s="12">
        <v>7.9155672823219003E-2</v>
      </c>
      <c r="AB10" s="12">
        <v>8.6956521739130432E-2</v>
      </c>
      <c r="AC10" s="12">
        <v>7.2727272727272724E-2</v>
      </c>
      <c r="AD10" s="12">
        <v>9.6000000000000002E-2</v>
      </c>
      <c r="AE10" s="12">
        <v>6.3380281690140844E-2</v>
      </c>
      <c r="AF10" s="12">
        <v>9.6385542168674704E-2</v>
      </c>
      <c r="AG10" s="12">
        <v>9.4117647058823528E-2</v>
      </c>
      <c r="AH10" s="12">
        <v>9.8765432098765427E-2</v>
      </c>
      <c r="AI10" s="12">
        <v>9.2105263157894732E-2</v>
      </c>
      <c r="AJ10" s="12">
        <v>8.1081081081081086E-2</v>
      </c>
      <c r="AK10" s="12">
        <v>7.926829268292683E-2</v>
      </c>
      <c r="AL10" s="18">
        <v>8.2568807339449546E-2</v>
      </c>
      <c r="AM10">
        <f t="shared" si="0"/>
        <v>8.519863908421027E-2</v>
      </c>
    </row>
    <row r="11" spans="1:39" ht="15">
      <c r="A11" s="12"/>
      <c r="B11" s="17">
        <v>9</v>
      </c>
      <c r="C11" s="45">
        <f>(getDistance(coord!C9,coord!D9,coord!$C$1,coord!$D$1)*1000)/$C$20</f>
        <v>7.6853360723040068E-2</v>
      </c>
      <c r="D11" s="45">
        <f>(getDistance(coord!C9,coord!D9,coord!$C$2,coord!$D$2)*1000)/$D$20</f>
        <v>7.2892421099228111E-2</v>
      </c>
      <c r="E11" s="45">
        <f>(getDistance(coord!$C9,coord!$D9,coord!$C$3,coord!$D$3)*1000)/$E$20</f>
        <v>6.6269419242501834E-2</v>
      </c>
      <c r="F11" s="45">
        <f>(getDistance(coord!$C9,coord!$D9,coord!$C$4,coord!$D$4)*1000)/$F$20</f>
        <v>7.7821029734533517E-2</v>
      </c>
      <c r="G11" s="45">
        <f>(getDistance(coord!$C9,coord!$D9,coord!$C$5,coord!$D$5)*1000)/$G$20</f>
        <v>1.4494974915072205E-2</v>
      </c>
      <c r="H11" s="45">
        <f>(getDistance(coord!$C9,coord!$D9,coord!$C$6,coord!$D$6)*1000)/$H$20</f>
        <v>3.4541692980885677E-2</v>
      </c>
      <c r="I11" s="45">
        <f>(getDistance(coord!$C9,coord!$D9,coord!$C$7,coord!$D$7)*1000)/$I$20</f>
        <v>3.5418663225925767E-2</v>
      </c>
      <c r="J11" s="45">
        <f>(getDistance(coord!$C9,coord!$D9,coord!$C$8,coord!$D$8)*1000)/$J$20</f>
        <v>1.9454992196515256E-2</v>
      </c>
      <c r="K11" s="46">
        <f>(getDistance(coord!$C9,coord!$D9,coord!$C$9,coord!$D$9)*1000)/$K$20</f>
        <v>0</v>
      </c>
      <c r="L11" s="45">
        <f>(getDistance(coord!$C9,coord!$D9,coord!$C$10,coord!$D$10)*1000)/$L$20</f>
        <v>3.0051966035264915E-2</v>
      </c>
      <c r="M11" s="45">
        <f>(getDistance(coord!$C9,coord!$D9,coord!$C$11,coord!$D$11)*1000)/$M$20</f>
        <v>6.3956981472842303E-2</v>
      </c>
      <c r="N11" s="45">
        <f>(getDistance(coord!$C9,coord!$D9,coord!$C$12,coord!$D$12)*1000)/$N$20</f>
        <v>4.3841191653188123E-2</v>
      </c>
      <c r="O11" s="45">
        <f>(getDistance(coord!$C9,coord!$D9,coord!$C$13,coord!$D$13)*1000)/$O$20</f>
        <v>8.0008565439865093E-2</v>
      </c>
      <c r="P11" s="45">
        <f>(getDistance(coord!$C9,coord!$D9,coord!$C$14,coord!$D$14)*1000)/$P$20</f>
        <v>7.9114399096281499E-2</v>
      </c>
      <c r="Q11" s="45">
        <f>(getDistance(coord!$C9,coord!$D9,coord!$C$15,coord!$D$15)*1000)/$Q$20</f>
        <v>2.9333697451410307E-2</v>
      </c>
      <c r="R11" s="45">
        <f>(getDistance(coord!$C9,coord!$D9,coord!$C$16,coord!$D$16)*1000)/$R$20</f>
        <v>4.2305951765213359E-2</v>
      </c>
      <c r="S11" s="45">
        <f>(getDistance(coord!$C9,coord!$D9,coord!$C$17,coord!$D$17)*1000)/$S$20</f>
        <v>3.6437900182833403E-2</v>
      </c>
      <c r="T11" s="8" t="s">
        <v>22</v>
      </c>
      <c r="U11" s="17">
        <v>16</v>
      </c>
      <c r="V11" s="10">
        <v>8.2758620689655171E-2</v>
      </c>
      <c r="W11" s="10">
        <v>9.8039215686274508E-2</v>
      </c>
      <c r="X11" s="12">
        <v>6.0606060606060608E-2</v>
      </c>
      <c r="Y11" s="12">
        <v>0.11428571428571428</v>
      </c>
      <c r="Z11" s="12">
        <v>7.0175438596491224E-2</v>
      </c>
      <c r="AA11" s="12">
        <v>7.9155672823219003E-2</v>
      </c>
      <c r="AB11" s="12">
        <v>8.6956521739130432E-2</v>
      </c>
      <c r="AC11" s="12">
        <v>7.2727272727272724E-2</v>
      </c>
      <c r="AD11" s="12">
        <v>9.6000000000000002E-2</v>
      </c>
      <c r="AE11" s="12">
        <v>6.3380281690140844E-2</v>
      </c>
      <c r="AF11" s="12">
        <v>9.6385542168674704E-2</v>
      </c>
      <c r="AG11" s="12">
        <v>9.4117647058823528E-2</v>
      </c>
      <c r="AH11" s="12">
        <v>9.8765432098765427E-2</v>
      </c>
      <c r="AI11" s="12">
        <v>9.2105263157894732E-2</v>
      </c>
      <c r="AJ11" s="12">
        <v>8.1081081081081086E-2</v>
      </c>
      <c r="AK11" s="12">
        <v>9.1463414634146339E-2</v>
      </c>
      <c r="AL11" s="18">
        <v>7.3394495412844041E-2</v>
      </c>
      <c r="AM11">
        <f t="shared" si="0"/>
        <v>8.5376333791540512E-2</v>
      </c>
    </row>
    <row r="12" spans="1:39" ht="15">
      <c r="A12" s="12"/>
      <c r="B12" s="17">
        <v>10</v>
      </c>
      <c r="C12" s="45">
        <f>(getDistance(coord!C10,coord!D10,coord!$C$1,coord!$D$1)*1000)/$C$20</f>
        <v>6.3600540027924646E-2</v>
      </c>
      <c r="D12" s="45">
        <f>(getDistance(coord!C10,coord!D10,coord!$C$2,coord!$D$2)*1000)/$D$20</f>
        <v>6.0709928608488055E-2</v>
      </c>
      <c r="E12" s="45">
        <f>(getDistance(coord!$C10,coord!$D10,coord!$C$3,coord!$D$3)*1000)/$E$20</f>
        <v>5.3140429031264647E-2</v>
      </c>
      <c r="F12" s="45">
        <f>(getDistance(coord!$C10,coord!$D10,coord!$C$4,coord!$D$4)*1000)/$F$20</f>
        <v>6.3707311184292334E-2</v>
      </c>
      <c r="G12" s="45">
        <f>(getDistance(coord!$C10,coord!$D10,coord!$C$5,coord!$D$5)*1000)/$G$20</f>
        <v>1.6736583430925735E-2</v>
      </c>
      <c r="H12" s="45">
        <f>(getDistance(coord!$C10,coord!$D10,coord!$C$6,coord!$D$6)*1000)/$H$20</f>
        <v>1.6477274234803704E-2</v>
      </c>
      <c r="I12" s="45">
        <f>(getDistance(coord!$C10,coord!$D10,coord!$C$7,coord!$D$7)*1000)/$I$20</f>
        <v>3.8029499528976364E-2</v>
      </c>
      <c r="J12" s="45">
        <f>(getDistance(coord!$C10,coord!$D10,coord!$C$8,coord!$D$8)*1000)/$J$20</f>
        <v>1.7822169433337764E-2</v>
      </c>
      <c r="K12" s="45">
        <f>(getDistance(coord!$C10,coord!$D10,coord!$C$9,coord!$D$9)*1000)/$K$20</f>
        <v>2.6812439532441078E-2</v>
      </c>
      <c r="L12" s="46">
        <f>(getDistance(coord!$C10,coord!$D10,coord!$C$10,coord!$D$10)*1000)/$L$20</f>
        <v>0</v>
      </c>
      <c r="M12" s="45">
        <f>(getDistance(coord!$C10,coord!$D10,coord!$C$11,coord!$D$11)*1000)/$M$20</f>
        <v>3.9354063672278637E-2</v>
      </c>
      <c r="N12" s="45">
        <f>(getDistance(coord!$C10,coord!$D10,coord!$C$12,coord!$D$12)*1000)/$N$20</f>
        <v>4.2894568213011769E-2</v>
      </c>
      <c r="O12" s="45">
        <f>(getDistance(coord!$C10,coord!$D10,coord!$C$13,coord!$D$13)*1000)/$O$20</f>
        <v>6.5606399204571786E-2</v>
      </c>
      <c r="P12" s="45">
        <f>(getDistance(coord!$C10,coord!$D10,coord!$C$14,coord!$D$14)*1000)/$P$20</f>
        <v>6.5676574494798801E-2</v>
      </c>
      <c r="Q12" s="45">
        <f>(getDistance(coord!$C10,coord!$D10,coord!$C$15,coord!$D$15)*1000)/$Q$20</f>
        <v>4.0948212204785242E-2</v>
      </c>
      <c r="R12" s="45">
        <f>(getDistance(coord!$C10,coord!$D10,coord!$C$16,coord!$D$16)*1000)/$R$20</f>
        <v>5.3859370950850576E-2</v>
      </c>
      <c r="S12" s="45">
        <f>(getDistance(coord!$C10,coord!$D10,coord!$C$17,coord!$D$17)*1000)/$S$20</f>
        <v>4.684761894464741E-2</v>
      </c>
      <c r="T12" s="8" t="s">
        <v>23</v>
      </c>
      <c r="U12" s="17">
        <v>17</v>
      </c>
      <c r="V12" s="10">
        <v>8.2758620689655171E-2</v>
      </c>
      <c r="W12" s="10">
        <v>9.8039215686274508E-2</v>
      </c>
      <c r="X12" s="12">
        <v>6.0606060606060608E-2</v>
      </c>
      <c r="Y12" s="12">
        <v>0.11428571428571428</v>
      </c>
      <c r="Z12" s="12">
        <v>7.0175438596491224E-2</v>
      </c>
      <c r="AA12" s="12">
        <v>7.9155672823219003E-2</v>
      </c>
      <c r="AB12" s="12">
        <v>8.6956521739130432E-2</v>
      </c>
      <c r="AC12" s="12">
        <v>7.2727272727272724E-2</v>
      </c>
      <c r="AD12" s="12">
        <v>9.6000000000000002E-2</v>
      </c>
      <c r="AE12" s="12">
        <v>5.6338028169014086E-2</v>
      </c>
      <c r="AF12" s="12">
        <v>9.6385542168674704E-2</v>
      </c>
      <c r="AG12" s="12">
        <v>9.4117647058823528E-2</v>
      </c>
      <c r="AH12" s="12">
        <v>8.6419753086419748E-2</v>
      </c>
      <c r="AI12" s="12">
        <v>7.8947368421052627E-2</v>
      </c>
      <c r="AJ12" s="12">
        <v>8.1081081081081086E-2</v>
      </c>
      <c r="AK12" s="12">
        <v>9.7560975609756101E-2</v>
      </c>
      <c r="AL12" s="18">
        <v>7.3394495412844041E-2</v>
      </c>
      <c r="AM12">
        <f t="shared" si="0"/>
        <v>8.3820553421263766E-2</v>
      </c>
    </row>
    <row r="13" spans="1:39" ht="15">
      <c r="A13" s="12"/>
      <c r="B13" s="17">
        <v>11</v>
      </c>
      <c r="C13" s="45">
        <f>(getDistance(coord!C11,coord!D11,coord!$C$1,coord!$D$1)*1000)/$C$20</f>
        <v>5.3003930552678102E-2</v>
      </c>
      <c r="D13" s="45">
        <f>(getDistance(coord!C11,coord!D11,coord!$C$2,coord!$D$2)*1000)/$D$20</f>
        <v>5.5340149093294128E-2</v>
      </c>
      <c r="E13" s="45">
        <f>(getDistance(coord!$C11,coord!$D11,coord!$C$3,coord!$D$3)*1000)/$E$20</f>
        <v>5.2960760993775863E-2</v>
      </c>
      <c r="F13" s="45">
        <f>(getDistance(coord!$C11,coord!$D11,coord!$C$4,coord!$D$4)*1000)/$F$20</f>
        <v>4.1105496003302211E-2</v>
      </c>
      <c r="G13" s="45">
        <f>(getDistance(coord!$C11,coord!$D11,coord!$C$5,coord!$D$5)*1000)/$G$20</f>
        <v>6.1658373422498379E-2</v>
      </c>
      <c r="H13" s="45">
        <f>(getDistance(coord!$C11,coord!$D11,coord!$C$6,coord!$D$6)*1000)/$H$20</f>
        <v>4.5039467747617051E-2</v>
      </c>
      <c r="I13" s="45">
        <f>(getDistance(coord!$C11,coord!$D11,coord!$C$7,coord!$D$7)*1000)/$I$20</f>
        <v>5.9789996895561061E-2</v>
      </c>
      <c r="J13" s="45">
        <f>(getDistance(coord!$C11,coord!$D11,coord!$C$8,coord!$D$8)*1000)/$J$20</f>
        <v>5.9256407557506004E-2</v>
      </c>
      <c r="K13" s="45">
        <f>(getDistance(coord!$C11,coord!$D11,coord!$C$9,coord!$D$9)*1000)/$K$20</f>
        <v>6.9279553469114658E-2</v>
      </c>
      <c r="L13" s="45">
        <f>(getDistance(coord!$C11,coord!$D11,coord!$C$10,coord!$D$10)*1000)/$L$20</f>
        <v>4.7779683050346779E-2</v>
      </c>
      <c r="M13" s="46">
        <f>(getDistance(coord!$C11,coord!$D11,coord!$C$11,coord!$D$11)*1000)/$M$20</f>
        <v>0</v>
      </c>
      <c r="N13" s="45">
        <f>(getDistance(coord!$C11,coord!$D11,coord!$C$12,coord!$D$12)*1000)/$N$20</f>
        <v>5.572497415185388E-2</v>
      </c>
      <c r="O13" s="45">
        <f>(getDistance(coord!$C11,coord!$D11,coord!$C$13,coord!$D$13)*1000)/$O$20</f>
        <v>4.3871153743780165E-2</v>
      </c>
      <c r="P13" s="45">
        <f>(getDistance(coord!$C11,coord!$D11,coord!$C$14,coord!$D$14)*1000)/$P$20</f>
        <v>5.1083997047246268E-2</v>
      </c>
      <c r="Q13" s="45">
        <f>(getDistance(coord!$C11,coord!$D11,coord!$C$15,coord!$D$15)*1000)/$Q$20</f>
        <v>7.4081405748092202E-2</v>
      </c>
      <c r="R13" s="45">
        <f>(getDistance(coord!$C11,coord!$D11,coord!$C$16,coord!$D$16)*1000)/$R$20</f>
        <v>7.6744460092839653E-2</v>
      </c>
      <c r="S13" s="45">
        <f>(getDistance(coord!$C11,coord!$D11,coord!$C$17,coord!$D$17)*1000)/$S$20</f>
        <v>7.5515635864192812E-2</v>
      </c>
      <c r="T13" s="8" t="s">
        <v>24</v>
      </c>
      <c r="U13" s="17">
        <v>18</v>
      </c>
      <c r="V13" s="10">
        <v>8.2758620689655171E-2</v>
      </c>
      <c r="W13" s="10">
        <v>9.8039215686274508E-2</v>
      </c>
      <c r="X13" s="12">
        <v>6.0606060606060608E-2</v>
      </c>
      <c r="Y13" s="12">
        <v>0.11428571428571428</v>
      </c>
      <c r="Z13" s="12">
        <v>7.0175438596491224E-2</v>
      </c>
      <c r="AA13" s="12">
        <v>7.9155672823219003E-2</v>
      </c>
      <c r="AB13" s="12">
        <v>6.5217391304347824E-2</v>
      </c>
      <c r="AC13" s="12">
        <v>7.2727272727272724E-2</v>
      </c>
      <c r="AD13" s="12">
        <v>9.6000000000000002E-2</v>
      </c>
      <c r="AE13" s="12">
        <v>5.6338028169014086E-2</v>
      </c>
      <c r="AF13" s="12">
        <v>8.4337349397590355E-2</v>
      </c>
      <c r="AG13" s="12">
        <v>9.4117647058823528E-2</v>
      </c>
      <c r="AH13" s="12">
        <v>7.407407407407407E-2</v>
      </c>
      <c r="AI13" s="12">
        <v>6.5789473684210523E-2</v>
      </c>
      <c r="AJ13" s="12">
        <v>6.7567567567567571E-2</v>
      </c>
      <c r="AK13" s="12">
        <v>9.7560975609756101E-2</v>
      </c>
      <c r="AL13" s="18">
        <v>6.4220183486238536E-2</v>
      </c>
      <c r="AM13">
        <f t="shared" si="0"/>
        <v>7.8998275633312381E-2</v>
      </c>
    </row>
    <row r="14" spans="1:39" ht="15">
      <c r="A14" s="12"/>
      <c r="B14" s="17">
        <v>12</v>
      </c>
      <c r="C14" s="45">
        <f>(getDistance(coord!C12,coord!D12,coord!$C$1,coord!$D$1)*1000)/$C$20</f>
        <v>0.12442312897060948</v>
      </c>
      <c r="D14" s="45">
        <f>(getDistance(coord!C12,coord!D12,coord!$C$2,coord!$D$2)*1000)/$D$20</f>
        <v>0.12613552986261042</v>
      </c>
      <c r="E14" s="45">
        <f>(getDistance(coord!$C12,coord!$D12,coord!$C$3,coord!$D$3)*1000)/$E$20</f>
        <v>0.12486504824989027</v>
      </c>
      <c r="F14" s="45">
        <f>(getDistance(coord!$C12,coord!$D12,coord!$C$4,coord!$D$4)*1000)/$F$20</f>
        <v>9.2033808712977699E-2</v>
      </c>
      <c r="G14" s="45">
        <f>(getDistance(coord!$C12,coord!$D12,coord!$C$5,coord!$D$5)*1000)/$G$20</f>
        <v>6.8309619236441591E-2</v>
      </c>
      <c r="H14" s="45">
        <f>(getDistance(coord!$C12,coord!$D12,coord!$C$6,coord!$D$6)*1000)/$H$20</f>
        <v>5.6183082430647978E-2</v>
      </c>
      <c r="I14" s="45">
        <f>(getDistance(coord!$C12,coord!$D12,coord!$C$7,coord!$D$7)*1000)/$I$20</f>
        <v>1.722571046413977E-2</v>
      </c>
      <c r="J14" s="45">
        <f>(getDistance(coord!$C12,coord!$D12,coord!$C$8,coord!$D$8)*1000)/$J$20</f>
        <v>5.9846701388051766E-2</v>
      </c>
      <c r="K14" s="45">
        <f>(getDistance(coord!$C12,coord!$D12,coord!$C$9,coord!$D$9)*1000)/$K$20</f>
        <v>7.2221246955502236E-2</v>
      </c>
      <c r="L14" s="45">
        <f>(getDistance(coord!$C12,coord!$D12,coord!$C$10,coord!$D$10)*1000)/$L$20</f>
        <v>7.919932715662388E-2</v>
      </c>
      <c r="M14" s="45">
        <f>(getDistance(coord!$C12,coord!$D12,coord!$C$11,coord!$D$11)*1000)/$M$20</f>
        <v>8.4745254194830075E-2</v>
      </c>
      <c r="N14" s="46">
        <f>(getDistance(coord!$C12,coord!$D12,coord!$C$12,coord!$D$12)*1000)/$N$20</f>
        <v>0</v>
      </c>
      <c r="O14" s="45">
        <f>(getDistance(coord!$C12,coord!$D12,coord!$C$13,coord!$D$13)*1000)/$O$20</f>
        <v>0.10320279985749732</v>
      </c>
      <c r="P14" s="45">
        <f>(getDistance(coord!$C12,coord!$D12,coord!$C$14,coord!$D$14)*1000)/$P$20</f>
        <v>0.11958450576045555</v>
      </c>
      <c r="Q14" s="45">
        <f>(getDistance(coord!$C12,coord!$D12,coord!$C$15,coord!$D$15)*1000)/$Q$20</f>
        <v>0.10028480156895668</v>
      </c>
      <c r="R14" s="45">
        <f>(getDistance(coord!$C12,coord!$D12,coord!$C$16,coord!$D$16)*1000)/$R$20</f>
        <v>9.4494373602843837E-2</v>
      </c>
      <c r="S14" s="45">
        <f>(getDistance(coord!$C12,coord!$D12,coord!$C$17,coord!$D$17)*1000)/$S$20</f>
        <v>0.10336144240353058</v>
      </c>
      <c r="T14" s="8" t="s">
        <v>25</v>
      </c>
      <c r="U14" s="17">
        <v>19</v>
      </c>
      <c r="V14" s="10">
        <v>8.2758620689655171E-2</v>
      </c>
      <c r="W14" s="10">
        <v>9.8039215686274508E-2</v>
      </c>
      <c r="X14" s="12">
        <v>6.0606060606060608E-2</v>
      </c>
      <c r="Y14" s="12">
        <v>9.5238095238095233E-2</v>
      </c>
      <c r="Z14" s="12">
        <v>7.0175438596491224E-2</v>
      </c>
      <c r="AA14" s="12">
        <v>7.9155672823219003E-2</v>
      </c>
      <c r="AB14" s="12">
        <v>6.5217391304347824E-2</v>
      </c>
      <c r="AC14" s="12">
        <v>7.2727272727272724E-2</v>
      </c>
      <c r="AD14" s="12">
        <v>9.6000000000000002E-2</v>
      </c>
      <c r="AE14" s="12">
        <v>6.3380281690140844E-2</v>
      </c>
      <c r="AF14" s="12">
        <v>7.2289156626506021E-2</v>
      </c>
      <c r="AG14" s="12">
        <v>8.2352941176470587E-2</v>
      </c>
      <c r="AH14" s="12">
        <v>6.1728395061728392E-2</v>
      </c>
      <c r="AI14" s="12">
        <v>5.2631578947368418E-2</v>
      </c>
      <c r="AJ14" s="12">
        <v>5.4054054054054057E-2</v>
      </c>
      <c r="AK14" s="12">
        <v>8.5365853658536592E-2</v>
      </c>
      <c r="AL14" s="18">
        <v>5.5045871559633031E-2</v>
      </c>
      <c r="AM14">
        <f t="shared" si="0"/>
        <v>7.3339170614462018E-2</v>
      </c>
    </row>
    <row r="15" spans="1:39" ht="15">
      <c r="A15" s="12"/>
      <c r="B15" s="17">
        <v>13</v>
      </c>
      <c r="C15" s="45">
        <f>(getDistance(coord!C13,coord!D13,coord!$C$1,coord!$D$1)*1000)/$C$20</f>
        <v>4.3406939779412235E-2</v>
      </c>
      <c r="D15" s="45">
        <f>(getDistance(coord!C13,coord!D13,coord!$C$2,coord!$D$2)*1000)/$D$20</f>
        <v>5.5092401920754E-2</v>
      </c>
      <c r="E15" s="45">
        <f>(getDistance(coord!$C13,coord!$D13,coord!$C$3,coord!$D$3)*1000)/$E$20</f>
        <v>6.8007338920972327E-2</v>
      </c>
      <c r="F15" s="45">
        <f>(getDistance(coord!$C13,coord!$D13,coord!$C$4,coord!$D$4)*1000)/$F$20</f>
        <v>1.4438397823923838E-2</v>
      </c>
      <c r="G15" s="45">
        <f>(getDistance(coord!$C13,coord!$D13,coord!$C$5,coord!$D$5)*1000)/$G$20</f>
        <v>0.1240891523847116</v>
      </c>
      <c r="H15" s="45">
        <f>(getDistance(coord!$C13,coord!$D13,coord!$C$6,coord!$D$6)*1000)/$H$20</f>
        <v>0.11076152027668346</v>
      </c>
      <c r="I15" s="45">
        <f>(getDistance(coord!$C13,coord!$D13,coord!$C$7,coord!$D$7)*1000)/$I$20</f>
        <v>0.10772280686510681</v>
      </c>
      <c r="J15" s="45">
        <f>(getDistance(coord!$C13,coord!$D13,coord!$C$8,coord!$D$8)*1000)/$J$20</f>
        <v>0.12239524124525568</v>
      </c>
      <c r="K15" s="45">
        <f>(getDistance(coord!$C13,coord!$D13,coord!$C$9,coord!$D$9)*1000)/$K$20</f>
        <v>0.12378913316752277</v>
      </c>
      <c r="L15" s="45">
        <f>(getDistance(coord!$C13,coord!$D13,coord!$C$10,coord!$D$10)*1000)/$L$20</f>
        <v>0.11377027287175775</v>
      </c>
      <c r="M15" s="45">
        <f>(getDistance(coord!$C13,coord!$D13,coord!$C$11,coord!$D$11)*1000)/$M$20</f>
        <v>6.2662536812475564E-2</v>
      </c>
      <c r="N15" s="45">
        <f>(getDistance(coord!$C13,coord!$D13,coord!$C$12,coord!$D$12)*1000)/$N$20</f>
        <v>9.6929257430178856E-2</v>
      </c>
      <c r="O15" s="46">
        <f>(getDistance(coord!$C13,coord!$D13,coord!$C$13,coord!$D$13)*1000)/$O$20</f>
        <v>0</v>
      </c>
      <c r="P15" s="45">
        <f>(getDistance(coord!$C13,coord!$D13,coord!$C$14,coord!$D$14)*1000)/$P$20</f>
        <v>3.0320827121779963E-2</v>
      </c>
      <c r="Q15" s="45">
        <f>(getDistance(coord!$C13,coord!$D13,coord!$C$15,coord!$D$15)*1000)/$Q$20</f>
        <v>0.11247572642383664</v>
      </c>
      <c r="R15" s="45">
        <f>(getDistance(coord!$C13,coord!$D13,coord!$C$16,coord!$D$16)*1000)/$R$20</f>
        <v>9.6992800532127305E-2</v>
      </c>
      <c r="S15" s="45">
        <f>(getDistance(coord!$C13,coord!$D13,coord!$C$17,coord!$D$17)*1000)/$S$20</f>
        <v>0.10656888739771539</v>
      </c>
      <c r="T15" s="8" t="s">
        <v>26</v>
      </c>
      <c r="U15" s="17">
        <v>20</v>
      </c>
      <c r="V15" s="10">
        <v>6.2068965517241378E-2</v>
      </c>
      <c r="W15" s="10">
        <v>5.8823529411764705E-2</v>
      </c>
      <c r="X15" s="12">
        <v>6.0606060606060608E-2</v>
      </c>
      <c r="Y15" s="12">
        <v>6.6666666666666666E-2</v>
      </c>
      <c r="Z15" s="12">
        <v>6.1403508771929821E-2</v>
      </c>
      <c r="AA15" s="12">
        <v>7.9155672823219003E-2</v>
      </c>
      <c r="AB15" s="12">
        <v>4.3478260869565216E-2</v>
      </c>
      <c r="AC15" s="12">
        <v>0.16363636363636364</v>
      </c>
      <c r="AD15" s="12">
        <v>7.1999999999999995E-2</v>
      </c>
      <c r="AE15" s="12">
        <v>6.3380281690140844E-2</v>
      </c>
      <c r="AF15" s="12">
        <v>6.0240963855421686E-2</v>
      </c>
      <c r="AG15" s="12">
        <v>7.0588235294117646E-2</v>
      </c>
      <c r="AH15" s="12">
        <v>4.9382716049382713E-2</v>
      </c>
      <c r="AI15" s="12">
        <v>3.9473684210526314E-2</v>
      </c>
      <c r="AJ15" s="12">
        <v>5.4054054054054057E-2</v>
      </c>
      <c r="AK15" s="12">
        <v>7.926829268292683E-2</v>
      </c>
      <c r="AL15" s="18">
        <v>4.5871559633027525E-2</v>
      </c>
      <c r="AM15">
        <f t="shared" si="0"/>
        <v>6.647640092778874E-2</v>
      </c>
    </row>
    <row r="16" spans="1:39" ht="15">
      <c r="A16" s="12"/>
      <c r="B16" s="17">
        <v>14</v>
      </c>
      <c r="C16" s="45">
        <f>(getDistance(coord!C14,coord!D14,coord!$C$1,coord!$D$1)*1000)/$C$20</f>
        <v>1.1391037810811092E-2</v>
      </c>
      <c r="D16" s="45">
        <f>(getDistance(coord!C14,coord!D14,coord!$C$2,coord!$D$2)*1000)/$D$20</f>
        <v>2.1857505644037514E-2</v>
      </c>
      <c r="E16" s="45">
        <f>(getDistance(coord!$C14,coord!$D14,coord!$C$3,coord!$D$3)*1000)/$E$20</f>
        <v>3.5317455666289209E-2</v>
      </c>
      <c r="F16" s="45">
        <f>(getDistance(coord!$C14,coord!$D14,coord!$C$4,coord!$D$4)*1000)/$F$20</f>
        <v>3.5308611522660197E-2</v>
      </c>
      <c r="G16" s="45">
        <f>(getDistance(coord!$C14,coord!$D14,coord!$C$5,coord!$D$5)*1000)/$G$20</f>
        <v>0.10115541709631623</v>
      </c>
      <c r="H16" s="45">
        <f>(getDistance(coord!$C14,coord!$D14,coord!$C$6,coord!$D$6)*1000)/$H$20</f>
        <v>9.5442598560997072E-2</v>
      </c>
      <c r="I16" s="45">
        <f>(getDistance(coord!$C14,coord!$D14,coord!$C$7,coord!$D$7)*1000)/$I$20</f>
        <v>9.6695571475339706E-2</v>
      </c>
      <c r="J16" s="45">
        <f>(getDistance(coord!$C14,coord!$D14,coord!$C$8,coord!$D$8)*1000)/$J$20</f>
        <v>0.10192976553023066</v>
      </c>
      <c r="K16" s="45">
        <f>(getDistance(coord!$C14,coord!$D14,coord!$C$9,coord!$D$9)*1000)/$K$20</f>
        <v>9.8747671612708338E-2</v>
      </c>
      <c r="L16" s="45">
        <f>(getDistance(coord!$C14,coord!$D14,coord!$C$10,coord!$D$10)*1000)/$L$20</f>
        <v>9.1879449125607152E-2</v>
      </c>
      <c r="M16" s="45">
        <f>(getDistance(coord!$C14,coord!$D14,coord!$C$11,coord!$D$11)*1000)/$M$20</f>
        <v>5.8862551050327262E-2</v>
      </c>
      <c r="N16" s="45">
        <f>(getDistance(coord!$C14,coord!$D14,coord!$C$12,coord!$D$12)*1000)/$N$20</f>
        <v>9.0607388008584963E-2</v>
      </c>
      <c r="O16" s="45">
        <f>(getDistance(coord!$C14,coord!$D14,coord!$C$13,coord!$D$13)*1000)/$O$20</f>
        <v>2.4460556662748552E-2</v>
      </c>
      <c r="P16" s="46">
        <f>(getDistance(coord!$C14,coord!$D14,coord!$C$14,coord!$D$14)*1000)/$P$20</f>
        <v>0</v>
      </c>
      <c r="Q16" s="45">
        <f>(getDistance(coord!$C14,coord!$D14,coord!$C$15,coord!$D$15)*1000)/$Q$20</f>
        <v>8.1435855710390165E-2</v>
      </c>
      <c r="R16" s="45">
        <f>(getDistance(coord!$C14,coord!$D14,coord!$C$16,coord!$D$16)*1000)/$R$20</f>
        <v>7.0823158857472049E-2</v>
      </c>
      <c r="S16" s="45">
        <f>(getDistance(coord!$C14,coord!$D14,coord!$C$17,coord!$D$17)*1000)/$S$20</f>
        <v>7.5540162362182181E-2</v>
      </c>
      <c r="T16" s="8" t="s">
        <v>27</v>
      </c>
      <c r="U16" s="17">
        <v>21</v>
      </c>
      <c r="V16" s="10">
        <v>5.5172413793103448E-2</v>
      </c>
      <c r="W16" s="10">
        <v>3.9215686274509803E-2</v>
      </c>
      <c r="X16" s="12">
        <v>6.0606060606060608E-2</v>
      </c>
      <c r="Y16" s="12">
        <v>4.7619047619047616E-2</v>
      </c>
      <c r="Z16" s="12">
        <v>5.2631578947368418E-2</v>
      </c>
      <c r="AA16" s="12">
        <v>6.5963060686015831E-2</v>
      </c>
      <c r="AB16" s="12">
        <v>4.3478260869565216E-2</v>
      </c>
      <c r="AC16" s="12">
        <v>5.4545454545454543E-2</v>
      </c>
      <c r="AD16" s="12">
        <v>5.6000000000000001E-2</v>
      </c>
      <c r="AE16" s="12">
        <v>5.6338028169014086E-2</v>
      </c>
      <c r="AF16" s="12">
        <v>4.8192771084337352E-2</v>
      </c>
      <c r="AG16" s="12">
        <v>5.8823529411764705E-2</v>
      </c>
      <c r="AH16" s="12">
        <v>3.7037037037037035E-2</v>
      </c>
      <c r="AI16" s="12">
        <v>2.6315789473684209E-2</v>
      </c>
      <c r="AJ16" s="12">
        <v>4.0540540540540543E-2</v>
      </c>
      <c r="AK16" s="12">
        <v>7.3170731707317069E-2</v>
      </c>
      <c r="AL16" s="18">
        <v>3.669724770642202E-2</v>
      </c>
      <c r="AM16">
        <f t="shared" si="0"/>
        <v>5.0138072851249556E-2</v>
      </c>
    </row>
    <row r="17" spans="1:39" ht="15">
      <c r="A17" s="12"/>
      <c r="B17" s="17">
        <v>15</v>
      </c>
      <c r="C17" s="45">
        <f>(getDistance(coord!C15,coord!D15,coord!$C$1,coord!$D$1)*1000)/$C$20</f>
        <v>6.159839731125575E-2</v>
      </c>
      <c r="D17" s="45">
        <f>(getDistance(coord!C15,coord!D15,coord!$C$2,coord!$D$2)*1000)/$D$20</f>
        <v>5.5626049614270444E-2</v>
      </c>
      <c r="E17" s="45">
        <f>(getDistance(coord!$C15,coord!$D15,coord!$C$3,coord!$D$3)*1000)/$E$20</f>
        <v>4.9195690408532458E-2</v>
      </c>
      <c r="F17" s="45">
        <f>(getDistance(coord!$C15,coord!$D15,coord!$C$4,coord!$D$4)*1000)/$F$20</f>
        <v>7.4892785326375819E-2</v>
      </c>
      <c r="G17" s="45">
        <f>(getDistance(coord!$C15,coord!$D15,coord!$C$5,coord!$D$5)*1000)/$G$20</f>
        <v>4.088898791800083E-2</v>
      </c>
      <c r="H17" s="45">
        <f>(getDistance(coord!$C15,coord!$D15,coord!$C$6,coord!$D$6)*1000)/$H$20</f>
        <v>5.6571080039354259E-2</v>
      </c>
      <c r="I17" s="45">
        <f>(getDistance(coord!$C15,coord!$D15,coord!$C$7,coord!$D$7)*1000)/$I$20</f>
        <v>5.6781722241748413E-2</v>
      </c>
      <c r="J17" s="45">
        <f>(getDistance(coord!$C15,coord!$D15,coord!$C$8,coord!$D$8)*1000)/$J$20</f>
        <v>4.6372213769185183E-2</v>
      </c>
      <c r="K17" s="45">
        <f>(getDistance(coord!$C15,coord!$D15,coord!$C$9,coord!$D$9)*1000)/$K$20</f>
        <v>2.9732430251815069E-2</v>
      </c>
      <c r="L17" s="45">
        <f>(getDistance(coord!$C15,coord!$D15,coord!$C$10,coord!$D$10)*1000)/$L$20</f>
        <v>4.6519507142997685E-2</v>
      </c>
      <c r="M17" s="45">
        <f>(getDistance(coord!$C15,coord!$D15,coord!$C$11,coord!$D$11)*1000)/$M$20</f>
        <v>6.931954347696262E-2</v>
      </c>
      <c r="N17" s="45">
        <f>(getDistance(coord!$C15,coord!$D15,coord!$C$12,coord!$D$12)*1000)/$N$20</f>
        <v>6.1704393451557905E-2</v>
      </c>
      <c r="O17" s="45">
        <f>(getDistance(coord!$C15,coord!$D15,coord!$C$13,coord!$D$13)*1000)/$O$20</f>
        <v>7.3684538685649656E-2</v>
      </c>
      <c r="P17" s="45">
        <f>(getDistance(coord!$C15,coord!$D15,coord!$C$14,coord!$D$14)*1000)/$P$20</f>
        <v>6.6131433119642771E-2</v>
      </c>
      <c r="Q17" s="46">
        <f>(getDistance(coord!$C15,coord!$D15,coord!$C$15,coord!$D$15)*1000)/$Q$20</f>
        <v>0</v>
      </c>
      <c r="R17" s="45">
        <f>(getDistance(coord!$C15,coord!$D15,coord!$C$16,coord!$D$16)*1000)/$R$20</f>
        <v>2.3576226428328278E-2</v>
      </c>
      <c r="S17" s="45">
        <f>(getDistance(coord!$C15,coord!$D15,coord!$C$17,coord!$D$17)*1000)/$S$20</f>
        <v>9.0411429457393569E-3</v>
      </c>
      <c r="T17" s="8" t="s">
        <v>28</v>
      </c>
      <c r="U17" s="17">
        <v>22</v>
      </c>
      <c r="V17" s="10">
        <v>4.8275862068965517E-2</v>
      </c>
      <c r="W17" s="10">
        <v>1.9607843137254902E-2</v>
      </c>
      <c r="X17" s="12">
        <v>6.0606060606060608E-2</v>
      </c>
      <c r="Y17" s="12">
        <v>2.8571428571428571E-2</v>
      </c>
      <c r="Z17" s="12">
        <v>5.2631578947368418E-2</v>
      </c>
      <c r="AA17" s="12">
        <v>6.5963060686015831E-2</v>
      </c>
      <c r="AB17" s="12">
        <v>4.3478260869565216E-2</v>
      </c>
      <c r="AC17" s="12">
        <v>5.4545454545454543E-2</v>
      </c>
      <c r="AD17" s="12">
        <v>4.8000000000000001E-2</v>
      </c>
      <c r="AE17" s="12">
        <v>5.6338028169014086E-2</v>
      </c>
      <c r="AF17" s="12">
        <v>3.614457831325301E-2</v>
      </c>
      <c r="AG17" s="12">
        <v>4.7058823529411764E-2</v>
      </c>
      <c r="AH17" s="12">
        <v>3.7037037037037035E-2</v>
      </c>
      <c r="AI17" s="12">
        <v>2.6315789473684209E-2</v>
      </c>
      <c r="AJ17" s="12">
        <v>4.0540540540540543E-2</v>
      </c>
      <c r="AK17" s="12">
        <v>4.2682926829268296E-2</v>
      </c>
      <c r="AL17" s="18">
        <v>3.669724770642202E-2</v>
      </c>
      <c r="AM17">
        <f t="shared" si="0"/>
        <v>4.3793795354749684E-2</v>
      </c>
    </row>
    <row r="18" spans="1:39" ht="15">
      <c r="A18" s="10"/>
      <c r="B18" s="17">
        <v>16</v>
      </c>
      <c r="C18" s="45">
        <f>(getDistance(coord!C16,coord!D16,coord!$C$1,coord!$D$1)*1000)/$C$20</f>
        <v>7.4539863090210934E-2</v>
      </c>
      <c r="D18" s="45">
        <f>(getDistance(coord!C16,coord!D16,coord!$C$2,coord!$D$2)*1000)/$D$20</f>
        <v>6.9380858823358496E-2</v>
      </c>
      <c r="E18" s="45">
        <f>(getDistance(coord!$C16,coord!$D16,coord!$C$3,coord!$D$3)*1000)/$E$20</f>
        <v>6.8379776783968532E-2</v>
      </c>
      <c r="F18" s="45">
        <f>(getDistance(coord!$C16,coord!$D16,coord!$C$4,coord!$D$4)*1000)/$F$20</f>
        <v>8.7499184224573673E-2</v>
      </c>
      <c r="G18" s="45">
        <f>(getDistance(coord!$C16,coord!$D16,coord!$C$5,coord!$D$5)*1000)/$G$20</f>
        <v>7.3597659179639202E-2</v>
      </c>
      <c r="H18" s="45">
        <f>(getDistance(coord!$C16,coord!$D16,coord!$C$6,coord!$D$6)*1000)/$H$20</f>
        <v>8.8874981726127858E-2</v>
      </c>
      <c r="I18" s="45">
        <f>(getDistance(coord!$C16,coord!$D16,coord!$C$7,coord!$D$7)*1000)/$I$20</f>
        <v>7.6116828848675294E-2</v>
      </c>
      <c r="J18" s="45">
        <f>(getDistance(coord!$C16,coord!$D16,coord!$C$8,coord!$D$8)*1000)/$J$20</f>
        <v>7.7957113685623414E-2</v>
      </c>
      <c r="K18" s="45">
        <f>(getDistance(coord!$C16,coord!$D16,coord!$C$9,coord!$D$9)*1000)/$K$20</f>
        <v>5.7972186799735002E-2</v>
      </c>
      <c r="L18" s="45">
        <f>(getDistance(coord!$C16,coord!$D16,coord!$C$10,coord!$D$10)*1000)/$L$20</f>
        <v>8.2721052024025188E-2</v>
      </c>
      <c r="M18" s="45">
        <f>(getDistance(coord!$C16,coord!$D16,coord!$C$11,coord!$D$11)*1000)/$M$20</f>
        <v>9.708410399984746E-2</v>
      </c>
      <c r="N18" s="45">
        <f>(getDistance(coord!$C16,coord!$D16,coord!$C$12,coord!$D$12)*1000)/$N$20</f>
        <v>7.8603436061609189E-2</v>
      </c>
      <c r="O18" s="45">
        <f>(getDistance(coord!$C16,coord!$D16,coord!$C$13,coord!$D$13)*1000)/$O$20</f>
        <v>8.5903661228574124E-2</v>
      </c>
      <c r="P18" s="45">
        <f>(getDistance(coord!$C16,coord!$D16,coord!$C$14,coord!$D$14)*1000)/$P$20</f>
        <v>7.7753898977035094E-2</v>
      </c>
      <c r="Q18" s="45">
        <f>(getDistance(coord!$C16,coord!$D16,coord!$C$15,coord!$D$15)*1000)/$Q$20</f>
        <v>3.1873437683884037E-2</v>
      </c>
      <c r="R18" s="46">
        <f>(getDistance(coord!$C16,coord!$D16,coord!$C$16,coord!$D$16)*1000)/$R$20</f>
        <v>0</v>
      </c>
      <c r="S18" s="45">
        <f>(getDistance(coord!$C16,coord!$D16,coord!$C$17,coord!$D$17)*1000)/$S$20</f>
        <v>2.2366467553544888E-2</v>
      </c>
      <c r="T18" s="8" t="s">
        <v>29</v>
      </c>
      <c r="U18" s="17">
        <v>23</v>
      </c>
      <c r="V18" s="12">
        <v>2.7586206896551724E-2</v>
      </c>
      <c r="W18" s="12">
        <v>1.9607843137254902E-2</v>
      </c>
      <c r="X18" s="12">
        <v>6.0606060606060608E-2</v>
      </c>
      <c r="Y18" s="12">
        <v>1.9047619047619049E-2</v>
      </c>
      <c r="Z18" s="12">
        <v>3.5087719298245612E-2</v>
      </c>
      <c r="AA18" s="12">
        <v>3.9577836411609502E-2</v>
      </c>
      <c r="AB18" s="12">
        <v>4.3478260869565216E-2</v>
      </c>
      <c r="AC18" s="12">
        <v>3.6363636363636362E-2</v>
      </c>
      <c r="AD18" s="12">
        <v>4.8000000000000001E-2</v>
      </c>
      <c r="AE18" s="12">
        <v>4.9295774647887321E-2</v>
      </c>
      <c r="AF18" s="12">
        <v>3.614457831325301E-2</v>
      </c>
      <c r="AG18" s="12">
        <v>2.3529411764705882E-2</v>
      </c>
      <c r="AH18" s="12">
        <v>2.4691358024691357E-2</v>
      </c>
      <c r="AI18" s="12">
        <v>2.6315789473684209E-2</v>
      </c>
      <c r="AJ18" s="12">
        <v>2.7027027027027029E-2</v>
      </c>
      <c r="AK18" s="12">
        <v>4.2682926829268296E-2</v>
      </c>
      <c r="AL18" s="18">
        <v>3.669724770642202E-2</v>
      </c>
      <c r="AM18">
        <f t="shared" si="0"/>
        <v>3.504348802455777E-2</v>
      </c>
    </row>
    <row r="19" spans="1:39" ht="15.75" thickBot="1">
      <c r="A19" s="10"/>
      <c r="B19" s="19">
        <v>17</v>
      </c>
      <c r="C19" s="47">
        <f>(getDistance(coord!C17,coord!D17,coord!$C$1,coord!$D$1)*1000)/$C$20</f>
        <v>6.0432531522365308E-2</v>
      </c>
      <c r="D19" s="47">
        <f>(getDistance(coord!C17,coord!D17,coord!$C$2,coord!$D$2)*1000)/$D$20</f>
        <v>5.4221091431074626E-2</v>
      </c>
      <c r="E19" s="47">
        <f>(getDistance(coord!$C17,coord!$D17,coord!$C$3,coord!$D$3)*1000)/$E$20</f>
        <v>4.9108610527564232E-2</v>
      </c>
      <c r="F19" s="47">
        <f>(getDistance(coord!$C17,coord!$D17,coord!$C$4,coord!$D$4)*1000)/$F$20</f>
        <v>7.6124360699406909E-2</v>
      </c>
      <c r="G19" s="47">
        <f>(getDistance(coord!$C17,coord!$D17,coord!$C$5,coord!$D$5)*1000)/$G$20</f>
        <v>5.1221079450713469E-2</v>
      </c>
      <c r="H19" s="47">
        <f>(getDistance(coord!$C17,coord!$D17,coord!$C$6,coord!$D$6)*1000)/$H$20</f>
        <v>6.6054212362709239E-2</v>
      </c>
      <c r="I19" s="47">
        <f>(getDistance(coord!$C17,coord!$D17,coord!$C$7,coord!$D$7)*1000)/$I$20</f>
        <v>6.3641605632909978E-2</v>
      </c>
      <c r="J19" s="47">
        <f>(getDistance(coord!$C17,coord!$D17,coord!$C$8,coord!$D$8)*1000)/$J$20</f>
        <v>5.6399985146804513E-2</v>
      </c>
      <c r="K19" s="47">
        <f>(getDistance(coord!$C17,coord!$D17,coord!$C$9,coord!$D$9)*1000)/$K$20</f>
        <v>3.9240100764582453E-2</v>
      </c>
      <c r="L19" s="47">
        <f>(getDistance(coord!$C17,coord!$D17,coord!$C$10,coord!$D$10)*1000)/$L$20</f>
        <v>5.6545865245065975E-2</v>
      </c>
      <c r="M19" s="47">
        <f>(getDistance(coord!$C17,coord!$D17,coord!$C$11,coord!$D$11)*1000)/$M$20</f>
        <v>7.5075206325497953E-2</v>
      </c>
      <c r="N19" s="47">
        <f>(getDistance(coord!$C17,coord!$D17,coord!$C$12,coord!$D$12)*1000)/$N$20</f>
        <v>6.7569810514766349E-2</v>
      </c>
      <c r="O19" s="47">
        <f>(getDistance(coord!$C17,coord!$D17,coord!$C$13,coord!$D$13)*1000)/$O$20</f>
        <v>7.4175616662935109E-2</v>
      </c>
      <c r="P19" s="47">
        <f>(getDistance(coord!$C17,coord!$D17,coord!$C$14,coord!$D$14)*1000)/$P$20</f>
        <v>6.5175347551160764E-2</v>
      </c>
      <c r="Q19" s="47">
        <f>(getDistance(coord!$C17,coord!$D17,coord!$C$15,coord!$D$15)*1000)/$Q$20</f>
        <v>9.6058656335458042E-3</v>
      </c>
      <c r="R19" s="47">
        <f>(getDistance(coord!$C17,coord!$D17,coord!$C$16,coord!$D$16)*1000)/$R$20</f>
        <v>1.757745352532147E-2</v>
      </c>
      <c r="S19" s="54">
        <f>(getDistance(coord!$C17,coord!$D17,coord!$C$17,coord!$D$17)*1000)/$S$20</f>
        <v>0</v>
      </c>
      <c r="T19" s="8" t="s">
        <v>30</v>
      </c>
      <c r="U19" s="19">
        <v>24</v>
      </c>
      <c r="V19" s="20">
        <v>2.7586206896551724E-2</v>
      </c>
      <c r="W19" s="20">
        <v>1.9607843137254902E-2</v>
      </c>
      <c r="X19" s="20">
        <v>3.0303030303030304E-2</v>
      </c>
      <c r="Y19" s="20">
        <v>1.9047619047619049E-2</v>
      </c>
      <c r="Z19" s="20">
        <v>3.5087719298245612E-2</v>
      </c>
      <c r="AA19" s="20">
        <v>3.9577836411609502E-2</v>
      </c>
      <c r="AB19" s="20">
        <v>4.3478260869565216E-2</v>
      </c>
      <c r="AC19" s="20">
        <v>3.6363636363636362E-2</v>
      </c>
      <c r="AD19" s="20">
        <v>4.8000000000000001E-2</v>
      </c>
      <c r="AE19" s="20">
        <v>4.9295774647887321E-2</v>
      </c>
      <c r="AF19" s="20">
        <v>3.614457831325301E-2</v>
      </c>
      <c r="AG19" s="20">
        <v>1.1764705882352941E-2</v>
      </c>
      <c r="AH19" s="20">
        <v>1.2345679012345678E-2</v>
      </c>
      <c r="AI19" s="20">
        <v>2.6315789473684209E-2</v>
      </c>
      <c r="AJ19" s="20">
        <v>2.7027027027027029E-2</v>
      </c>
      <c r="AK19" s="20">
        <v>3.6585365853658534E-2</v>
      </c>
      <c r="AL19" s="21">
        <v>2.7522935779816515E-2</v>
      </c>
      <c r="AM19">
        <f t="shared" si="0"/>
        <v>3.0944353430443401E-2</v>
      </c>
    </row>
    <row r="20" spans="1:39">
      <c r="B20" s="8"/>
      <c r="C20" s="51">
        <v>3829.978895979646</v>
      </c>
      <c r="D20" s="51">
        <v>3616.0678119784002</v>
      </c>
      <c r="E20" s="51">
        <v>3314.493706896405</v>
      </c>
      <c r="F20" s="51">
        <v>5923.847449148986</v>
      </c>
      <c r="G20" s="51">
        <v>3181.8203817365966</v>
      </c>
      <c r="H20" s="51">
        <v>3344.9676701526337</v>
      </c>
      <c r="I20" s="51">
        <v>4701.4158231582978</v>
      </c>
      <c r="J20" s="51">
        <v>3279.0662518609661</v>
      </c>
      <c r="K20" s="51">
        <v>3381.4512311458216</v>
      </c>
      <c r="L20" s="51">
        <v>3016.9392764720842</v>
      </c>
      <c r="M20" s="51">
        <v>3662.8594091928085</v>
      </c>
      <c r="N20" s="51">
        <v>5570.3920268510847</v>
      </c>
      <c r="O20" s="51">
        <v>5231.7763035809749</v>
      </c>
      <c r="P20" s="51">
        <v>4220.6025649162793</v>
      </c>
      <c r="Q20" s="51">
        <v>3427.4152805487406</v>
      </c>
      <c r="R20" s="51">
        <v>4633.6298853195376</v>
      </c>
      <c r="S20" s="51">
        <v>3641.4965290232485</v>
      </c>
      <c r="V20">
        <v>725</v>
      </c>
      <c r="W20">
        <v>255</v>
      </c>
      <c r="X20">
        <v>165</v>
      </c>
      <c r="Y20">
        <v>525</v>
      </c>
      <c r="Z20">
        <v>570</v>
      </c>
      <c r="AA20">
        <v>379</v>
      </c>
      <c r="AB20">
        <v>230</v>
      </c>
      <c r="AC20">
        <v>275</v>
      </c>
      <c r="AD20">
        <v>625</v>
      </c>
      <c r="AE20">
        <v>710</v>
      </c>
      <c r="AF20">
        <v>415</v>
      </c>
      <c r="AG20">
        <v>425</v>
      </c>
      <c r="AH20">
        <v>405</v>
      </c>
      <c r="AI20">
        <v>380</v>
      </c>
      <c r="AJ20">
        <v>370</v>
      </c>
      <c r="AK20">
        <v>820</v>
      </c>
      <c r="AL20">
        <v>545</v>
      </c>
    </row>
    <row r="21" spans="1:39">
      <c r="A21" t="s">
        <v>4</v>
      </c>
      <c r="B21" t="s">
        <v>7</v>
      </c>
      <c r="C21" t="s">
        <v>9</v>
      </c>
      <c r="D21" t="s">
        <v>2</v>
      </c>
      <c r="E21" t="s">
        <v>1</v>
      </c>
      <c r="F21" t="s">
        <v>0</v>
      </c>
      <c r="U21" s="16" t="s">
        <v>12</v>
      </c>
      <c r="V21" s="5">
        <v>1</v>
      </c>
      <c r="W21" s="5">
        <v>2</v>
      </c>
      <c r="X21" s="5">
        <v>3</v>
      </c>
      <c r="Y21" s="5">
        <v>4</v>
      </c>
      <c r="Z21" s="5">
        <v>5</v>
      </c>
      <c r="AA21" s="5">
        <v>6</v>
      </c>
      <c r="AB21" s="5">
        <v>7</v>
      </c>
      <c r="AC21" s="5">
        <v>8</v>
      </c>
      <c r="AD21" s="5">
        <v>9</v>
      </c>
      <c r="AE21" s="5">
        <v>10</v>
      </c>
      <c r="AF21" s="5">
        <v>11</v>
      </c>
      <c r="AG21" s="5">
        <v>12</v>
      </c>
      <c r="AH21" s="5">
        <v>13</v>
      </c>
      <c r="AI21" s="5">
        <v>14</v>
      </c>
      <c r="AJ21" s="5">
        <v>15</v>
      </c>
      <c r="AK21" s="5">
        <v>16</v>
      </c>
      <c r="AL21" s="22">
        <v>17</v>
      </c>
    </row>
    <row r="22" spans="1:39">
      <c r="A22" s="1">
        <v>8</v>
      </c>
      <c r="B22" s="11">
        <v>12</v>
      </c>
      <c r="C22" s="2" t="str">
        <f>VLOOKUP(B22,$B$3:$T$19,19,1)</f>
        <v>Toon Spin</v>
      </c>
      <c r="D22" s="52">
        <f>ABS(E22)</f>
        <v>0</v>
      </c>
      <c r="F22">
        <f>INDEX($U$2:$AL$19,MATCH(A22,$U$2:$U$19,0),MATCH(B22,$U$2:$AL$2,0))</f>
        <v>1.1764705882352941E-2</v>
      </c>
      <c r="H22">
        <f>INDEX($U$21:$AL$38,MATCH(A22,$U$21:$U$38,0),MATCH(B22,$U$21:$AL$21,0))</f>
        <v>5</v>
      </c>
      <c r="M22" t="s">
        <v>17</v>
      </c>
      <c r="U22" s="17">
        <v>8</v>
      </c>
      <c r="V22">
        <f t="shared" ref="V22:V38" si="1">V3*V$20</f>
        <v>10</v>
      </c>
      <c r="W22">
        <f t="shared" ref="W22:AL36" si="2">W3*W$20</f>
        <v>5</v>
      </c>
      <c r="X22">
        <f t="shared" si="2"/>
        <v>10</v>
      </c>
      <c r="Y22">
        <f t="shared" si="2"/>
        <v>5.0000000000000009</v>
      </c>
      <c r="Z22">
        <f t="shared" si="2"/>
        <v>15</v>
      </c>
      <c r="AA22">
        <f t="shared" si="2"/>
        <v>5</v>
      </c>
      <c r="AB22">
        <f t="shared" si="2"/>
        <v>5</v>
      </c>
      <c r="AC22">
        <f t="shared" si="2"/>
        <v>5</v>
      </c>
      <c r="AD22">
        <f t="shared" si="2"/>
        <v>5</v>
      </c>
      <c r="AE22">
        <f t="shared" si="2"/>
        <v>35</v>
      </c>
      <c r="AF22">
        <f t="shared" si="2"/>
        <v>5</v>
      </c>
      <c r="AG22">
        <f t="shared" si="2"/>
        <v>5</v>
      </c>
      <c r="AH22">
        <f t="shared" si="2"/>
        <v>5</v>
      </c>
      <c r="AI22">
        <f t="shared" si="2"/>
        <v>5</v>
      </c>
      <c r="AJ22">
        <f t="shared" si="2"/>
        <v>5</v>
      </c>
      <c r="AK22">
        <f t="shared" si="2"/>
        <v>14.999999999999998</v>
      </c>
      <c r="AL22">
        <f t="shared" si="2"/>
        <v>5</v>
      </c>
    </row>
    <row r="23" spans="1:39">
      <c r="A23" s="1">
        <v>9</v>
      </c>
      <c r="B23" s="11">
        <v>7</v>
      </c>
      <c r="C23" s="2" t="str">
        <f t="shared" ref="C23:C38" si="3">VLOOKUP(B23,$B$3:$T$19,19,1)</f>
        <v>Small World</v>
      </c>
      <c r="D23" s="52">
        <f t="shared" ref="D23:D38" si="4">ABS(E23)</f>
        <v>1.722571046413977E-2</v>
      </c>
      <c r="E23" s="51">
        <f t="shared" ref="E23:E32" si="5">INDEX($B$2:$S$19,MATCH(B22,$B$2:$B$19,0),MATCH(B23,$B$2:$S$2,0))</f>
        <v>1.722571046413977E-2</v>
      </c>
      <c r="F23">
        <f t="shared" ref="F23:F38" si="6">INDEX($U$2:$AL$19,MATCH(A23,$U$2:$U$19,0),MATCH(B23,$U$2:$AL$2,0))</f>
        <v>2.1739130434782608E-2</v>
      </c>
      <c r="G23" s="51">
        <f>INDEX($U$39:$AL$56,MATCH(B22,$U$39:$U$56,0),MATCH(B23,$U$39:$AL$39,0))</f>
        <v>80.985227741250185</v>
      </c>
      <c r="H23">
        <f t="shared" ref="H23:H38" si="7">INDEX($U$21:$AL$38,MATCH(A23,$U$21:$U$38,0),MATCH(B23,$U$21:$AL$21,0))</f>
        <v>5</v>
      </c>
      <c r="M23" t="s">
        <v>14</v>
      </c>
      <c r="U23" s="17">
        <v>9</v>
      </c>
      <c r="V23">
        <f t="shared" si="1"/>
        <v>25</v>
      </c>
      <c r="W23">
        <f t="shared" ref="W23:AK23" si="8">W4*W$20</f>
        <v>5</v>
      </c>
      <c r="X23">
        <f t="shared" si="8"/>
        <v>10</v>
      </c>
      <c r="Y23">
        <f t="shared" si="8"/>
        <v>5.0000000000000009</v>
      </c>
      <c r="Z23">
        <f t="shared" si="8"/>
        <v>25</v>
      </c>
      <c r="AA23">
        <f t="shared" si="8"/>
        <v>5</v>
      </c>
      <c r="AB23">
        <f t="shared" si="8"/>
        <v>5</v>
      </c>
      <c r="AC23">
        <f t="shared" si="8"/>
        <v>5</v>
      </c>
      <c r="AD23">
        <f t="shared" si="8"/>
        <v>10</v>
      </c>
      <c r="AE23">
        <f t="shared" si="8"/>
        <v>40</v>
      </c>
      <c r="AF23">
        <f t="shared" si="8"/>
        <v>10</v>
      </c>
      <c r="AG23">
        <f t="shared" si="8"/>
        <v>10</v>
      </c>
      <c r="AH23">
        <f t="shared" si="8"/>
        <v>10</v>
      </c>
      <c r="AI23">
        <f t="shared" si="8"/>
        <v>15</v>
      </c>
      <c r="AJ23">
        <f t="shared" si="8"/>
        <v>15</v>
      </c>
      <c r="AK23">
        <f t="shared" si="8"/>
        <v>20</v>
      </c>
      <c r="AL23">
        <f t="shared" si="2"/>
        <v>20</v>
      </c>
    </row>
    <row r="24" spans="1:39">
      <c r="A24" s="1">
        <v>10</v>
      </c>
      <c r="B24" s="11">
        <v>9</v>
      </c>
      <c r="C24" s="2" t="str">
        <f t="shared" si="3"/>
        <v>Matterhorn</v>
      </c>
      <c r="D24" s="52">
        <f t="shared" si="4"/>
        <v>4.9244496620776908E-2</v>
      </c>
      <c r="E24" s="51">
        <f t="shared" si="5"/>
        <v>4.9244496620776908E-2</v>
      </c>
      <c r="F24">
        <f t="shared" si="6"/>
        <v>2.4E-2</v>
      </c>
      <c r="G24" s="51">
        <f t="shared" ref="G24:G38" si="9">INDEX($U$39:$AL$56,MATCH(B23,$U$39:$U$56,0),MATCH(B24,$U$39:$AL$39,0))</f>
        <v>166.51786372548233</v>
      </c>
      <c r="H24">
        <f t="shared" si="7"/>
        <v>15</v>
      </c>
      <c r="M24" t="s">
        <v>25</v>
      </c>
      <c r="U24" s="17">
        <v>10</v>
      </c>
      <c r="V24">
        <f t="shared" si="1"/>
        <v>35</v>
      </c>
      <c r="W24">
        <f t="shared" si="2"/>
        <v>10</v>
      </c>
      <c r="X24">
        <f t="shared" si="2"/>
        <v>10</v>
      </c>
      <c r="Y24">
        <f t="shared" si="2"/>
        <v>10.000000000000002</v>
      </c>
      <c r="Z24">
        <f t="shared" si="2"/>
        <v>35</v>
      </c>
      <c r="AA24">
        <f t="shared" si="2"/>
        <v>10</v>
      </c>
      <c r="AB24">
        <f t="shared" si="2"/>
        <v>10</v>
      </c>
      <c r="AC24">
        <f t="shared" si="2"/>
        <v>10</v>
      </c>
      <c r="AD24">
        <f t="shared" si="2"/>
        <v>15</v>
      </c>
      <c r="AE24">
        <f t="shared" si="2"/>
        <v>45</v>
      </c>
      <c r="AF24">
        <f t="shared" si="2"/>
        <v>15</v>
      </c>
      <c r="AG24">
        <f t="shared" si="2"/>
        <v>15</v>
      </c>
      <c r="AH24">
        <f t="shared" si="2"/>
        <v>15</v>
      </c>
      <c r="AI24">
        <f t="shared" si="2"/>
        <v>25</v>
      </c>
      <c r="AJ24">
        <f t="shared" si="2"/>
        <v>25</v>
      </c>
      <c r="AK24">
        <f t="shared" si="2"/>
        <v>25</v>
      </c>
      <c r="AL24">
        <f t="shared" si="2"/>
        <v>35</v>
      </c>
    </row>
    <row r="25" spans="1:39">
      <c r="A25" s="1">
        <v>11</v>
      </c>
      <c r="B25" s="11">
        <v>5</v>
      </c>
      <c r="C25" s="2" t="str">
        <f t="shared" si="3"/>
        <v>Alice in Wonderland</v>
      </c>
      <c r="D25" s="52">
        <f t="shared" si="4"/>
        <v>1.4494974915072205E-2</v>
      </c>
      <c r="E25" s="51">
        <f t="shared" si="5"/>
        <v>1.4494974915072205E-2</v>
      </c>
      <c r="F25">
        <f t="shared" si="6"/>
        <v>7.0175438596491224E-2</v>
      </c>
      <c r="G25" s="51">
        <f t="shared" si="9"/>
        <v>46.120406617537434</v>
      </c>
      <c r="H25">
        <f t="shared" si="7"/>
        <v>40</v>
      </c>
      <c r="M25" t="s">
        <v>29</v>
      </c>
      <c r="U25" s="17">
        <v>11</v>
      </c>
      <c r="V25">
        <f t="shared" si="1"/>
        <v>40</v>
      </c>
      <c r="W25">
        <f t="shared" si="2"/>
        <v>15</v>
      </c>
      <c r="X25">
        <f t="shared" si="2"/>
        <v>10</v>
      </c>
      <c r="Y25">
        <f t="shared" si="2"/>
        <v>15</v>
      </c>
      <c r="Z25">
        <f t="shared" si="2"/>
        <v>40</v>
      </c>
      <c r="AA25">
        <f t="shared" si="2"/>
        <v>15.000000000000002</v>
      </c>
      <c r="AB25">
        <f t="shared" si="2"/>
        <v>15</v>
      </c>
      <c r="AC25">
        <f t="shared" si="2"/>
        <v>10</v>
      </c>
      <c r="AD25">
        <f t="shared" si="2"/>
        <v>20</v>
      </c>
      <c r="AE25">
        <f t="shared" si="2"/>
        <v>45</v>
      </c>
      <c r="AF25">
        <f t="shared" si="2"/>
        <v>20</v>
      </c>
      <c r="AG25">
        <f t="shared" si="2"/>
        <v>20</v>
      </c>
      <c r="AH25">
        <f t="shared" si="2"/>
        <v>25</v>
      </c>
      <c r="AI25">
        <f t="shared" si="2"/>
        <v>30</v>
      </c>
      <c r="AJ25">
        <f t="shared" si="2"/>
        <v>30</v>
      </c>
      <c r="AK25">
        <f t="shared" si="2"/>
        <v>29.999999999999996</v>
      </c>
      <c r="AL25">
        <f t="shared" si="2"/>
        <v>50</v>
      </c>
    </row>
    <row r="26" spans="1:39">
      <c r="A26" s="1">
        <v>12</v>
      </c>
      <c r="B26" s="11">
        <v>8</v>
      </c>
      <c r="C26" s="2" t="str">
        <f t="shared" si="3"/>
        <v>Mad Tea</v>
      </c>
      <c r="D26" s="52">
        <f t="shared" si="4"/>
        <v>6.6997057360049812E-3</v>
      </c>
      <c r="E26" s="51">
        <f t="shared" si="5"/>
        <v>6.6997057360049812E-3</v>
      </c>
      <c r="F26">
        <f t="shared" si="6"/>
        <v>5.4545454545454543E-2</v>
      </c>
      <c r="G26" s="51">
        <f t="shared" si="9"/>
        <v>21.968778976333269</v>
      </c>
      <c r="H26">
        <f t="shared" si="7"/>
        <v>15</v>
      </c>
      <c r="M26" t="s">
        <v>28</v>
      </c>
      <c r="U26" s="17">
        <v>12</v>
      </c>
      <c r="V26">
        <f t="shared" si="1"/>
        <v>45</v>
      </c>
      <c r="W26">
        <f t="shared" si="2"/>
        <v>15</v>
      </c>
      <c r="X26">
        <f t="shared" si="2"/>
        <v>10</v>
      </c>
      <c r="Y26">
        <f t="shared" si="2"/>
        <v>25</v>
      </c>
      <c r="Z26">
        <f t="shared" si="2"/>
        <v>40</v>
      </c>
      <c r="AA26">
        <f t="shared" si="2"/>
        <v>24</v>
      </c>
      <c r="AB26">
        <f t="shared" si="2"/>
        <v>15</v>
      </c>
      <c r="AC26">
        <f t="shared" si="2"/>
        <v>15</v>
      </c>
      <c r="AD26">
        <f t="shared" si="2"/>
        <v>25</v>
      </c>
      <c r="AE26">
        <f t="shared" si="2"/>
        <v>45</v>
      </c>
      <c r="AF26">
        <f t="shared" si="2"/>
        <v>25</v>
      </c>
      <c r="AG26">
        <f t="shared" si="2"/>
        <v>25</v>
      </c>
      <c r="AH26">
        <f t="shared" si="2"/>
        <v>35</v>
      </c>
      <c r="AI26">
        <f t="shared" si="2"/>
        <v>35</v>
      </c>
      <c r="AJ26">
        <f t="shared" si="2"/>
        <v>30</v>
      </c>
      <c r="AK26">
        <f t="shared" si="2"/>
        <v>35</v>
      </c>
      <c r="AL26">
        <f t="shared" si="2"/>
        <v>50</v>
      </c>
    </row>
    <row r="27" spans="1:39">
      <c r="A27" s="1">
        <v>13</v>
      </c>
      <c r="B27" s="11">
        <v>6</v>
      </c>
      <c r="C27" s="2" t="str">
        <f t="shared" si="3"/>
        <v>Dumbo</v>
      </c>
      <c r="D27" s="52">
        <f t="shared" si="4"/>
        <v>1.6387876424078383E-2</v>
      </c>
      <c r="E27" s="51">
        <f t="shared" si="5"/>
        <v>1.6387876424078383E-2</v>
      </c>
      <c r="F27">
        <f t="shared" si="6"/>
        <v>7.9155672823219003E-2</v>
      </c>
      <c r="G27" s="51">
        <f t="shared" si="9"/>
        <v>54.816916820998742</v>
      </c>
      <c r="H27">
        <f t="shared" si="7"/>
        <v>30.000000000000004</v>
      </c>
      <c r="M27" t="s">
        <v>30</v>
      </c>
      <c r="U27" s="17">
        <v>13</v>
      </c>
      <c r="V27">
        <f t="shared" si="1"/>
        <v>55</v>
      </c>
      <c r="W27">
        <f t="shared" si="2"/>
        <v>20</v>
      </c>
      <c r="X27">
        <f t="shared" si="2"/>
        <v>10</v>
      </c>
      <c r="Y27">
        <f t="shared" si="2"/>
        <v>35</v>
      </c>
      <c r="Z27">
        <f t="shared" si="2"/>
        <v>40</v>
      </c>
      <c r="AA27">
        <f t="shared" si="2"/>
        <v>30.000000000000004</v>
      </c>
      <c r="AB27">
        <f t="shared" si="2"/>
        <v>20</v>
      </c>
      <c r="AC27">
        <f t="shared" si="2"/>
        <v>15</v>
      </c>
      <c r="AD27">
        <f t="shared" si="2"/>
        <v>35</v>
      </c>
      <c r="AE27">
        <f t="shared" si="2"/>
        <v>45</v>
      </c>
      <c r="AF27">
        <f t="shared" si="2"/>
        <v>30</v>
      </c>
      <c r="AG27">
        <f t="shared" si="2"/>
        <v>30</v>
      </c>
      <c r="AH27">
        <f t="shared" si="2"/>
        <v>40</v>
      </c>
      <c r="AI27">
        <f t="shared" si="2"/>
        <v>35</v>
      </c>
      <c r="AJ27">
        <f t="shared" si="2"/>
        <v>30</v>
      </c>
      <c r="AK27">
        <f t="shared" si="2"/>
        <v>45</v>
      </c>
      <c r="AL27">
        <f t="shared" si="2"/>
        <v>50</v>
      </c>
    </row>
    <row r="28" spans="1:39">
      <c r="A28" s="1">
        <v>14</v>
      </c>
      <c r="B28" s="25">
        <v>10</v>
      </c>
      <c r="C28" s="2" t="str">
        <f t="shared" si="3"/>
        <v>Peter Pan</v>
      </c>
      <c r="D28" s="49">
        <f t="shared" si="4"/>
        <v>1.8268829617316084E-2</v>
      </c>
      <c r="E28" s="51">
        <f t="shared" si="5"/>
        <v>1.8268829617316084E-2</v>
      </c>
      <c r="F28">
        <f t="shared" si="6"/>
        <v>6.3380281690140844E-2</v>
      </c>
      <c r="G28" s="51">
        <f t="shared" si="9"/>
        <v>55.11594960765737</v>
      </c>
      <c r="H28">
        <f t="shared" si="7"/>
        <v>45</v>
      </c>
      <c r="M28" t="s">
        <v>24</v>
      </c>
      <c r="U28" s="17">
        <v>14</v>
      </c>
      <c r="V28">
        <f t="shared" si="1"/>
        <v>55</v>
      </c>
      <c r="W28">
        <f t="shared" si="2"/>
        <v>20</v>
      </c>
      <c r="X28">
        <f t="shared" si="2"/>
        <v>10</v>
      </c>
      <c r="Y28">
        <f t="shared" si="2"/>
        <v>45</v>
      </c>
      <c r="Z28">
        <f t="shared" si="2"/>
        <v>40</v>
      </c>
      <c r="AA28">
        <f t="shared" si="2"/>
        <v>30.000000000000004</v>
      </c>
      <c r="AB28">
        <f t="shared" si="2"/>
        <v>20</v>
      </c>
      <c r="AC28">
        <f t="shared" si="2"/>
        <v>20</v>
      </c>
      <c r="AD28">
        <f t="shared" si="2"/>
        <v>45</v>
      </c>
      <c r="AE28">
        <f t="shared" si="2"/>
        <v>45</v>
      </c>
      <c r="AF28">
        <f t="shared" si="2"/>
        <v>35</v>
      </c>
      <c r="AG28">
        <f t="shared" si="2"/>
        <v>35</v>
      </c>
      <c r="AH28">
        <f t="shared" si="2"/>
        <v>40</v>
      </c>
      <c r="AI28">
        <f t="shared" si="2"/>
        <v>35</v>
      </c>
      <c r="AJ28">
        <f t="shared" si="2"/>
        <v>30</v>
      </c>
      <c r="AK28">
        <f t="shared" si="2"/>
        <v>55</v>
      </c>
      <c r="AL28">
        <f t="shared" si="2"/>
        <v>45</v>
      </c>
    </row>
    <row r="29" spans="1:39">
      <c r="A29" s="1">
        <v>15</v>
      </c>
      <c r="B29" s="26">
        <v>11</v>
      </c>
      <c r="C29" s="29" t="str">
        <f t="shared" si="3"/>
        <v>Thunder Mtn</v>
      </c>
      <c r="D29" s="48">
        <f t="shared" si="4"/>
        <v>3.9354063672278637E-2</v>
      </c>
      <c r="E29" s="36">
        <f t="shared" si="5"/>
        <v>3.9354063672278637E-2</v>
      </c>
      <c r="F29" s="27">
        <f t="shared" si="6"/>
        <v>9.6385542168674704E-2</v>
      </c>
      <c r="G29" s="51">
        <f t="shared" si="9"/>
        <v>144.14840241197871</v>
      </c>
      <c r="H29">
        <f t="shared" si="7"/>
        <v>40</v>
      </c>
      <c r="M29" t="s">
        <v>26</v>
      </c>
      <c r="U29" s="17">
        <v>15</v>
      </c>
      <c r="V29">
        <f t="shared" si="1"/>
        <v>60</v>
      </c>
      <c r="W29">
        <f t="shared" si="2"/>
        <v>25</v>
      </c>
      <c r="X29">
        <f t="shared" si="2"/>
        <v>10</v>
      </c>
      <c r="Y29">
        <f t="shared" si="2"/>
        <v>60</v>
      </c>
      <c r="Z29">
        <f t="shared" si="2"/>
        <v>40</v>
      </c>
      <c r="AA29">
        <f t="shared" si="2"/>
        <v>30.000000000000004</v>
      </c>
      <c r="AB29">
        <f t="shared" si="2"/>
        <v>20</v>
      </c>
      <c r="AC29">
        <f t="shared" si="2"/>
        <v>20</v>
      </c>
      <c r="AD29">
        <f t="shared" si="2"/>
        <v>60</v>
      </c>
      <c r="AE29">
        <f t="shared" si="2"/>
        <v>45</v>
      </c>
      <c r="AF29">
        <f t="shared" si="2"/>
        <v>40</v>
      </c>
      <c r="AG29">
        <f t="shared" si="2"/>
        <v>40</v>
      </c>
      <c r="AH29">
        <f t="shared" si="2"/>
        <v>40</v>
      </c>
      <c r="AI29">
        <f t="shared" si="2"/>
        <v>35</v>
      </c>
      <c r="AJ29">
        <f t="shared" si="2"/>
        <v>30</v>
      </c>
      <c r="AK29">
        <f t="shared" si="2"/>
        <v>65</v>
      </c>
      <c r="AL29">
        <f t="shared" si="2"/>
        <v>45</v>
      </c>
    </row>
    <row r="30" spans="1:39">
      <c r="A30" s="1">
        <v>16</v>
      </c>
      <c r="B30" s="25">
        <v>4</v>
      </c>
      <c r="C30" s="4" t="str">
        <f t="shared" si="3"/>
        <v>Splash Mtn</v>
      </c>
      <c r="D30" s="49">
        <f t="shared" si="4"/>
        <v>4.1105496003302211E-2</v>
      </c>
      <c r="E30" s="38">
        <f t="shared" si="5"/>
        <v>4.1105496003302211E-2</v>
      </c>
      <c r="F30" s="1">
        <f t="shared" si="6"/>
        <v>0.11428571428571428</v>
      </c>
      <c r="G30" s="51">
        <f t="shared" si="9"/>
        <v>243.50268764516565</v>
      </c>
      <c r="H30">
        <f t="shared" si="7"/>
        <v>60</v>
      </c>
      <c r="M30" t="s">
        <v>22</v>
      </c>
      <c r="U30" s="17">
        <v>16</v>
      </c>
      <c r="V30">
        <f t="shared" si="1"/>
        <v>60</v>
      </c>
      <c r="W30">
        <f t="shared" si="2"/>
        <v>25</v>
      </c>
      <c r="X30">
        <f t="shared" si="2"/>
        <v>10</v>
      </c>
      <c r="Y30">
        <f t="shared" si="2"/>
        <v>60</v>
      </c>
      <c r="Z30">
        <f t="shared" si="2"/>
        <v>40</v>
      </c>
      <c r="AA30">
        <f t="shared" si="2"/>
        <v>30.000000000000004</v>
      </c>
      <c r="AB30">
        <f t="shared" si="2"/>
        <v>20</v>
      </c>
      <c r="AC30">
        <f t="shared" si="2"/>
        <v>20</v>
      </c>
      <c r="AD30">
        <f t="shared" si="2"/>
        <v>60</v>
      </c>
      <c r="AE30">
        <f t="shared" si="2"/>
        <v>45</v>
      </c>
      <c r="AF30">
        <f t="shared" si="2"/>
        <v>40</v>
      </c>
      <c r="AG30">
        <f t="shared" si="2"/>
        <v>40</v>
      </c>
      <c r="AH30">
        <f t="shared" si="2"/>
        <v>40</v>
      </c>
      <c r="AI30">
        <f t="shared" si="2"/>
        <v>35</v>
      </c>
      <c r="AJ30">
        <f t="shared" si="2"/>
        <v>30</v>
      </c>
      <c r="AK30">
        <f t="shared" si="2"/>
        <v>75</v>
      </c>
      <c r="AL30">
        <f t="shared" si="2"/>
        <v>40</v>
      </c>
    </row>
    <row r="31" spans="1:39">
      <c r="A31" s="1">
        <v>17</v>
      </c>
      <c r="B31" s="25">
        <v>13</v>
      </c>
      <c r="C31" s="4" t="str">
        <f t="shared" si="3"/>
        <v>Haunted Mansion</v>
      </c>
      <c r="D31" s="49">
        <f t="shared" si="4"/>
        <v>1.6348341587255268E-2</v>
      </c>
      <c r="E31" s="38">
        <f t="shared" si="5"/>
        <v>1.6348341587255268E-2</v>
      </c>
      <c r="F31" s="1">
        <f t="shared" si="6"/>
        <v>8.6419753086419748E-2</v>
      </c>
      <c r="G31" s="51">
        <f t="shared" si="9"/>
        <v>85.530866119049492</v>
      </c>
      <c r="H31">
        <f t="shared" si="7"/>
        <v>35</v>
      </c>
      <c r="U31" s="17">
        <v>17</v>
      </c>
      <c r="V31">
        <f t="shared" si="1"/>
        <v>60</v>
      </c>
      <c r="W31">
        <f t="shared" si="2"/>
        <v>25</v>
      </c>
      <c r="X31">
        <f t="shared" si="2"/>
        <v>10</v>
      </c>
      <c r="Y31">
        <f t="shared" si="2"/>
        <v>60</v>
      </c>
      <c r="Z31">
        <f t="shared" si="2"/>
        <v>40</v>
      </c>
      <c r="AA31">
        <f t="shared" si="2"/>
        <v>30.000000000000004</v>
      </c>
      <c r="AB31">
        <f t="shared" si="2"/>
        <v>20</v>
      </c>
      <c r="AC31">
        <f t="shared" si="2"/>
        <v>20</v>
      </c>
      <c r="AD31">
        <f t="shared" si="2"/>
        <v>60</v>
      </c>
      <c r="AE31">
        <f t="shared" si="2"/>
        <v>40</v>
      </c>
      <c r="AF31">
        <f t="shared" si="2"/>
        <v>40</v>
      </c>
      <c r="AG31">
        <f t="shared" si="2"/>
        <v>40</v>
      </c>
      <c r="AH31">
        <f t="shared" si="2"/>
        <v>35</v>
      </c>
      <c r="AI31">
        <f t="shared" si="2"/>
        <v>30</v>
      </c>
      <c r="AJ31">
        <f t="shared" si="2"/>
        <v>30</v>
      </c>
      <c r="AK31">
        <f t="shared" si="2"/>
        <v>80</v>
      </c>
      <c r="AL31">
        <f t="shared" si="2"/>
        <v>40</v>
      </c>
    </row>
    <row r="32" spans="1:39">
      <c r="A32" s="1">
        <v>18</v>
      </c>
      <c r="B32" s="23">
        <v>14</v>
      </c>
      <c r="C32" s="24" t="str">
        <f t="shared" si="3"/>
        <v>Pirates</v>
      </c>
      <c r="D32" s="50">
        <f t="shared" si="4"/>
        <v>3.0320827121779963E-2</v>
      </c>
      <c r="E32" s="41">
        <f t="shared" si="5"/>
        <v>3.0320827121779963E-2</v>
      </c>
      <c r="F32" s="28">
        <f t="shared" si="6"/>
        <v>6.5789473684210523E-2</v>
      </c>
      <c r="G32" s="51">
        <f t="shared" si="9"/>
        <v>127.9721607205676</v>
      </c>
      <c r="H32">
        <f t="shared" si="7"/>
        <v>25</v>
      </c>
      <c r="U32" s="17">
        <v>18</v>
      </c>
      <c r="V32">
        <f t="shared" si="1"/>
        <v>60</v>
      </c>
      <c r="W32">
        <f t="shared" si="2"/>
        <v>25</v>
      </c>
      <c r="X32">
        <f t="shared" si="2"/>
        <v>10</v>
      </c>
      <c r="Y32">
        <f t="shared" si="2"/>
        <v>60</v>
      </c>
      <c r="Z32">
        <f t="shared" si="2"/>
        <v>40</v>
      </c>
      <c r="AA32">
        <f t="shared" si="2"/>
        <v>30.000000000000004</v>
      </c>
      <c r="AB32">
        <f t="shared" si="2"/>
        <v>15</v>
      </c>
      <c r="AC32">
        <f t="shared" si="2"/>
        <v>20</v>
      </c>
      <c r="AD32">
        <f t="shared" si="2"/>
        <v>60</v>
      </c>
      <c r="AE32">
        <f t="shared" si="2"/>
        <v>40</v>
      </c>
      <c r="AF32">
        <f t="shared" si="2"/>
        <v>35</v>
      </c>
      <c r="AG32">
        <f t="shared" si="2"/>
        <v>40</v>
      </c>
      <c r="AH32">
        <f t="shared" si="2"/>
        <v>30</v>
      </c>
      <c r="AI32">
        <f t="shared" si="2"/>
        <v>25</v>
      </c>
      <c r="AJ32">
        <f t="shared" si="2"/>
        <v>25</v>
      </c>
      <c r="AK32">
        <f t="shared" si="2"/>
        <v>80</v>
      </c>
      <c r="AL32">
        <f t="shared" si="2"/>
        <v>35</v>
      </c>
    </row>
    <row r="33" spans="1:38">
      <c r="A33" s="1">
        <v>19</v>
      </c>
      <c r="B33" s="11">
        <v>1</v>
      </c>
      <c r="C33" s="2" t="str">
        <f t="shared" si="3"/>
        <v>Indiana Jones</v>
      </c>
      <c r="D33" s="52">
        <f t="shared" si="4"/>
        <v>1.1391037810811092E-2</v>
      </c>
      <c r="E33" s="51">
        <f t="shared" ref="E33:E38" si="10">INDEX($B$2:$S$19,MATCH(B32,$B$2:$B$19,0),MATCH(B33,$B$2:$S$2,0))</f>
        <v>1.1391037810811092E-2</v>
      </c>
      <c r="F33">
        <f t="shared" si="6"/>
        <v>8.2758620689655171E-2</v>
      </c>
      <c r="G33" s="51">
        <f t="shared" si="9"/>
        <v>43.627434418712667</v>
      </c>
      <c r="H33">
        <f t="shared" si="7"/>
        <v>60</v>
      </c>
      <c r="U33" s="17">
        <v>19</v>
      </c>
      <c r="V33">
        <f t="shared" si="1"/>
        <v>60</v>
      </c>
      <c r="W33">
        <f t="shared" si="2"/>
        <v>25</v>
      </c>
      <c r="X33">
        <f t="shared" si="2"/>
        <v>10</v>
      </c>
      <c r="Y33">
        <f t="shared" si="2"/>
        <v>50</v>
      </c>
      <c r="Z33">
        <f t="shared" si="2"/>
        <v>40</v>
      </c>
      <c r="AA33">
        <f t="shared" si="2"/>
        <v>30.000000000000004</v>
      </c>
      <c r="AB33">
        <f t="shared" si="2"/>
        <v>15</v>
      </c>
      <c r="AC33">
        <f t="shared" si="2"/>
        <v>20</v>
      </c>
      <c r="AD33">
        <f t="shared" si="2"/>
        <v>60</v>
      </c>
      <c r="AE33">
        <f t="shared" si="2"/>
        <v>45</v>
      </c>
      <c r="AF33">
        <f t="shared" si="2"/>
        <v>30</v>
      </c>
      <c r="AG33">
        <f t="shared" si="2"/>
        <v>35</v>
      </c>
      <c r="AH33">
        <f t="shared" si="2"/>
        <v>25</v>
      </c>
      <c r="AI33">
        <f t="shared" si="2"/>
        <v>20</v>
      </c>
      <c r="AJ33">
        <f t="shared" si="2"/>
        <v>20</v>
      </c>
      <c r="AK33">
        <f t="shared" si="2"/>
        <v>70</v>
      </c>
      <c r="AL33">
        <f t="shared" si="2"/>
        <v>30</v>
      </c>
    </row>
    <row r="34" spans="1:38">
      <c r="A34" s="1">
        <v>20</v>
      </c>
      <c r="B34" s="11">
        <v>2</v>
      </c>
      <c r="C34" s="2" t="str">
        <f t="shared" si="3"/>
        <v>Jungle Cruise</v>
      </c>
      <c r="D34" s="52">
        <f t="shared" si="4"/>
        <v>9.7939859857844019E-3</v>
      </c>
      <c r="E34" s="51">
        <f t="shared" si="10"/>
        <v>9.7939859857844019E-3</v>
      </c>
      <c r="F34">
        <f t="shared" si="6"/>
        <v>5.8823529411764705E-2</v>
      </c>
      <c r="G34" s="51">
        <f t="shared" si="9"/>
        <v>35.41571747416252</v>
      </c>
      <c r="H34">
        <f t="shared" si="7"/>
        <v>15</v>
      </c>
      <c r="U34" s="17">
        <v>20</v>
      </c>
      <c r="V34">
        <f t="shared" si="1"/>
        <v>45</v>
      </c>
      <c r="W34">
        <f t="shared" si="2"/>
        <v>15</v>
      </c>
      <c r="X34">
        <f t="shared" si="2"/>
        <v>10</v>
      </c>
      <c r="Y34">
        <f t="shared" si="2"/>
        <v>35</v>
      </c>
      <c r="Z34">
        <f t="shared" si="2"/>
        <v>35</v>
      </c>
      <c r="AA34">
        <f t="shared" si="2"/>
        <v>30.000000000000004</v>
      </c>
      <c r="AB34">
        <f t="shared" si="2"/>
        <v>10</v>
      </c>
      <c r="AC34">
        <f t="shared" si="2"/>
        <v>45</v>
      </c>
      <c r="AD34">
        <f t="shared" si="2"/>
        <v>45</v>
      </c>
      <c r="AE34">
        <f t="shared" si="2"/>
        <v>45</v>
      </c>
      <c r="AF34">
        <f t="shared" si="2"/>
        <v>25</v>
      </c>
      <c r="AG34">
        <f t="shared" si="2"/>
        <v>30</v>
      </c>
      <c r="AH34">
        <f t="shared" si="2"/>
        <v>20</v>
      </c>
      <c r="AI34">
        <f t="shared" si="2"/>
        <v>15</v>
      </c>
      <c r="AJ34">
        <f t="shared" si="2"/>
        <v>20</v>
      </c>
      <c r="AK34">
        <f t="shared" si="2"/>
        <v>65</v>
      </c>
      <c r="AL34">
        <f t="shared" si="2"/>
        <v>25</v>
      </c>
    </row>
    <row r="35" spans="1:38">
      <c r="A35" s="1">
        <v>21</v>
      </c>
      <c r="B35" s="11">
        <v>3</v>
      </c>
      <c r="C35" s="2" t="str">
        <f t="shared" si="3"/>
        <v>Tiki room</v>
      </c>
      <c r="D35" s="52">
        <f t="shared" si="4"/>
        <v>1.3406673571440857E-2</v>
      </c>
      <c r="E35" s="51">
        <f t="shared" si="10"/>
        <v>1.3406673571440857E-2</v>
      </c>
      <c r="F35">
        <f t="shared" si="6"/>
        <v>6.0606060606060608E-2</v>
      </c>
      <c r="G35" s="51">
        <f t="shared" si="9"/>
        <v>44.436335182955069</v>
      </c>
      <c r="H35">
        <f t="shared" si="7"/>
        <v>10</v>
      </c>
      <c r="U35" s="17">
        <v>21</v>
      </c>
      <c r="V35">
        <f t="shared" si="1"/>
        <v>40</v>
      </c>
      <c r="W35">
        <f t="shared" si="2"/>
        <v>10</v>
      </c>
      <c r="X35">
        <f t="shared" si="2"/>
        <v>10</v>
      </c>
      <c r="Y35">
        <f t="shared" si="2"/>
        <v>25</v>
      </c>
      <c r="Z35">
        <f t="shared" si="2"/>
        <v>30</v>
      </c>
      <c r="AA35">
        <f t="shared" si="2"/>
        <v>25</v>
      </c>
      <c r="AB35">
        <f t="shared" si="2"/>
        <v>10</v>
      </c>
      <c r="AC35">
        <f t="shared" si="2"/>
        <v>15</v>
      </c>
      <c r="AD35">
        <f t="shared" si="2"/>
        <v>35</v>
      </c>
      <c r="AE35">
        <f t="shared" si="2"/>
        <v>40</v>
      </c>
      <c r="AF35">
        <f t="shared" si="2"/>
        <v>20</v>
      </c>
      <c r="AG35">
        <f t="shared" si="2"/>
        <v>25</v>
      </c>
      <c r="AH35">
        <f t="shared" si="2"/>
        <v>15</v>
      </c>
      <c r="AI35">
        <f t="shared" si="2"/>
        <v>10</v>
      </c>
      <c r="AJ35">
        <f t="shared" si="2"/>
        <v>15</v>
      </c>
      <c r="AK35">
        <f t="shared" si="2"/>
        <v>59.999999999999993</v>
      </c>
      <c r="AL35">
        <f t="shared" si="2"/>
        <v>20</v>
      </c>
    </row>
    <row r="36" spans="1:38">
      <c r="A36" s="1">
        <v>22</v>
      </c>
      <c r="B36" s="11">
        <v>15</v>
      </c>
      <c r="C36" s="2" t="str">
        <f t="shared" si="3"/>
        <v>Buzz Lightyear</v>
      </c>
      <c r="D36" s="52">
        <f t="shared" si="4"/>
        <v>4.7574861205438287E-2</v>
      </c>
      <c r="E36" s="51">
        <f t="shared" si="10"/>
        <v>4.7574861205438287E-2</v>
      </c>
      <c r="F36">
        <f t="shared" si="6"/>
        <v>4.0540540540540543E-2</v>
      </c>
      <c r="G36" s="51">
        <f t="shared" si="9"/>
        <v>163.05880626550467</v>
      </c>
      <c r="H36">
        <f t="shared" si="7"/>
        <v>15</v>
      </c>
      <c r="U36" s="17">
        <v>22</v>
      </c>
      <c r="V36">
        <f t="shared" si="1"/>
        <v>35</v>
      </c>
      <c r="W36">
        <f t="shared" si="2"/>
        <v>5</v>
      </c>
      <c r="X36">
        <f t="shared" si="2"/>
        <v>10</v>
      </c>
      <c r="Y36">
        <f t="shared" si="2"/>
        <v>15</v>
      </c>
      <c r="Z36">
        <f t="shared" si="2"/>
        <v>30</v>
      </c>
      <c r="AA36">
        <f t="shared" si="2"/>
        <v>25</v>
      </c>
      <c r="AB36">
        <f t="shared" si="2"/>
        <v>10</v>
      </c>
      <c r="AC36">
        <f t="shared" si="2"/>
        <v>15</v>
      </c>
      <c r="AD36">
        <f t="shared" si="2"/>
        <v>30</v>
      </c>
      <c r="AE36">
        <f t="shared" si="2"/>
        <v>40</v>
      </c>
      <c r="AF36">
        <f t="shared" si="2"/>
        <v>15</v>
      </c>
      <c r="AG36">
        <f t="shared" si="2"/>
        <v>20</v>
      </c>
      <c r="AH36">
        <f t="shared" si="2"/>
        <v>15</v>
      </c>
      <c r="AI36">
        <f t="shared" si="2"/>
        <v>10</v>
      </c>
      <c r="AJ36">
        <f t="shared" si="2"/>
        <v>15</v>
      </c>
      <c r="AK36">
        <f t="shared" si="2"/>
        <v>35</v>
      </c>
      <c r="AL36">
        <f t="shared" si="2"/>
        <v>20</v>
      </c>
    </row>
    <row r="37" spans="1:38">
      <c r="A37" s="6">
        <v>23</v>
      </c>
      <c r="B37" s="11">
        <v>17</v>
      </c>
      <c r="C37" s="2" t="str">
        <f t="shared" si="3"/>
        <v>Star Tours</v>
      </c>
      <c r="D37" s="52">
        <f t="shared" si="4"/>
        <v>9.0411429457393569E-3</v>
      </c>
      <c r="E37" s="51">
        <f t="shared" si="10"/>
        <v>9.0411429457393569E-3</v>
      </c>
      <c r="F37">
        <f t="shared" si="6"/>
        <v>3.669724770642202E-2</v>
      </c>
      <c r="G37" s="51">
        <f t="shared" si="9"/>
        <v>32.923290655312897</v>
      </c>
      <c r="H37">
        <f t="shared" si="7"/>
        <v>20</v>
      </c>
      <c r="U37" s="17">
        <v>23</v>
      </c>
      <c r="V37">
        <f t="shared" si="1"/>
        <v>20</v>
      </c>
      <c r="W37">
        <f t="shared" ref="W37:AL37" si="11">W18*W$20</f>
        <v>5</v>
      </c>
      <c r="X37">
        <f t="shared" si="11"/>
        <v>10</v>
      </c>
      <c r="Y37">
        <f t="shared" si="11"/>
        <v>10.000000000000002</v>
      </c>
      <c r="Z37">
        <f t="shared" si="11"/>
        <v>20</v>
      </c>
      <c r="AA37">
        <f t="shared" si="11"/>
        <v>15.000000000000002</v>
      </c>
      <c r="AB37">
        <f t="shared" si="11"/>
        <v>10</v>
      </c>
      <c r="AC37">
        <f t="shared" si="11"/>
        <v>10</v>
      </c>
      <c r="AD37">
        <f t="shared" si="11"/>
        <v>30</v>
      </c>
      <c r="AE37">
        <f t="shared" si="11"/>
        <v>35</v>
      </c>
      <c r="AF37">
        <f t="shared" si="11"/>
        <v>15</v>
      </c>
      <c r="AG37">
        <f t="shared" si="11"/>
        <v>10</v>
      </c>
      <c r="AH37">
        <f t="shared" si="11"/>
        <v>10</v>
      </c>
      <c r="AI37">
        <f t="shared" si="11"/>
        <v>10</v>
      </c>
      <c r="AJ37">
        <f t="shared" si="11"/>
        <v>10</v>
      </c>
      <c r="AK37">
        <f t="shared" si="11"/>
        <v>35</v>
      </c>
      <c r="AL37">
        <f t="shared" si="11"/>
        <v>20</v>
      </c>
    </row>
    <row r="38" spans="1:38" ht="15" thickBot="1">
      <c r="A38" s="6">
        <v>24</v>
      </c>
      <c r="B38" s="11">
        <v>16</v>
      </c>
      <c r="C38" s="2" t="str">
        <f t="shared" si="3"/>
        <v>Space Mtn</v>
      </c>
      <c r="D38" s="52">
        <f t="shared" si="4"/>
        <v>1.757745352532147E-2</v>
      </c>
      <c r="E38" s="51">
        <f t="shared" si="10"/>
        <v>1.757745352532147E-2</v>
      </c>
      <c r="F38">
        <f t="shared" si="6"/>
        <v>3.6585365853658534E-2</v>
      </c>
      <c r="G38" s="51">
        <f t="shared" si="9"/>
        <v>81.447413962744832</v>
      </c>
      <c r="H38">
        <f t="shared" si="7"/>
        <v>29.999999999999996</v>
      </c>
      <c r="U38" s="19">
        <v>24</v>
      </c>
      <c r="V38">
        <f t="shared" si="1"/>
        <v>20</v>
      </c>
      <c r="W38">
        <f t="shared" ref="W38:AL38" si="12">W19*W$20</f>
        <v>5</v>
      </c>
      <c r="X38">
        <f t="shared" si="12"/>
        <v>5</v>
      </c>
      <c r="Y38">
        <f t="shared" si="12"/>
        <v>10.000000000000002</v>
      </c>
      <c r="Z38">
        <f t="shared" si="12"/>
        <v>20</v>
      </c>
      <c r="AA38">
        <f t="shared" si="12"/>
        <v>15.000000000000002</v>
      </c>
      <c r="AB38">
        <f t="shared" si="12"/>
        <v>10</v>
      </c>
      <c r="AC38">
        <f t="shared" si="12"/>
        <v>10</v>
      </c>
      <c r="AD38">
        <f t="shared" si="12"/>
        <v>30</v>
      </c>
      <c r="AE38">
        <f t="shared" si="12"/>
        <v>35</v>
      </c>
      <c r="AF38">
        <f t="shared" si="12"/>
        <v>15</v>
      </c>
      <c r="AG38">
        <f t="shared" si="12"/>
        <v>5</v>
      </c>
      <c r="AH38">
        <f t="shared" si="12"/>
        <v>5</v>
      </c>
      <c r="AI38">
        <f t="shared" si="12"/>
        <v>10</v>
      </c>
      <c r="AJ38">
        <f t="shared" si="12"/>
        <v>10</v>
      </c>
      <c r="AK38">
        <f t="shared" si="12"/>
        <v>29.999999999999996</v>
      </c>
      <c r="AL38">
        <f t="shared" si="12"/>
        <v>15</v>
      </c>
    </row>
    <row r="39" spans="1:38" ht="15">
      <c r="A39" s="10"/>
      <c r="B39" s="4"/>
      <c r="C39" s="4"/>
      <c r="D39" s="52">
        <f>SUM(D22:D38)</f>
        <v>0.35823547720653992</v>
      </c>
      <c r="F39">
        <f>SUM(F22:F38)</f>
        <v>1.003652532005562</v>
      </c>
      <c r="G39" s="55">
        <f>SUM(G23:G38)</f>
        <v>1427.5882583454134</v>
      </c>
      <c r="H39" s="56">
        <f>SUM(H22:H38)</f>
        <v>465</v>
      </c>
      <c r="K39">
        <f>D39-SUM(D29:D32)</f>
        <v>0.23110674882192384</v>
      </c>
      <c r="L39" t="s">
        <v>31</v>
      </c>
      <c r="V39" s="5">
        <v>1</v>
      </c>
      <c r="W39" s="5">
        <v>2</v>
      </c>
      <c r="X39" s="5">
        <v>3</v>
      </c>
      <c r="Y39" s="5">
        <v>4</v>
      </c>
      <c r="Z39" s="5">
        <v>5</v>
      </c>
      <c r="AA39" s="5">
        <v>6</v>
      </c>
      <c r="AB39" s="5">
        <v>7</v>
      </c>
      <c r="AC39" s="5">
        <v>8</v>
      </c>
      <c r="AD39" s="5">
        <v>9</v>
      </c>
      <c r="AE39" s="5">
        <v>10</v>
      </c>
      <c r="AF39" s="5">
        <v>11</v>
      </c>
      <c r="AG39" s="5">
        <v>12</v>
      </c>
      <c r="AH39" s="5">
        <v>13</v>
      </c>
      <c r="AI39" s="5">
        <v>14</v>
      </c>
      <c r="AJ39" s="5">
        <v>15</v>
      </c>
      <c r="AK39" s="5">
        <v>16</v>
      </c>
      <c r="AL39" s="22">
        <v>17</v>
      </c>
    </row>
    <row r="40" spans="1:38">
      <c r="B40" t="s">
        <v>3</v>
      </c>
      <c r="D40" s="53">
        <v>1</v>
      </c>
      <c r="F40" s="53">
        <v>0</v>
      </c>
      <c r="K40">
        <f>F39-SUM(F29:F32)</f>
        <v>0.64077204878054284</v>
      </c>
      <c r="L40" t="s">
        <v>32</v>
      </c>
      <c r="U40" s="17">
        <v>1</v>
      </c>
      <c r="V40">
        <f>C3*C$20</f>
        <v>0</v>
      </c>
      <c r="W40">
        <f t="shared" ref="W40:AL55" si="13">D3*D$20</f>
        <v>35.41571747416252</v>
      </c>
      <c r="X40">
        <f t="shared" si="13"/>
        <v>75.235308449802986</v>
      </c>
      <c r="Y40">
        <f t="shared" si="13"/>
        <v>243.12415046854719</v>
      </c>
      <c r="Z40">
        <f t="shared" si="13"/>
        <v>285.38608101250298</v>
      </c>
      <c r="AA40">
        <f t="shared" si="13"/>
        <v>289.17855867575389</v>
      </c>
      <c r="AB40">
        <f t="shared" si="13"/>
        <v>422.239931684601</v>
      </c>
      <c r="AC40">
        <f t="shared" si="13"/>
        <v>299.18469658294089</v>
      </c>
      <c r="AD40">
        <f t="shared" si="13"/>
        <v>294.34674965435448</v>
      </c>
      <c r="AE40">
        <f t="shared" si="13"/>
        <v>243.58872607986009</v>
      </c>
      <c r="AF40">
        <f t="shared" si="13"/>
        <v>203.00393542072791</v>
      </c>
      <c r="AG40">
        <f t="shared" si="13"/>
        <v>476.53795812918798</v>
      </c>
      <c r="AH40">
        <f t="shared" si="13"/>
        <v>166.24766329420825</v>
      </c>
      <c r="AI40">
        <f t="shared" si="13"/>
        <v>43.627434418712667</v>
      </c>
      <c r="AJ40">
        <f t="shared" si="13"/>
        <v>235.9205617282789</v>
      </c>
      <c r="AK40">
        <f t="shared" si="13"/>
        <v>285.48610254472004</v>
      </c>
      <c r="AL40">
        <f t="shared" si="13"/>
        <v>231.45532036128384</v>
      </c>
    </row>
    <row r="41" spans="1:38">
      <c r="U41" s="17">
        <v>2</v>
      </c>
      <c r="V41">
        <f t="shared" ref="V41:V56" si="14">C4*C$20</f>
        <v>35.41571747416252</v>
      </c>
      <c r="W41">
        <f t="shared" si="13"/>
        <v>0</v>
      </c>
      <c r="X41">
        <f t="shared" si="13"/>
        <v>44.436335182955069</v>
      </c>
      <c r="Y41">
        <f t="shared" si="13"/>
        <v>273.1282170184997</v>
      </c>
      <c r="Z41">
        <f t="shared" si="13"/>
        <v>257.94215654492939</v>
      </c>
      <c r="AA41">
        <f t="shared" si="13"/>
        <v>268.18432904191525</v>
      </c>
      <c r="AB41">
        <f t="shared" si="13"/>
        <v>398.14575455830294</v>
      </c>
      <c r="AC41">
        <f t="shared" si="13"/>
        <v>273.11509923526529</v>
      </c>
      <c r="AD41">
        <f t="shared" si="13"/>
        <v>263.58393767409399</v>
      </c>
      <c r="AE41">
        <f t="shared" si="13"/>
        <v>219.53121870866025</v>
      </c>
      <c r="AF41">
        <f t="shared" si="13"/>
        <v>200.11373184634655</v>
      </c>
      <c r="AG41">
        <f t="shared" si="13"/>
        <v>456.11462948302591</v>
      </c>
      <c r="AH41">
        <f t="shared" si="13"/>
        <v>199.21786127021554</v>
      </c>
      <c r="AI41">
        <f t="shared" si="13"/>
        <v>79.03822260954027</v>
      </c>
      <c r="AJ41">
        <f t="shared" si="13"/>
        <v>201.14756751767686</v>
      </c>
      <c r="AK41">
        <f t="shared" si="13"/>
        <v>250.88589035856424</v>
      </c>
      <c r="AL41">
        <f t="shared" si="13"/>
        <v>196.0671434542468</v>
      </c>
    </row>
    <row r="42" spans="1:38">
      <c r="C42" s="52">
        <f>D39*D40</f>
        <v>0.35823547720653992</v>
      </c>
      <c r="E42">
        <f>F39*F40</f>
        <v>0</v>
      </c>
      <c r="F42" t="s">
        <v>8</v>
      </c>
      <c r="H42" s="3">
        <f>E42+C42</f>
        <v>0.35823547720653992</v>
      </c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U42" s="17">
        <v>3</v>
      </c>
      <c r="V42">
        <f t="shared" si="14"/>
        <v>75.235308449802986</v>
      </c>
      <c r="W42">
        <f t="shared" si="13"/>
        <v>44.436335182955069</v>
      </c>
      <c r="X42">
        <f t="shared" si="13"/>
        <v>0</v>
      </c>
      <c r="Y42">
        <f t="shared" si="13"/>
        <v>291.68873208474383</v>
      </c>
      <c r="Z42">
        <f t="shared" si="13"/>
        <v>213.54567105456343</v>
      </c>
      <c r="AA42">
        <f t="shared" si="13"/>
        <v>226.12164826396045</v>
      </c>
      <c r="AB42">
        <f t="shared" si="13"/>
        <v>354.40223799523591</v>
      </c>
      <c r="AC42">
        <f t="shared" si="13"/>
        <v>228.93534948956807</v>
      </c>
      <c r="AD42">
        <f t="shared" si="13"/>
        <v>219.64957303895184</v>
      </c>
      <c r="AE42">
        <f t="shared" si="13"/>
        <v>176.13361760590169</v>
      </c>
      <c r="AF42">
        <f t="shared" si="13"/>
        <v>175.53810902631469</v>
      </c>
      <c r="AG42">
        <f t="shared" si="13"/>
        <v>413.86441663557724</v>
      </c>
      <c r="AH42">
        <f t="shared" si="13"/>
        <v>225.40989687633373</v>
      </c>
      <c r="AI42">
        <f t="shared" si="13"/>
        <v>117.05948454950837</v>
      </c>
      <c r="AJ42">
        <f t="shared" si="13"/>
        <v>163.05880626550467</v>
      </c>
      <c r="AK42">
        <f t="shared" si="13"/>
        <v>226.64433982944462</v>
      </c>
      <c r="AL42">
        <f t="shared" si="13"/>
        <v>162.77018054803818</v>
      </c>
    </row>
    <row r="43" spans="1:38">
      <c r="U43" s="17">
        <v>4</v>
      </c>
      <c r="V43">
        <f t="shared" si="14"/>
        <v>243.12415046854719</v>
      </c>
      <c r="W43">
        <f t="shared" si="13"/>
        <v>273.1282170184997</v>
      </c>
      <c r="X43">
        <f t="shared" si="13"/>
        <v>291.68873208474383</v>
      </c>
      <c r="Y43">
        <f t="shared" si="13"/>
        <v>0</v>
      </c>
      <c r="Z43">
        <f t="shared" si="13"/>
        <v>430.58523917795372</v>
      </c>
      <c r="AA43">
        <f t="shared" si="13"/>
        <v>393.65678799828754</v>
      </c>
      <c r="AB43">
        <f t="shared" si="13"/>
        <v>523.92586826058493</v>
      </c>
      <c r="AC43">
        <f t="shared" si="13"/>
        <v>433.02117322658592</v>
      </c>
      <c r="AD43">
        <f t="shared" si="13"/>
        <v>460.99990848306385</v>
      </c>
      <c r="AE43">
        <f t="shared" si="13"/>
        <v>377.39239285121079</v>
      </c>
      <c r="AF43">
        <f t="shared" si="13"/>
        <v>243.50268764516562</v>
      </c>
      <c r="AG43">
        <f t="shared" si="13"/>
        <v>545.19424297983869</v>
      </c>
      <c r="AH43">
        <f t="shared" si="13"/>
        <v>85.530866119049492</v>
      </c>
      <c r="AI43">
        <f t="shared" si="13"/>
        <v>209.16282830150311</v>
      </c>
      <c r="AJ43">
        <f t="shared" si="13"/>
        <v>443.65343531531391</v>
      </c>
      <c r="AK43">
        <f t="shared" si="13"/>
        <v>518.33181927135797</v>
      </c>
      <c r="AL43">
        <f t="shared" si="13"/>
        <v>450.94909994727891</v>
      </c>
    </row>
    <row r="44" spans="1:38">
      <c r="U44" s="17">
        <v>5</v>
      </c>
      <c r="V44">
        <f t="shared" si="14"/>
        <v>285.38608101250298</v>
      </c>
      <c r="W44">
        <f t="shared" si="13"/>
        <v>257.94215654492939</v>
      </c>
      <c r="X44">
        <f t="shared" si="13"/>
        <v>213.54567105456346</v>
      </c>
      <c r="Y44">
        <f t="shared" si="13"/>
        <v>430.58523917795367</v>
      </c>
      <c r="Z44">
        <f t="shared" si="13"/>
        <v>0</v>
      </c>
      <c r="AA44">
        <f t="shared" si="13"/>
        <v>69.455125502039664</v>
      </c>
      <c r="AB44">
        <f t="shared" si="13"/>
        <v>146.08932876096961</v>
      </c>
      <c r="AC44">
        <f t="shared" si="13"/>
        <v>21.968778976333269</v>
      </c>
      <c r="AD44">
        <f t="shared" si="13"/>
        <v>46.120406617537434</v>
      </c>
      <c r="AE44">
        <f t="shared" si="13"/>
        <v>53.25280228115453</v>
      </c>
      <c r="AF44">
        <f t="shared" si="13"/>
        <v>196.18586926043142</v>
      </c>
      <c r="AG44">
        <f t="shared" si="13"/>
        <v>217.34893875517614</v>
      </c>
      <c r="AH44">
        <f t="shared" si="13"/>
        <v>394.82939421009377</v>
      </c>
      <c r="AI44">
        <f t="shared" si="13"/>
        <v>321.85836784012554</v>
      </c>
      <c r="AJ44">
        <f t="shared" si="13"/>
        <v>130.10141514607648</v>
      </c>
      <c r="AK44">
        <f t="shared" si="13"/>
        <v>234.1745320258795</v>
      </c>
      <c r="AL44">
        <f t="shared" si="13"/>
        <v>162.97627457082967</v>
      </c>
    </row>
    <row r="45" spans="1:38">
      <c r="G45">
        <f>G39*3</f>
        <v>4282.7647750362403</v>
      </c>
      <c r="H45">
        <f>H39/60</f>
        <v>7.75</v>
      </c>
      <c r="U45" s="17">
        <v>6</v>
      </c>
      <c r="V45">
        <f t="shared" si="14"/>
        <v>289.17855867575389</v>
      </c>
      <c r="W45">
        <f t="shared" si="13"/>
        <v>268.18432904191525</v>
      </c>
      <c r="X45">
        <f t="shared" si="13"/>
        <v>226.1216482639604</v>
      </c>
      <c r="Y45">
        <f t="shared" si="13"/>
        <v>393.65678799828754</v>
      </c>
      <c r="Z45">
        <f t="shared" si="13"/>
        <v>69.455125502039664</v>
      </c>
      <c r="AA45">
        <f t="shared" si="13"/>
        <v>0</v>
      </c>
      <c r="AB45">
        <f t="shared" si="13"/>
        <v>137.10365996034804</v>
      </c>
      <c r="AC45">
        <f t="shared" si="13"/>
        <v>54.816916820998749</v>
      </c>
      <c r="AD45">
        <f t="shared" si="13"/>
        <v>115.54084629340073</v>
      </c>
      <c r="AE45">
        <f t="shared" si="13"/>
        <v>55.11594960765737</v>
      </c>
      <c r="AF45">
        <f t="shared" si="13"/>
        <v>150.6555634966613</v>
      </c>
      <c r="AG45">
        <f t="shared" si="13"/>
        <v>187.93059434003794</v>
      </c>
      <c r="AH45">
        <f t="shared" si="13"/>
        <v>370.49370442246158</v>
      </c>
      <c r="AI45">
        <f t="shared" si="13"/>
        <v>319.2524065418915</v>
      </c>
      <c r="AJ45">
        <f t="shared" si="13"/>
        <v>189.22843379725697</v>
      </c>
      <c r="AK45">
        <f t="shared" si="13"/>
        <v>297.2839405593038</v>
      </c>
      <c r="AL45">
        <f t="shared" si="13"/>
        <v>220.94920483065883</v>
      </c>
    </row>
    <row r="46" spans="1:38">
      <c r="G46">
        <f>G45/5280</f>
        <v>0.81112969224171216</v>
      </c>
      <c r="U46" s="17">
        <v>7</v>
      </c>
      <c r="V46">
        <f t="shared" si="14"/>
        <v>422.239931684601</v>
      </c>
      <c r="W46">
        <f t="shared" si="13"/>
        <v>398.14575455830294</v>
      </c>
      <c r="X46">
        <f t="shared" si="13"/>
        <v>354.40223799523591</v>
      </c>
      <c r="Y46">
        <f t="shared" si="13"/>
        <v>523.92586826058493</v>
      </c>
      <c r="Z46">
        <f t="shared" si="13"/>
        <v>146.08932876096961</v>
      </c>
      <c r="AA46">
        <f t="shared" si="13"/>
        <v>137.10365996034804</v>
      </c>
      <c r="AB46">
        <f t="shared" si="13"/>
        <v>0</v>
      </c>
      <c r="AC46">
        <f t="shared" si="13"/>
        <v>127.04302098859858</v>
      </c>
      <c r="AD46">
        <f t="shared" si="13"/>
        <v>166.51786372548233</v>
      </c>
      <c r="AE46">
        <f t="shared" si="13"/>
        <v>178.79249083232051</v>
      </c>
      <c r="AF46">
        <f t="shared" si="13"/>
        <v>281.09763747137629</v>
      </c>
      <c r="AG46">
        <f t="shared" si="13"/>
        <v>80.985227741250185</v>
      </c>
      <c r="AH46">
        <f t="shared" si="13"/>
        <v>506.4497087106385</v>
      </c>
      <c r="AI46">
        <f t="shared" si="13"/>
        <v>454.60608976349624</v>
      </c>
      <c r="AJ46">
        <f t="shared" si="13"/>
        <v>266.95448741353545</v>
      </c>
      <c r="AK46">
        <f t="shared" si="13"/>
        <v>357.85686355779404</v>
      </c>
      <c r="AL46">
        <f t="shared" si="13"/>
        <v>299.2056517337632</v>
      </c>
    </row>
    <row r="47" spans="1:38">
      <c r="U47" s="17">
        <v>8</v>
      </c>
      <c r="V47">
        <f t="shared" si="14"/>
        <v>299.18469658294089</v>
      </c>
      <c r="W47">
        <f t="shared" si="13"/>
        <v>273.11509923526529</v>
      </c>
      <c r="X47">
        <f t="shared" si="13"/>
        <v>228.93534948956807</v>
      </c>
      <c r="Y47">
        <f t="shared" si="13"/>
        <v>433.02117322658592</v>
      </c>
      <c r="Z47">
        <f t="shared" si="13"/>
        <v>21.968778976333269</v>
      </c>
      <c r="AA47">
        <f t="shared" si="13"/>
        <v>54.816916820998742</v>
      </c>
      <c r="AB47">
        <f t="shared" si="13"/>
        <v>127.04302098859857</v>
      </c>
      <c r="AC47">
        <f t="shared" si="13"/>
        <v>0</v>
      </c>
      <c r="AD47">
        <f t="shared" si="13"/>
        <v>63.794208341811625</v>
      </c>
      <c r="AE47">
        <f t="shared" si="13"/>
        <v>58.440074323805938</v>
      </c>
      <c r="AF47">
        <f t="shared" si="13"/>
        <v>194.30568622833704</v>
      </c>
      <c r="AG47">
        <f t="shared" si="13"/>
        <v>196.24129880676139</v>
      </c>
      <c r="AH47">
        <f t="shared" si="13"/>
        <v>401.34210495569926</v>
      </c>
      <c r="AI47">
        <f t="shared" si="13"/>
        <v>334.23445421028055</v>
      </c>
      <c r="AJ47">
        <f t="shared" si="13"/>
        <v>152.05756119461753</v>
      </c>
      <c r="AK47">
        <f t="shared" si="13"/>
        <v>255.62654057901639</v>
      </c>
      <c r="AL47">
        <f t="shared" si="13"/>
        <v>184.93928790034644</v>
      </c>
    </row>
    <row r="48" spans="1:38">
      <c r="U48" s="17">
        <v>9</v>
      </c>
      <c r="V48">
        <f t="shared" si="14"/>
        <v>294.34674965435448</v>
      </c>
      <c r="W48">
        <f t="shared" si="13"/>
        <v>263.58393767409399</v>
      </c>
      <c r="X48">
        <f t="shared" si="13"/>
        <v>219.64957303895184</v>
      </c>
      <c r="Y48">
        <f t="shared" si="13"/>
        <v>460.99990848306379</v>
      </c>
      <c r="Z48">
        <f t="shared" si="13"/>
        <v>46.120406617537434</v>
      </c>
      <c r="AA48">
        <f t="shared" si="13"/>
        <v>115.54084629340075</v>
      </c>
      <c r="AB48">
        <f t="shared" si="13"/>
        <v>166.51786372548233</v>
      </c>
      <c r="AC48">
        <f t="shared" si="13"/>
        <v>63.794208341811625</v>
      </c>
      <c r="AD48">
        <f t="shared" si="13"/>
        <v>0</v>
      </c>
      <c r="AE48">
        <f t="shared" si="13"/>
        <v>90.664956666995778</v>
      </c>
      <c r="AF48">
        <f t="shared" si="13"/>
        <v>234.26543137137057</v>
      </c>
      <c r="AG48">
        <f t="shared" si="13"/>
        <v>244.21262443256944</v>
      </c>
      <c r="AH48">
        <f t="shared" si="13"/>
        <v>418.58691675179392</v>
      </c>
      <c r="AI48">
        <f t="shared" si="13"/>
        <v>333.91043574757589</v>
      </c>
      <c r="AJ48">
        <f t="shared" si="13"/>
        <v>100.53876287995733</v>
      </c>
      <c r="AK48">
        <f t="shared" si="13"/>
        <v>196.03012242617947</v>
      </c>
      <c r="AL48">
        <f t="shared" si="13"/>
        <v>132.68848704068344</v>
      </c>
    </row>
    <row r="49" spans="21:38">
      <c r="U49" s="17">
        <v>10</v>
      </c>
      <c r="V49">
        <f t="shared" si="14"/>
        <v>243.58872607986012</v>
      </c>
      <c r="W49">
        <f t="shared" si="13"/>
        <v>219.53121870866028</v>
      </c>
      <c r="X49">
        <f t="shared" si="13"/>
        <v>176.13361760590169</v>
      </c>
      <c r="Y49">
        <f t="shared" si="13"/>
        <v>377.39239285121079</v>
      </c>
      <c r="Z49">
        <f t="shared" si="13"/>
        <v>53.252802281154523</v>
      </c>
      <c r="AA49">
        <f t="shared" si="13"/>
        <v>55.115949607657363</v>
      </c>
      <c r="AB49">
        <f t="shared" si="13"/>
        <v>178.79249083232051</v>
      </c>
      <c r="AC49">
        <f t="shared" si="13"/>
        <v>58.440074323805938</v>
      </c>
      <c r="AD49">
        <f t="shared" si="13"/>
        <v>90.664956666995778</v>
      </c>
      <c r="AE49">
        <f t="shared" si="13"/>
        <v>0</v>
      </c>
      <c r="AF49">
        <f t="shared" si="13"/>
        <v>144.14840241197871</v>
      </c>
      <c r="AG49">
        <f t="shared" si="13"/>
        <v>238.93956076898073</v>
      </c>
      <c r="AH49">
        <f t="shared" si="13"/>
        <v>343.23800472175236</v>
      </c>
      <c r="AI49">
        <f t="shared" si="13"/>
        <v>277.19471876766289</v>
      </c>
      <c r="AJ49">
        <f t="shared" si="13"/>
        <v>140.34652822183338</v>
      </c>
      <c r="AK49">
        <f t="shared" si="13"/>
        <v>249.56439084237218</v>
      </c>
      <c r="AL49">
        <f t="shared" si="13"/>
        <v>170.59544177993732</v>
      </c>
    </row>
    <row r="50" spans="21:38">
      <c r="U50" s="17">
        <v>11</v>
      </c>
      <c r="V50">
        <f t="shared" si="14"/>
        <v>203.00393542072791</v>
      </c>
      <c r="W50">
        <f t="shared" si="13"/>
        <v>200.11373184634655</v>
      </c>
      <c r="X50">
        <f t="shared" si="13"/>
        <v>175.53810902631469</v>
      </c>
      <c r="Y50">
        <f t="shared" si="13"/>
        <v>243.50268764516565</v>
      </c>
      <c r="Z50">
        <f t="shared" si="13"/>
        <v>196.18586926043142</v>
      </c>
      <c r="AA50">
        <f t="shared" si="13"/>
        <v>150.6555634966613</v>
      </c>
      <c r="AB50">
        <f t="shared" si="13"/>
        <v>281.09763747137629</v>
      </c>
      <c r="AC50">
        <f t="shared" si="13"/>
        <v>194.30568622833704</v>
      </c>
      <c r="AD50">
        <f t="shared" si="13"/>
        <v>234.26543137137054</v>
      </c>
      <c r="AE50">
        <f t="shared" si="13"/>
        <v>144.14840241197871</v>
      </c>
      <c r="AF50">
        <f t="shared" si="13"/>
        <v>0</v>
      </c>
      <c r="AG50">
        <f t="shared" si="13"/>
        <v>310.40995171196965</v>
      </c>
      <c r="AH50">
        <f t="shared" si="13"/>
        <v>229.52406256746684</v>
      </c>
      <c r="AI50">
        <f t="shared" si="13"/>
        <v>215.60524896378325</v>
      </c>
      <c r="AJ50">
        <f t="shared" si="13"/>
        <v>253.90774206554252</v>
      </c>
      <c r="AK50">
        <f t="shared" si="13"/>
        <v>355.60542381889445</v>
      </c>
      <c r="AL50">
        <f t="shared" si="13"/>
        <v>274.98992588644165</v>
      </c>
    </row>
    <row r="51" spans="21:38">
      <c r="U51" s="17">
        <v>12</v>
      </c>
      <c r="V51">
        <f t="shared" si="14"/>
        <v>476.53795812918798</v>
      </c>
      <c r="W51">
        <f t="shared" si="13"/>
        <v>456.11462948302585</v>
      </c>
      <c r="X51">
        <f t="shared" si="13"/>
        <v>413.86441663557724</v>
      </c>
      <c r="Y51">
        <f t="shared" si="13"/>
        <v>545.19424297983869</v>
      </c>
      <c r="Z51">
        <f t="shared" si="13"/>
        <v>217.34893875517614</v>
      </c>
      <c r="AA51">
        <f t="shared" si="13"/>
        <v>187.93059434003794</v>
      </c>
      <c r="AB51">
        <f t="shared" si="13"/>
        <v>80.985227741250185</v>
      </c>
      <c r="AC51">
        <f t="shared" si="13"/>
        <v>196.24129880676139</v>
      </c>
      <c r="AD51">
        <f t="shared" si="13"/>
        <v>244.21262443256944</v>
      </c>
      <c r="AE51">
        <f t="shared" si="13"/>
        <v>238.93956076898073</v>
      </c>
      <c r="AF51">
        <f t="shared" si="13"/>
        <v>310.40995171196965</v>
      </c>
      <c r="AG51">
        <f t="shared" si="13"/>
        <v>0</v>
      </c>
      <c r="AH51">
        <f t="shared" si="13"/>
        <v>539.93396275766452</v>
      </c>
      <c r="AI51">
        <f t="shared" si="13"/>
        <v>504.71867173682426</v>
      </c>
      <c r="AJ51">
        <f t="shared" si="13"/>
        <v>343.71766130424044</v>
      </c>
      <c r="AK51">
        <f t="shared" si="13"/>
        <v>437.85195352068683</v>
      </c>
      <c r="AL51">
        <f t="shared" si="13"/>
        <v>376.39033374729303</v>
      </c>
    </row>
    <row r="52" spans="21:38">
      <c r="U52" s="17">
        <v>13</v>
      </c>
      <c r="V52">
        <f t="shared" si="14"/>
        <v>166.24766329420825</v>
      </c>
      <c r="W52">
        <f t="shared" si="13"/>
        <v>199.21786127021554</v>
      </c>
      <c r="X52">
        <f t="shared" si="13"/>
        <v>225.40989687633373</v>
      </c>
      <c r="Y52">
        <f t="shared" si="13"/>
        <v>85.530866119049492</v>
      </c>
      <c r="Z52">
        <f t="shared" si="13"/>
        <v>394.82939421009377</v>
      </c>
      <c r="AA52">
        <f t="shared" si="13"/>
        <v>370.49370442246158</v>
      </c>
      <c r="AB52">
        <f t="shared" si="13"/>
        <v>506.44970871063845</v>
      </c>
      <c r="AC52">
        <f t="shared" si="13"/>
        <v>401.34210495569926</v>
      </c>
      <c r="AD52">
        <f t="shared" si="13"/>
        <v>418.58691675179392</v>
      </c>
      <c r="AE52">
        <f t="shared" si="13"/>
        <v>343.23800472175242</v>
      </c>
      <c r="AF52">
        <f t="shared" si="13"/>
        <v>229.52406256746684</v>
      </c>
      <c r="AG52">
        <f t="shared" si="13"/>
        <v>539.93396275766452</v>
      </c>
      <c r="AH52">
        <f t="shared" si="13"/>
        <v>0</v>
      </c>
      <c r="AI52">
        <f t="shared" si="13"/>
        <v>127.9721607205676</v>
      </c>
      <c r="AJ52">
        <f t="shared" si="13"/>
        <v>385.50102343587747</v>
      </c>
      <c r="AK52">
        <f t="shared" si="13"/>
        <v>449.4287392065018</v>
      </c>
      <c r="AL52">
        <f t="shared" si="13"/>
        <v>388.07023356065002</v>
      </c>
    </row>
    <row r="53" spans="21:38">
      <c r="U53" s="17">
        <v>14</v>
      </c>
      <c r="V53">
        <f t="shared" si="14"/>
        <v>43.627434418712667</v>
      </c>
      <c r="W53">
        <f t="shared" si="13"/>
        <v>79.03822260954027</v>
      </c>
      <c r="X53">
        <f t="shared" si="13"/>
        <v>117.05948454950837</v>
      </c>
      <c r="Y53">
        <f t="shared" si="13"/>
        <v>209.16282830150311</v>
      </c>
      <c r="Z53">
        <f t="shared" si="13"/>
        <v>321.85836784012554</v>
      </c>
      <c r="AA53">
        <f t="shared" si="13"/>
        <v>319.2524065418915</v>
      </c>
      <c r="AB53">
        <f t="shared" si="13"/>
        <v>454.60608976349624</v>
      </c>
      <c r="AC53">
        <f t="shared" si="13"/>
        <v>334.23445421028055</v>
      </c>
      <c r="AD53">
        <f t="shared" si="13"/>
        <v>333.91043574757589</v>
      </c>
      <c r="AE53">
        <f t="shared" si="13"/>
        <v>277.19471876766289</v>
      </c>
      <c r="AF53">
        <f t="shared" si="13"/>
        <v>215.60524896378325</v>
      </c>
      <c r="AG53">
        <f t="shared" si="13"/>
        <v>504.71867173682426</v>
      </c>
      <c r="AH53">
        <f t="shared" si="13"/>
        <v>127.9721607205676</v>
      </c>
      <c r="AI53">
        <f t="shared" si="13"/>
        <v>0</v>
      </c>
      <c r="AJ53">
        <f t="shared" si="13"/>
        <v>279.11449624635367</v>
      </c>
      <c r="AK53">
        <f t="shared" si="13"/>
        <v>328.16830545471561</v>
      </c>
      <c r="AL53">
        <f t="shared" si="13"/>
        <v>275.07923904373905</v>
      </c>
    </row>
    <row r="54" spans="21:38">
      <c r="U54" s="17">
        <v>15</v>
      </c>
      <c r="V54">
        <f t="shared" si="14"/>
        <v>235.9205617282789</v>
      </c>
      <c r="W54">
        <f t="shared" si="13"/>
        <v>201.14756751767686</v>
      </c>
      <c r="X54">
        <f t="shared" si="13"/>
        <v>163.05880626550467</v>
      </c>
      <c r="Y54">
        <f t="shared" si="13"/>
        <v>443.65343531531403</v>
      </c>
      <c r="Z54">
        <f t="shared" si="13"/>
        <v>130.10141514607648</v>
      </c>
      <c r="AA54">
        <f t="shared" si="13"/>
        <v>189.22843379725697</v>
      </c>
      <c r="AB54">
        <f t="shared" si="13"/>
        <v>266.95448741353545</v>
      </c>
      <c r="AC54">
        <f t="shared" si="13"/>
        <v>152.05756119461753</v>
      </c>
      <c r="AD54">
        <f t="shared" si="13"/>
        <v>100.53876287995733</v>
      </c>
      <c r="AE54">
        <f t="shared" si="13"/>
        <v>140.34652822183338</v>
      </c>
      <c r="AF54">
        <f t="shared" si="13"/>
        <v>253.90774206554249</v>
      </c>
      <c r="AG54">
        <f t="shared" si="13"/>
        <v>343.71766130424044</v>
      </c>
      <c r="AH54">
        <f t="shared" si="13"/>
        <v>385.50102343587753</v>
      </c>
      <c r="AI54">
        <f t="shared" si="13"/>
        <v>279.11449624635367</v>
      </c>
      <c r="AJ54">
        <f t="shared" si="13"/>
        <v>0</v>
      </c>
      <c r="AK54">
        <f t="shared" si="13"/>
        <v>109.24350736136221</v>
      </c>
      <c r="AL54">
        <f t="shared" si="13"/>
        <v>32.923290655312897</v>
      </c>
    </row>
    <row r="55" spans="21:38">
      <c r="U55" s="17">
        <v>16</v>
      </c>
      <c r="V55">
        <f t="shared" si="14"/>
        <v>285.48610254472004</v>
      </c>
      <c r="W55">
        <f t="shared" si="13"/>
        <v>250.88589035856424</v>
      </c>
      <c r="X55">
        <f t="shared" si="13"/>
        <v>226.64433982944459</v>
      </c>
      <c r="Y55">
        <f t="shared" si="13"/>
        <v>518.33181927135797</v>
      </c>
      <c r="Z55">
        <f t="shared" si="13"/>
        <v>234.17453202587953</v>
      </c>
      <c r="AA55">
        <f t="shared" si="13"/>
        <v>297.2839405593038</v>
      </c>
      <c r="AB55">
        <f t="shared" si="13"/>
        <v>357.85686355779404</v>
      </c>
      <c r="AC55">
        <f t="shared" si="13"/>
        <v>255.62654057901639</v>
      </c>
      <c r="AD55">
        <f t="shared" si="13"/>
        <v>196.03012242617947</v>
      </c>
      <c r="AE55">
        <f t="shared" si="13"/>
        <v>249.56439084237218</v>
      </c>
      <c r="AF55">
        <f t="shared" si="13"/>
        <v>355.60542381889445</v>
      </c>
      <c r="AG55">
        <f t="shared" si="13"/>
        <v>437.85195352068683</v>
      </c>
      <c r="AH55">
        <f t="shared" si="13"/>
        <v>449.42873920650186</v>
      </c>
      <c r="AI55">
        <f t="shared" si="13"/>
        <v>328.16830545471561</v>
      </c>
      <c r="AJ55">
        <f t="shared" si="13"/>
        <v>109.24350736136221</v>
      </c>
      <c r="AK55">
        <f t="shared" si="13"/>
        <v>0</v>
      </c>
      <c r="AL55">
        <f t="shared" ref="AL55:AL56" si="15">S18*S$20</f>
        <v>81.447413962744818</v>
      </c>
    </row>
    <row r="56" spans="21:38" ht="15" thickBot="1">
      <c r="U56" s="19">
        <v>17</v>
      </c>
      <c r="V56">
        <f t="shared" si="14"/>
        <v>231.45532036128384</v>
      </c>
      <c r="W56">
        <f t="shared" ref="W56" si="16">D19*D$20</f>
        <v>196.0671434542468</v>
      </c>
      <c r="X56">
        <f t="shared" ref="X56" si="17">E19*E$20</f>
        <v>162.77018054803818</v>
      </c>
      <c r="Y56">
        <f t="shared" ref="Y56" si="18">F19*F$20</f>
        <v>450.94909994727897</v>
      </c>
      <c r="Z56">
        <f t="shared" ref="Z56" si="19">G19*G$20</f>
        <v>162.97627457082967</v>
      </c>
      <c r="AA56">
        <f t="shared" ref="AA56" si="20">H19*H$20</f>
        <v>220.9492048306588</v>
      </c>
      <c r="AB56">
        <f t="shared" ref="AB56" si="21">I19*I$20</f>
        <v>299.2056517337632</v>
      </c>
      <c r="AC56">
        <f t="shared" ref="AC56" si="22">J19*J$20</f>
        <v>184.93928790034644</v>
      </c>
      <c r="AD56">
        <f t="shared" ref="AD56" si="23">K19*K$20</f>
        <v>132.68848704068344</v>
      </c>
      <c r="AE56">
        <f t="shared" ref="AE56" si="24">L19*L$20</f>
        <v>170.59544177993732</v>
      </c>
      <c r="AF56">
        <f t="shared" ref="AF56" si="25">M19*M$20</f>
        <v>274.98992588644165</v>
      </c>
      <c r="AG56">
        <f t="shared" ref="AG56" si="26">N19*N$20</f>
        <v>376.39033374729303</v>
      </c>
      <c r="AH56">
        <f t="shared" ref="AH56" si="27">O19*O$20</f>
        <v>388.07023356065002</v>
      </c>
      <c r="AI56">
        <f t="shared" ref="AI56" si="28">P19*P$20</f>
        <v>275.07923904373905</v>
      </c>
      <c r="AJ56">
        <f t="shared" ref="AJ56" si="29">Q19*Q$20</f>
        <v>32.923290655312897</v>
      </c>
      <c r="AK56">
        <f t="shared" ref="AK56" si="30">R19*R$20</f>
        <v>81.447413962744832</v>
      </c>
      <c r="AL56">
        <f t="shared" si="15"/>
        <v>0</v>
      </c>
    </row>
  </sheetData>
  <scenarios current="1" show="1" sqref="C22 F22 E23">
    <scenario name="Original" locked="1" count="17" user="Jon Hager" comment="Created by Jon Hager on 5/8/2018">
      <inputCells r="B22" val="4"/>
      <inputCells r="B23" val="1"/>
      <inputCells r="B24" val="14"/>
      <inputCells r="B25" val="7"/>
      <inputCells r="B26" val="12"/>
      <inputCells r="B27" val="2"/>
      <inputCells r="B28" val="3"/>
      <inputCells r="B29" val="5"/>
      <inputCells r="B30" val="6"/>
      <inputCells r="B31" val="10"/>
      <inputCells r="B32" val="17"/>
      <inputCells r="B33" val="16"/>
      <inputCells r="B34" val="15"/>
      <inputCells r="B35" val="8"/>
      <inputCells r="B36" val="11"/>
      <inputCells r="B37" val="13"/>
      <inputCells r="B38" val="9"/>
    </scenario>
    <scenario name="Best Course" locked="1" count="17" user="Jon Hager" comment="Created by Jon Hager on 5/8/2018">
      <inputCells r="B22" val="12"/>
      <inputCells r="B23" val="9"/>
      <inputCells r="B24" val="6"/>
      <inputCells r="B25" val="11"/>
      <inputCells r="B26" val="16"/>
      <inputCells r="B27" val="8"/>
      <inputCells r="B28" val="5"/>
      <inputCells r="B29" val="10"/>
      <inputCells r="B30" val="7"/>
      <inputCells r="B31" val="15"/>
      <inputCells r="B32" val="17"/>
      <inputCells r="B33" val="3"/>
      <inputCells r="B34" val="2"/>
      <inputCells r="B35" val="14"/>
      <inputCells r="B36" val="13"/>
      <inputCells r="B37" val="4"/>
      <inputCells r="B38" val="1"/>
    </scenario>
  </scenarios>
  <conditionalFormatting sqref="C22:C38">
    <cfRule type="expression" dxfId="6" priority="1">
      <formula>MATCH(C22,$M$22:$M$30,0)</formula>
    </cfRule>
  </conditionalFormatting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8BF3D3-E8EA-4A09-A112-824BDFC554F9}">
  <sheetPr codeName="Sheet3"/>
  <dimension ref="A1:AN42"/>
  <sheetViews>
    <sheetView workbookViewId="0"/>
  </sheetViews>
  <sheetFormatPr defaultRowHeight="14.25"/>
  <cols>
    <col min="1" max="1" width="9.5" bestFit="1" customWidth="1"/>
    <col min="2" max="2" width="14.75" bestFit="1" customWidth="1"/>
    <col min="3" max="3" width="17.25" bestFit="1" customWidth="1"/>
    <col min="4" max="4" width="12.5" bestFit="1" customWidth="1"/>
    <col min="5" max="5" width="7.75" bestFit="1" customWidth="1"/>
    <col min="6" max="6" width="7.375" bestFit="1" customWidth="1"/>
    <col min="7" max="19" width="7" customWidth="1"/>
    <col min="20" max="20" width="16" customWidth="1"/>
    <col min="21" max="21" width="12.75" bestFit="1" customWidth="1"/>
    <col min="22" max="38" width="5.5" customWidth="1"/>
    <col min="39" max="39" width="15.75" bestFit="1" customWidth="1"/>
  </cols>
  <sheetData>
    <row r="1" spans="1:40" ht="48.75" customHeight="1">
      <c r="B1" s="13" t="s">
        <v>10</v>
      </c>
      <c r="C1" s="14" t="s">
        <v>5</v>
      </c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5"/>
      <c r="U1" s="13" t="s">
        <v>11</v>
      </c>
      <c r="V1" s="14" t="s">
        <v>6</v>
      </c>
      <c r="W1" s="14"/>
      <c r="X1" s="14"/>
      <c r="Y1" s="14"/>
      <c r="Z1" s="14"/>
      <c r="AA1" s="14"/>
      <c r="AB1" s="14"/>
      <c r="AC1" s="14"/>
      <c r="AD1" s="14"/>
      <c r="AE1" s="14"/>
      <c r="AF1" s="14"/>
      <c r="AG1" s="14"/>
      <c r="AH1" s="14"/>
      <c r="AI1" s="14"/>
      <c r="AJ1" s="14"/>
      <c r="AK1" s="14"/>
      <c r="AL1" s="15"/>
    </row>
    <row r="2" spans="1:40">
      <c r="B2" s="16" t="s">
        <v>5</v>
      </c>
      <c r="C2" s="5">
        <v>1</v>
      </c>
      <c r="D2" s="5">
        <v>2</v>
      </c>
      <c r="E2" s="5">
        <v>3</v>
      </c>
      <c r="F2" s="5">
        <v>4</v>
      </c>
      <c r="G2" s="5">
        <v>5</v>
      </c>
      <c r="H2" s="5">
        <v>6</v>
      </c>
      <c r="I2" s="5">
        <v>7</v>
      </c>
      <c r="J2" s="5">
        <v>8</v>
      </c>
      <c r="K2" s="5">
        <v>9</v>
      </c>
      <c r="L2" s="5">
        <v>10</v>
      </c>
      <c r="M2" s="5">
        <v>11</v>
      </c>
      <c r="N2" s="5">
        <v>12</v>
      </c>
      <c r="O2" s="5">
        <v>13</v>
      </c>
      <c r="P2" s="5">
        <v>14</v>
      </c>
      <c r="Q2" s="5">
        <v>15</v>
      </c>
      <c r="R2" s="5">
        <v>16</v>
      </c>
      <c r="S2" s="22">
        <v>17</v>
      </c>
      <c r="U2" s="16" t="s">
        <v>12</v>
      </c>
      <c r="V2" s="5">
        <v>1</v>
      </c>
      <c r="W2" s="5">
        <v>2</v>
      </c>
      <c r="X2" s="5">
        <v>3</v>
      </c>
      <c r="Y2" s="5">
        <v>4</v>
      </c>
      <c r="Z2" s="5">
        <v>5</v>
      </c>
      <c r="AA2" s="5">
        <v>6</v>
      </c>
      <c r="AB2" s="5">
        <v>7</v>
      </c>
      <c r="AC2" s="5">
        <v>8</v>
      </c>
      <c r="AD2" s="5">
        <v>9</v>
      </c>
      <c r="AE2" s="5">
        <v>10</v>
      </c>
      <c r="AF2" s="5">
        <v>11</v>
      </c>
      <c r="AG2" s="5">
        <v>12</v>
      </c>
      <c r="AH2" s="5">
        <v>13</v>
      </c>
      <c r="AI2" s="5">
        <v>14</v>
      </c>
      <c r="AJ2" s="5">
        <v>15</v>
      </c>
      <c r="AK2" s="5">
        <v>16</v>
      </c>
      <c r="AL2" s="22">
        <v>17</v>
      </c>
      <c r="AM2" s="9" t="s">
        <v>13</v>
      </c>
    </row>
    <row r="3" spans="1:40" ht="15">
      <c r="A3" s="12"/>
      <c r="B3" s="17">
        <v>1</v>
      </c>
      <c r="C3" s="35">
        <f>getDistance(coord!C1,coord!D1,coord!$C$1,coord!$D$1)*1000</f>
        <v>0</v>
      </c>
      <c r="D3" s="36">
        <f>getDistance(coord!C1,coord!D1,coord!$C$2,coord!$D$2)*1000</f>
        <v>35.41571747416252</v>
      </c>
      <c r="E3" s="36">
        <f>getDistance(coord!$C1,coord!$D1,coord!$C$3,coord!$D$3)*1000</f>
        <v>75.235308449802986</v>
      </c>
      <c r="F3" s="36">
        <f>getDistance(coord!$C1,coord!$D1,coord!$C$4,coord!$D$4)*1000</f>
        <v>243.12415046854719</v>
      </c>
      <c r="G3" s="36">
        <f>getDistance(coord!$C1,coord!$D1,coord!$C$5,coord!$D$5)*1000</f>
        <v>285.38608101250298</v>
      </c>
      <c r="H3" s="36">
        <f>getDistance(coord!$C1,coord!$D1,coord!$C$6,coord!$D$6)*1000</f>
        <v>289.17855867575389</v>
      </c>
      <c r="I3" s="36">
        <f>getDistance(coord!$C1,coord!$D1,coord!$C$7,coord!$D$7)*1000</f>
        <v>422.239931684601</v>
      </c>
      <c r="J3" s="36">
        <f>getDistance(coord!$C1,coord!$D1,coord!$C$8,coord!$D$8)*1000</f>
        <v>299.18469658294089</v>
      </c>
      <c r="K3" s="36">
        <f>getDistance(coord!$C1,coord!$D1,coord!$C$9,coord!$D$9)*1000</f>
        <v>294.34674965435448</v>
      </c>
      <c r="L3" s="36">
        <f>getDistance(coord!$C1,coord!$D1,coord!$C$10,coord!$D$10)*1000</f>
        <v>243.58872607986009</v>
      </c>
      <c r="M3" s="36">
        <f>getDistance(coord!$C1,coord!$D1,coord!$C$11,coord!$D$11)*1000</f>
        <v>203.00393542072791</v>
      </c>
      <c r="N3" s="36">
        <f>getDistance(coord!$C1,coord!$D1,coord!$C$12,coord!$D$12)*1000</f>
        <v>476.53795812918798</v>
      </c>
      <c r="O3" s="36">
        <f>getDistance(coord!$C1,coord!$D1,coord!$C$13,coord!$D$13)*1000</f>
        <v>166.24766329420825</v>
      </c>
      <c r="P3" s="36">
        <f>getDistance(coord!$C1,coord!$D1,coord!$C$14,coord!$D$14)*1000</f>
        <v>43.627434418712667</v>
      </c>
      <c r="Q3" s="36">
        <f>getDistance(coord!$C1,coord!$D1,coord!$C$15,coord!$D$15)*1000</f>
        <v>235.9205617282789</v>
      </c>
      <c r="R3" s="36">
        <f>getDistance(coord!$C1,coord!$D1,coord!$C$16,coord!$D$16)*1000</f>
        <v>285.48610254472004</v>
      </c>
      <c r="S3" s="37">
        <f>getDistance(coord!$C1,coord!$D1,coord!$C$17,coord!$D$17)*1000</f>
        <v>231.45532036128384</v>
      </c>
      <c r="T3" s="8" t="s">
        <v>14</v>
      </c>
      <c r="U3" s="17">
        <v>8</v>
      </c>
      <c r="V3" s="12">
        <v>5</v>
      </c>
      <c r="W3" s="12">
        <v>5</v>
      </c>
      <c r="X3" s="12">
        <v>10</v>
      </c>
      <c r="Y3" s="12">
        <v>2.5</v>
      </c>
      <c r="Z3" s="12">
        <v>15</v>
      </c>
      <c r="AA3" s="12">
        <v>5</v>
      </c>
      <c r="AB3" s="12">
        <v>5</v>
      </c>
      <c r="AC3" s="12">
        <v>5</v>
      </c>
      <c r="AD3" s="12">
        <v>2.5</v>
      </c>
      <c r="AE3" s="12">
        <v>35</v>
      </c>
      <c r="AF3" s="12">
        <v>2.5</v>
      </c>
      <c r="AG3" s="12">
        <v>2.5</v>
      </c>
      <c r="AH3" s="12">
        <v>2.5</v>
      </c>
      <c r="AI3" s="12">
        <v>5</v>
      </c>
      <c r="AJ3" s="12">
        <v>2.5</v>
      </c>
      <c r="AK3" s="12">
        <v>7.5</v>
      </c>
      <c r="AL3" s="18">
        <v>2.5</v>
      </c>
      <c r="AM3">
        <f>AVERAGE(V3:AL3)</f>
        <v>6.7647058823529411</v>
      </c>
      <c r="AN3">
        <f>AL3/2</f>
        <v>1.25</v>
      </c>
    </row>
    <row r="4" spans="1:40" ht="15">
      <c r="A4" s="12"/>
      <c r="B4" s="17">
        <v>2</v>
      </c>
      <c r="C4" s="38">
        <f>getDistance(coord!C2,coord!D2,coord!$C$1,coord!$D$1)*1000</f>
        <v>35.41571747416252</v>
      </c>
      <c r="D4" s="39">
        <f>getDistance(coord!C2,coord!D2,coord!$C$2,coord!$D$2)*1000</f>
        <v>0</v>
      </c>
      <c r="E4" s="38">
        <f>getDistance(coord!$C2,coord!$D2,coord!$C$3,coord!$D$3)*1000</f>
        <v>44.436335182955069</v>
      </c>
      <c r="F4" s="38">
        <f>getDistance(coord!$C2,coord!$D2,coord!$C$4,coord!$D$4)*1000</f>
        <v>273.1282170184997</v>
      </c>
      <c r="G4" s="38">
        <f>getDistance(coord!$C2,coord!$D2,coord!$C$5,coord!$D$5)*1000</f>
        <v>257.94215654492939</v>
      </c>
      <c r="H4" s="38">
        <f>getDistance(coord!$C2,coord!$D2,coord!$C$6,coord!$D$6)*1000</f>
        <v>268.18432904191525</v>
      </c>
      <c r="I4" s="38">
        <f>getDistance(coord!$C2,coord!$D2,coord!$C$7,coord!$D$7)*1000</f>
        <v>398.14575455830294</v>
      </c>
      <c r="J4" s="38">
        <f>getDistance(coord!$C2,coord!$D2,coord!$C$8,coord!$D$8)*1000</f>
        <v>273.11509923526529</v>
      </c>
      <c r="K4" s="38">
        <f>getDistance(coord!$C2,coord!$D2,coord!$C$9,coord!$D$9)*1000</f>
        <v>263.58393767409399</v>
      </c>
      <c r="L4" s="38">
        <f>getDistance(coord!$C2,coord!$D2,coord!$C$10,coord!$D$10)*1000</f>
        <v>219.53121870866028</v>
      </c>
      <c r="M4" s="38">
        <f>getDistance(coord!$C2,coord!$D2,coord!$C$11,coord!$D$11)*1000</f>
        <v>200.11373184634655</v>
      </c>
      <c r="N4" s="38">
        <f>getDistance(coord!$C2,coord!$D2,coord!$C$12,coord!$D$12)*1000</f>
        <v>456.11462948302585</v>
      </c>
      <c r="O4" s="38">
        <f>getDistance(coord!$C2,coord!$D2,coord!$C$13,coord!$D$13)*1000</f>
        <v>199.21786127021554</v>
      </c>
      <c r="P4" s="38">
        <f>getDistance(coord!$C2,coord!$D2,coord!$C$14,coord!$D$14)*1000</f>
        <v>79.03822260954027</v>
      </c>
      <c r="Q4" s="38">
        <f>getDistance(coord!$C2,coord!$D2,coord!$C$15,coord!$D$15)*1000</f>
        <v>201.14756751767686</v>
      </c>
      <c r="R4" s="38">
        <f>getDistance(coord!$C2,coord!$D2,coord!$C$16,coord!$D$16)*1000</f>
        <v>250.88589035856424</v>
      </c>
      <c r="S4" s="40">
        <f>getDistance(coord!$C2,coord!$D2,coord!$C$17,coord!$D$17)*1000</f>
        <v>196.0671434542468</v>
      </c>
      <c r="T4" s="8" t="s">
        <v>15</v>
      </c>
      <c r="U4" s="17">
        <v>9</v>
      </c>
      <c r="V4" s="12">
        <v>12.5</v>
      </c>
      <c r="W4" s="12">
        <v>5</v>
      </c>
      <c r="X4" s="12">
        <v>10</v>
      </c>
      <c r="Y4" s="12">
        <v>2.5</v>
      </c>
      <c r="Z4" s="12">
        <v>25</v>
      </c>
      <c r="AA4" s="12">
        <v>5</v>
      </c>
      <c r="AB4" s="12">
        <v>5</v>
      </c>
      <c r="AC4" s="12">
        <v>5</v>
      </c>
      <c r="AD4" s="12">
        <v>5</v>
      </c>
      <c r="AE4" s="12">
        <v>40</v>
      </c>
      <c r="AF4" s="12">
        <v>5</v>
      </c>
      <c r="AG4" s="12">
        <v>5</v>
      </c>
      <c r="AH4" s="12">
        <v>5</v>
      </c>
      <c r="AI4" s="12">
        <v>15</v>
      </c>
      <c r="AJ4" s="12">
        <v>7.5</v>
      </c>
      <c r="AK4" s="12">
        <v>10</v>
      </c>
      <c r="AL4" s="18">
        <v>10</v>
      </c>
      <c r="AM4">
        <f t="shared" ref="AM4:AM19" si="0">AVERAGE(V4:AL4)</f>
        <v>10.147058823529411</v>
      </c>
      <c r="AN4">
        <f t="shared" ref="AN4:AN19" si="1">AL4/2</f>
        <v>5</v>
      </c>
    </row>
    <row r="5" spans="1:40" ht="15">
      <c r="A5" s="12"/>
      <c r="B5" s="17">
        <v>3</v>
      </c>
      <c r="C5" s="38">
        <f>getDistance(coord!C3,coord!D3,coord!$C$1,coord!$D$1)*1000</f>
        <v>75.235308449802986</v>
      </c>
      <c r="D5" s="38">
        <f>getDistance(coord!C3,coord!D3,coord!$C$2,coord!$D$2)*1000</f>
        <v>44.436335182955069</v>
      </c>
      <c r="E5" s="39">
        <f>getDistance(coord!$C3,coord!$D3,coord!$C$3,coord!$D$3)*1000</f>
        <v>0</v>
      </c>
      <c r="F5" s="38">
        <f>getDistance(coord!$C3,coord!$D3,coord!$C$4,coord!$D$4)*1000</f>
        <v>291.68873208474383</v>
      </c>
      <c r="G5" s="38">
        <f>getDistance(coord!$C3,coord!$D3,coord!$C$5,coord!$D$5)*1000</f>
        <v>213.54567105456346</v>
      </c>
      <c r="H5" s="38">
        <f>getDistance(coord!$C3,coord!$D3,coord!$C$6,coord!$D$6)*1000</f>
        <v>226.12164826396042</v>
      </c>
      <c r="I5" s="38">
        <f>getDistance(coord!$C3,coord!$D3,coord!$C$7,coord!$D$7)*1000</f>
        <v>354.40223799523591</v>
      </c>
      <c r="J5" s="38">
        <f>getDistance(coord!$C3,coord!$D3,coord!$C$8,coord!$D$8)*1000</f>
        <v>228.93534948956807</v>
      </c>
      <c r="K5" s="38">
        <f>getDistance(coord!$C3,coord!$D3,coord!$C$9,coord!$D$9)*1000</f>
        <v>219.64957303895184</v>
      </c>
      <c r="L5" s="38">
        <f>getDistance(coord!$C3,coord!$D3,coord!$C$10,coord!$D$10)*1000</f>
        <v>176.13361760590169</v>
      </c>
      <c r="M5" s="38">
        <f>getDistance(coord!$C3,coord!$D3,coord!$C$11,coord!$D$11)*1000</f>
        <v>175.53810902631469</v>
      </c>
      <c r="N5" s="38">
        <f>getDistance(coord!$C3,coord!$D3,coord!$C$12,coord!$D$12)*1000</f>
        <v>413.86441663557724</v>
      </c>
      <c r="O5" s="38">
        <f>getDistance(coord!$C3,coord!$D3,coord!$C$13,coord!$D$13)*1000</f>
        <v>225.4098968763337</v>
      </c>
      <c r="P5" s="38">
        <f>getDistance(coord!$C3,coord!$D3,coord!$C$14,coord!$D$14)*1000</f>
        <v>117.05948454950837</v>
      </c>
      <c r="Q5" s="38">
        <f>getDistance(coord!$C3,coord!$D3,coord!$C$15,coord!$D$15)*1000</f>
        <v>163.05880626550467</v>
      </c>
      <c r="R5" s="38">
        <f>getDistance(coord!$C3,coord!$D3,coord!$C$16,coord!$D$16)*1000</f>
        <v>226.64433982944462</v>
      </c>
      <c r="S5" s="40">
        <f>getDistance(coord!$C3,coord!$D3,coord!$C$17,coord!$D$17)*1000</f>
        <v>162.77018054803818</v>
      </c>
      <c r="T5" s="8" t="s">
        <v>16</v>
      </c>
      <c r="U5" s="17">
        <v>10</v>
      </c>
      <c r="V5" s="12">
        <v>17.5</v>
      </c>
      <c r="W5" s="12">
        <v>10</v>
      </c>
      <c r="X5" s="12">
        <v>10</v>
      </c>
      <c r="Y5" s="12">
        <v>5</v>
      </c>
      <c r="Z5" s="12">
        <v>35</v>
      </c>
      <c r="AA5" s="12">
        <v>10</v>
      </c>
      <c r="AB5" s="12">
        <v>10</v>
      </c>
      <c r="AC5" s="12">
        <v>10</v>
      </c>
      <c r="AD5" s="12">
        <v>7.5</v>
      </c>
      <c r="AE5" s="12">
        <v>45</v>
      </c>
      <c r="AF5" s="12">
        <v>7.5</v>
      </c>
      <c r="AG5" s="12">
        <v>7.5</v>
      </c>
      <c r="AH5" s="12">
        <v>7.5</v>
      </c>
      <c r="AI5" s="12">
        <v>25</v>
      </c>
      <c r="AJ5" s="12">
        <v>12.5</v>
      </c>
      <c r="AK5" s="12">
        <v>12.5</v>
      </c>
      <c r="AL5" s="18">
        <v>17.5</v>
      </c>
      <c r="AM5">
        <f t="shared" si="0"/>
        <v>14.705882352941176</v>
      </c>
      <c r="AN5">
        <f t="shared" si="1"/>
        <v>8.75</v>
      </c>
    </row>
    <row r="6" spans="1:40" ht="15">
      <c r="A6" s="12"/>
      <c r="B6" s="17">
        <v>4</v>
      </c>
      <c r="C6" s="38">
        <f>getDistance(coord!C4,coord!D4,coord!$C$1,coord!$D$1)*1000</f>
        <v>243.12415046854719</v>
      </c>
      <c r="D6" s="38">
        <f>getDistance(coord!C4,coord!D4,coord!$C$2,coord!$D$2)*1000</f>
        <v>273.1282170184997</v>
      </c>
      <c r="E6" s="38">
        <f>getDistance(coord!$C4,coord!$D4,coord!$C$3,coord!$D$3)*1000</f>
        <v>291.68873208474383</v>
      </c>
      <c r="F6" s="39">
        <f>getDistance(coord!$C4,coord!$D4,coord!$C$4,coord!$D$4)*1000</f>
        <v>0</v>
      </c>
      <c r="G6" s="38">
        <f>getDistance(coord!$C4,coord!$D4,coord!$C$5,coord!$D$5)*1000</f>
        <v>430.58523917795367</v>
      </c>
      <c r="H6" s="38">
        <f>getDistance(coord!$C4,coord!$D4,coord!$C$6,coord!$D$6)*1000</f>
        <v>393.65678799828754</v>
      </c>
      <c r="I6" s="38">
        <f>getDistance(coord!$C4,coord!$D4,coord!$C$7,coord!$D$7)*1000</f>
        <v>523.92586826058493</v>
      </c>
      <c r="J6" s="38">
        <f>getDistance(coord!$C4,coord!$D4,coord!$C$8,coord!$D$8)*1000</f>
        <v>433.02117322658592</v>
      </c>
      <c r="K6" s="38">
        <f>getDistance(coord!$C4,coord!$D4,coord!$C$9,coord!$D$9)*1000</f>
        <v>460.99990848306379</v>
      </c>
      <c r="L6" s="38">
        <f>getDistance(coord!$C4,coord!$D4,coord!$C$10,coord!$D$10)*1000</f>
        <v>377.39239285121084</v>
      </c>
      <c r="M6" s="38">
        <f>getDistance(coord!$C4,coord!$D4,coord!$C$11,coord!$D$11)*1000</f>
        <v>243.50268764516565</v>
      </c>
      <c r="N6" s="38">
        <f>getDistance(coord!$C4,coord!$D4,coord!$C$12,coord!$D$12)*1000</f>
        <v>545.19424297983869</v>
      </c>
      <c r="O6" s="38">
        <f>getDistance(coord!$C4,coord!$D4,coord!$C$13,coord!$D$13)*1000</f>
        <v>85.530866119049492</v>
      </c>
      <c r="P6" s="38">
        <f>getDistance(coord!$C4,coord!$D4,coord!$C$14,coord!$D$14)*1000</f>
        <v>209.16282830150311</v>
      </c>
      <c r="Q6" s="38">
        <f>getDistance(coord!$C4,coord!$D4,coord!$C$15,coord!$D$15)*1000</f>
        <v>443.65343531531397</v>
      </c>
      <c r="R6" s="38">
        <f>getDistance(coord!$C4,coord!$D4,coord!$C$16,coord!$D$16)*1000</f>
        <v>518.33181927135797</v>
      </c>
      <c r="S6" s="40">
        <f>getDistance(coord!$C4,coord!$D4,coord!$C$17,coord!$D$17)*1000</f>
        <v>450.94909994727891</v>
      </c>
      <c r="T6" s="8" t="s">
        <v>17</v>
      </c>
      <c r="U6" s="17">
        <v>11</v>
      </c>
      <c r="V6" s="12">
        <v>20</v>
      </c>
      <c r="W6" s="12">
        <v>15</v>
      </c>
      <c r="X6" s="12">
        <v>10</v>
      </c>
      <c r="Y6" s="12">
        <v>7.5</v>
      </c>
      <c r="Z6" s="12">
        <v>40</v>
      </c>
      <c r="AA6" s="12">
        <v>15</v>
      </c>
      <c r="AB6" s="12">
        <v>15</v>
      </c>
      <c r="AC6" s="12">
        <v>10</v>
      </c>
      <c r="AD6" s="12">
        <v>10</v>
      </c>
      <c r="AE6" s="12">
        <v>45</v>
      </c>
      <c r="AF6" s="12">
        <v>10</v>
      </c>
      <c r="AG6" s="12">
        <v>10</v>
      </c>
      <c r="AH6" s="12">
        <v>12.5</v>
      </c>
      <c r="AI6" s="12">
        <v>30</v>
      </c>
      <c r="AJ6" s="12">
        <v>15</v>
      </c>
      <c r="AK6" s="12">
        <v>15</v>
      </c>
      <c r="AL6" s="18">
        <v>25</v>
      </c>
      <c r="AM6">
        <f t="shared" si="0"/>
        <v>17.941176470588236</v>
      </c>
      <c r="AN6">
        <f t="shared" si="1"/>
        <v>12.5</v>
      </c>
    </row>
    <row r="7" spans="1:40" ht="15">
      <c r="A7" s="12"/>
      <c r="B7" s="17">
        <v>5</v>
      </c>
      <c r="C7" s="38">
        <f>getDistance(coord!C5,coord!D5,coord!$C$1,coord!$D$1)*1000</f>
        <v>285.38608101250298</v>
      </c>
      <c r="D7" s="38">
        <f>getDistance(coord!C5,coord!D5,coord!$C$2,coord!$D$2)*1000</f>
        <v>257.94215654492939</v>
      </c>
      <c r="E7" s="38">
        <f>getDistance(coord!$C5,coord!$D5,coord!$C$3,coord!$D$3)*1000</f>
        <v>213.54567105456346</v>
      </c>
      <c r="F7" s="38">
        <f>getDistance(coord!$C5,coord!$D5,coord!$C$4,coord!$D$4)*1000</f>
        <v>430.58523917795367</v>
      </c>
      <c r="G7" s="39">
        <f>getDistance(coord!$C5,coord!$D5,coord!$C$5,coord!$D$5)*1000</f>
        <v>0</v>
      </c>
      <c r="H7" s="38">
        <f>getDistance(coord!$C5,coord!$D5,coord!$C$6,coord!$D$6)*1000</f>
        <v>69.455125502039664</v>
      </c>
      <c r="I7" s="38">
        <f>getDistance(coord!$C5,coord!$D5,coord!$C$7,coord!$D$7)*1000</f>
        <v>146.08932876096961</v>
      </c>
      <c r="J7" s="38">
        <f>getDistance(coord!$C5,coord!$D5,coord!$C$8,coord!$D$8)*1000</f>
        <v>21.968778976333269</v>
      </c>
      <c r="K7" s="38">
        <f>getDistance(coord!$C5,coord!$D5,coord!$C$9,coord!$D$9)*1000</f>
        <v>46.120406617537434</v>
      </c>
      <c r="L7" s="38">
        <f>getDistance(coord!$C5,coord!$D5,coord!$C$10,coord!$D$10)*1000</f>
        <v>53.252802281154523</v>
      </c>
      <c r="M7" s="38">
        <f>getDistance(coord!$C5,coord!$D5,coord!$C$11,coord!$D$11)*1000</f>
        <v>196.18586926043142</v>
      </c>
      <c r="N7" s="38">
        <f>getDistance(coord!$C5,coord!$D5,coord!$C$12,coord!$D$12)*1000</f>
        <v>217.34893875517614</v>
      </c>
      <c r="O7" s="38">
        <f>getDistance(coord!$C5,coord!$D5,coord!$C$13,coord!$D$13)*1000</f>
        <v>394.82939421009377</v>
      </c>
      <c r="P7" s="38">
        <f>getDistance(coord!$C5,coord!$D5,coord!$C$14,coord!$D$14)*1000</f>
        <v>321.85836784012554</v>
      </c>
      <c r="Q7" s="38">
        <f>getDistance(coord!$C5,coord!$D5,coord!$C$15,coord!$D$15)*1000</f>
        <v>130.10141514607648</v>
      </c>
      <c r="R7" s="38">
        <f>getDistance(coord!$C5,coord!$D5,coord!$C$16,coord!$D$16)*1000</f>
        <v>234.17453202587953</v>
      </c>
      <c r="S7" s="40">
        <f>getDistance(coord!$C5,coord!$D5,coord!$C$17,coord!$D$17)*1000</f>
        <v>162.97627457082967</v>
      </c>
      <c r="T7" s="8" t="s">
        <v>18</v>
      </c>
      <c r="U7" s="17">
        <v>12</v>
      </c>
      <c r="V7" s="12">
        <v>22.5</v>
      </c>
      <c r="W7" s="12">
        <v>15</v>
      </c>
      <c r="X7" s="12">
        <v>10</v>
      </c>
      <c r="Y7" s="12">
        <v>12.5</v>
      </c>
      <c r="Z7" s="12">
        <v>40</v>
      </c>
      <c r="AA7" s="12">
        <v>24</v>
      </c>
      <c r="AB7" s="12">
        <v>15</v>
      </c>
      <c r="AC7" s="12">
        <v>15</v>
      </c>
      <c r="AD7" s="12">
        <v>12.5</v>
      </c>
      <c r="AE7" s="12">
        <v>45</v>
      </c>
      <c r="AF7" s="12">
        <v>12.5</v>
      </c>
      <c r="AG7" s="12">
        <v>12.5</v>
      </c>
      <c r="AH7" s="12">
        <v>17.5</v>
      </c>
      <c r="AI7" s="12">
        <v>35</v>
      </c>
      <c r="AJ7" s="12">
        <v>15</v>
      </c>
      <c r="AK7" s="12">
        <v>17.5</v>
      </c>
      <c r="AL7" s="18">
        <v>25</v>
      </c>
      <c r="AM7">
        <f t="shared" si="0"/>
        <v>20.382352941176471</v>
      </c>
      <c r="AN7">
        <f t="shared" si="1"/>
        <v>12.5</v>
      </c>
    </row>
    <row r="8" spans="1:40" ht="15">
      <c r="A8" s="12"/>
      <c r="B8" s="17">
        <v>6</v>
      </c>
      <c r="C8" s="38">
        <f>getDistance(coord!C6,coord!D6,coord!$C$1,coord!$D$1)*1000</f>
        <v>289.17855867575389</v>
      </c>
      <c r="D8" s="38">
        <f>getDistance(coord!C6,coord!D6,coord!$C$2,coord!$D$2)*1000</f>
        <v>268.18432904191525</v>
      </c>
      <c r="E8" s="38">
        <f>getDistance(coord!$C6,coord!$D6,coord!$C$3,coord!$D$3)*1000</f>
        <v>226.12164826396042</v>
      </c>
      <c r="F8" s="38">
        <f>getDistance(coord!$C6,coord!$D6,coord!$C$4,coord!$D$4)*1000</f>
        <v>393.65678799828754</v>
      </c>
      <c r="G8" s="38">
        <f>getDistance(coord!$C6,coord!$D6,coord!$C$5,coord!$D$5)*1000</f>
        <v>69.455125502039664</v>
      </c>
      <c r="H8" s="39">
        <f>getDistance(coord!$C6,coord!$D6,coord!$C$6,coord!$D$6)*1000</f>
        <v>0</v>
      </c>
      <c r="I8" s="38">
        <f>getDistance(coord!$C6,coord!$D6,coord!$C$7,coord!$D$7)*1000</f>
        <v>137.10365996034804</v>
      </c>
      <c r="J8" s="38">
        <f>getDistance(coord!$C6,coord!$D6,coord!$C$8,coord!$D$8)*1000</f>
        <v>54.816916820998742</v>
      </c>
      <c r="K8" s="38">
        <f>getDistance(coord!$C6,coord!$D6,coord!$C$9,coord!$D$9)*1000</f>
        <v>115.54084629340073</v>
      </c>
      <c r="L8" s="38">
        <f>getDistance(coord!$C6,coord!$D6,coord!$C$10,coord!$D$10)*1000</f>
        <v>55.11594960765737</v>
      </c>
      <c r="M8" s="38">
        <f>getDistance(coord!$C6,coord!$D6,coord!$C$11,coord!$D$11)*1000</f>
        <v>150.6555634966613</v>
      </c>
      <c r="N8" s="38">
        <f>getDistance(coord!$C6,coord!$D6,coord!$C$12,coord!$D$12)*1000</f>
        <v>187.93059434003794</v>
      </c>
      <c r="O8" s="38">
        <f>getDistance(coord!$C6,coord!$D6,coord!$C$13,coord!$D$13)*1000</f>
        <v>370.49370442246158</v>
      </c>
      <c r="P8" s="38">
        <f>getDistance(coord!$C6,coord!$D6,coord!$C$14,coord!$D$14)*1000</f>
        <v>319.2524065418915</v>
      </c>
      <c r="Q8" s="38">
        <f>getDistance(coord!$C6,coord!$D6,coord!$C$15,coord!$D$15)*1000</f>
        <v>189.22843379725697</v>
      </c>
      <c r="R8" s="38">
        <f>getDistance(coord!$C6,coord!$D6,coord!$C$16,coord!$D$16)*1000</f>
        <v>297.2839405593038</v>
      </c>
      <c r="S8" s="40">
        <f>getDistance(coord!$C6,coord!$D6,coord!$C$17,coord!$D$17)*1000</f>
        <v>220.94920483065883</v>
      </c>
      <c r="T8" s="8" t="s">
        <v>19</v>
      </c>
      <c r="U8" s="17">
        <v>13</v>
      </c>
      <c r="V8" s="10">
        <v>27.5</v>
      </c>
      <c r="W8" s="10">
        <v>20</v>
      </c>
      <c r="X8" s="12">
        <v>10</v>
      </c>
      <c r="Y8" s="12">
        <v>17.5</v>
      </c>
      <c r="Z8" s="12">
        <v>40</v>
      </c>
      <c r="AA8" s="12">
        <v>30</v>
      </c>
      <c r="AB8" s="12">
        <v>20</v>
      </c>
      <c r="AC8" s="12">
        <v>15</v>
      </c>
      <c r="AD8" s="12">
        <v>17.5</v>
      </c>
      <c r="AE8" s="12">
        <v>45</v>
      </c>
      <c r="AF8" s="12">
        <v>15</v>
      </c>
      <c r="AG8" s="12">
        <v>15</v>
      </c>
      <c r="AH8" s="12">
        <v>20</v>
      </c>
      <c r="AI8" s="12">
        <v>35</v>
      </c>
      <c r="AJ8" s="12">
        <v>15</v>
      </c>
      <c r="AK8" s="12">
        <v>22.5</v>
      </c>
      <c r="AL8" s="18">
        <v>25</v>
      </c>
      <c r="AM8">
        <f t="shared" si="0"/>
        <v>22.941176470588236</v>
      </c>
      <c r="AN8">
        <f t="shared" si="1"/>
        <v>12.5</v>
      </c>
    </row>
    <row r="9" spans="1:40" ht="15">
      <c r="A9" s="12"/>
      <c r="B9" s="17">
        <v>7</v>
      </c>
      <c r="C9" s="38">
        <f>getDistance(coord!C7,coord!D7,coord!$C$1,coord!$D$1)*1000</f>
        <v>422.239931684601</v>
      </c>
      <c r="D9" s="38">
        <f>getDistance(coord!C7,coord!D7,coord!$C$2,coord!$D$2)*1000</f>
        <v>398.14575455830294</v>
      </c>
      <c r="E9" s="38">
        <f>getDistance(coord!$C7,coord!$D7,coord!$C$3,coord!$D$3)*1000</f>
        <v>354.40223799523591</v>
      </c>
      <c r="F9" s="38">
        <f>getDistance(coord!$C7,coord!$D7,coord!$C$4,coord!$D$4)*1000</f>
        <v>523.92586826058493</v>
      </c>
      <c r="G9" s="38">
        <f>getDistance(coord!$C7,coord!$D7,coord!$C$5,coord!$D$5)*1000</f>
        <v>146.08932876096961</v>
      </c>
      <c r="H9" s="38">
        <f>getDistance(coord!$C7,coord!$D7,coord!$C$6,coord!$D$6)*1000</f>
        <v>137.10365996034804</v>
      </c>
      <c r="I9" s="39">
        <f>getDistance(coord!$C7,coord!$D7,coord!$C$7,coord!$D$7)*1000</f>
        <v>0</v>
      </c>
      <c r="J9" s="38">
        <f>getDistance(coord!$C7,coord!$D7,coord!$C$8,coord!$D$8)*1000</f>
        <v>127.04302098859857</v>
      </c>
      <c r="K9" s="38">
        <f>getDistance(coord!$C7,coord!$D7,coord!$C$9,coord!$D$9)*1000</f>
        <v>166.51786372548233</v>
      </c>
      <c r="L9" s="38">
        <f>getDistance(coord!$C7,coord!$D7,coord!$C$10,coord!$D$10)*1000</f>
        <v>178.79249083232051</v>
      </c>
      <c r="M9" s="38">
        <f>getDistance(coord!$C7,coord!$D7,coord!$C$11,coord!$D$11)*1000</f>
        <v>281.09763747137629</v>
      </c>
      <c r="N9" s="38">
        <f>getDistance(coord!$C7,coord!$D7,coord!$C$12,coord!$D$12)*1000</f>
        <v>80.985227741250185</v>
      </c>
      <c r="O9" s="38">
        <f>getDistance(coord!$C7,coord!$D7,coord!$C$13,coord!$D$13)*1000</f>
        <v>506.44970871063845</v>
      </c>
      <c r="P9" s="38">
        <f>getDistance(coord!$C7,coord!$D7,coord!$C$14,coord!$D$14)*1000</f>
        <v>454.60608976349624</v>
      </c>
      <c r="Q9" s="38">
        <f>getDistance(coord!$C7,coord!$D7,coord!$C$15,coord!$D$15)*1000</f>
        <v>266.95448741353545</v>
      </c>
      <c r="R9" s="38">
        <f>getDistance(coord!$C7,coord!$D7,coord!$C$16,coord!$D$16)*1000</f>
        <v>357.85686355779404</v>
      </c>
      <c r="S9" s="40">
        <f>getDistance(coord!$C7,coord!$D7,coord!$C$17,coord!$D$17)*1000</f>
        <v>299.2056517337632</v>
      </c>
      <c r="T9" s="8" t="s">
        <v>20</v>
      </c>
      <c r="U9" s="17">
        <v>14</v>
      </c>
      <c r="V9" s="10">
        <v>27.5</v>
      </c>
      <c r="W9" s="10">
        <v>20</v>
      </c>
      <c r="X9" s="12">
        <v>10</v>
      </c>
      <c r="Y9" s="12">
        <v>22.5</v>
      </c>
      <c r="Z9" s="12">
        <v>40</v>
      </c>
      <c r="AA9" s="12">
        <v>30</v>
      </c>
      <c r="AB9" s="12">
        <v>20</v>
      </c>
      <c r="AC9" s="12">
        <v>20</v>
      </c>
      <c r="AD9" s="12">
        <v>22.5</v>
      </c>
      <c r="AE9" s="12">
        <v>45</v>
      </c>
      <c r="AF9" s="12">
        <v>17.5</v>
      </c>
      <c r="AG9" s="12">
        <v>17.5</v>
      </c>
      <c r="AH9" s="12">
        <v>20</v>
      </c>
      <c r="AI9" s="12">
        <v>35</v>
      </c>
      <c r="AJ9" s="12">
        <v>15</v>
      </c>
      <c r="AK9" s="12">
        <v>27.5</v>
      </c>
      <c r="AL9" s="18">
        <v>22.5</v>
      </c>
      <c r="AM9">
        <f t="shared" si="0"/>
        <v>24.264705882352942</v>
      </c>
      <c r="AN9">
        <f t="shared" si="1"/>
        <v>11.25</v>
      </c>
    </row>
    <row r="10" spans="1:40" ht="15">
      <c r="A10" s="12"/>
      <c r="B10" s="17">
        <v>8</v>
      </c>
      <c r="C10" s="38">
        <f>getDistance(coord!C8,coord!D8,coord!$C$1,coord!$D$1)*1000</f>
        <v>299.18469658294089</v>
      </c>
      <c r="D10" s="38">
        <f>getDistance(coord!C8,coord!D8,coord!$C$2,coord!$D$2)*1000</f>
        <v>273.11509923526529</v>
      </c>
      <c r="E10" s="38">
        <f>getDistance(coord!$C8,coord!$D8,coord!$C$3,coord!$D$3)*1000</f>
        <v>228.93534948956807</v>
      </c>
      <c r="F10" s="38">
        <f>getDistance(coord!$C8,coord!$D8,coord!$C$4,coord!$D$4)*1000</f>
        <v>433.02117322658592</v>
      </c>
      <c r="G10" s="38">
        <f>getDistance(coord!$C8,coord!$D8,coord!$C$5,coord!$D$5)*1000</f>
        <v>21.968778976333269</v>
      </c>
      <c r="H10" s="38">
        <f>getDistance(coord!$C8,coord!$D8,coord!$C$6,coord!$D$6)*1000</f>
        <v>54.816916820998742</v>
      </c>
      <c r="I10" s="38">
        <f>getDistance(coord!$C8,coord!$D8,coord!$C$7,coord!$D$7)*1000</f>
        <v>127.04302098859857</v>
      </c>
      <c r="J10" s="39">
        <f>getDistance(coord!$C8,coord!$D8,coord!$C$8,coord!$D$8)*1000</f>
        <v>0</v>
      </c>
      <c r="K10" s="38">
        <f>getDistance(coord!$C8,coord!$D8,coord!$C$9,coord!$D$9)*1000</f>
        <v>63.794208341811625</v>
      </c>
      <c r="L10" s="38">
        <f>getDistance(coord!$C8,coord!$D8,coord!$C$10,coord!$D$10)*1000</f>
        <v>58.440074323805938</v>
      </c>
      <c r="M10" s="38">
        <f>getDistance(coord!$C8,coord!$D8,coord!$C$11,coord!$D$11)*1000</f>
        <v>194.30568622833704</v>
      </c>
      <c r="N10" s="38">
        <f>getDistance(coord!$C8,coord!$D8,coord!$C$12,coord!$D$12)*1000</f>
        <v>196.24129880676139</v>
      </c>
      <c r="O10" s="38">
        <f>getDistance(coord!$C8,coord!$D8,coord!$C$13,coord!$D$13)*1000</f>
        <v>401.34210495569926</v>
      </c>
      <c r="P10" s="38">
        <f>getDistance(coord!$C8,coord!$D8,coord!$C$14,coord!$D$14)*1000</f>
        <v>334.23445421028055</v>
      </c>
      <c r="Q10" s="38">
        <f>getDistance(coord!$C8,coord!$D8,coord!$C$15,coord!$D$15)*1000</f>
        <v>152.05756119461753</v>
      </c>
      <c r="R10" s="38">
        <f>getDistance(coord!$C8,coord!$D8,coord!$C$16,coord!$D$16)*1000</f>
        <v>255.62654057901639</v>
      </c>
      <c r="S10" s="40">
        <f>getDistance(coord!$C8,coord!$D8,coord!$C$17,coord!$D$17)*1000</f>
        <v>184.93928790034644</v>
      </c>
      <c r="T10" s="8" t="s">
        <v>21</v>
      </c>
      <c r="U10" s="17">
        <v>15</v>
      </c>
      <c r="V10" s="10">
        <v>30</v>
      </c>
      <c r="W10" s="10">
        <v>25</v>
      </c>
      <c r="X10" s="12">
        <v>10</v>
      </c>
      <c r="Y10" s="12">
        <v>30</v>
      </c>
      <c r="Z10" s="12">
        <v>40</v>
      </c>
      <c r="AA10" s="12">
        <v>30</v>
      </c>
      <c r="AB10" s="12">
        <v>20</v>
      </c>
      <c r="AC10" s="12">
        <v>20</v>
      </c>
      <c r="AD10" s="12">
        <v>30</v>
      </c>
      <c r="AE10" s="12">
        <v>45</v>
      </c>
      <c r="AF10" s="12">
        <v>20</v>
      </c>
      <c r="AG10" s="12">
        <v>20</v>
      </c>
      <c r="AH10" s="12">
        <v>20</v>
      </c>
      <c r="AI10" s="12">
        <v>35</v>
      </c>
      <c r="AJ10" s="12">
        <v>15</v>
      </c>
      <c r="AK10" s="12">
        <v>32.5</v>
      </c>
      <c r="AL10" s="18">
        <v>22.5</v>
      </c>
      <c r="AM10">
        <f t="shared" si="0"/>
        <v>26.176470588235293</v>
      </c>
      <c r="AN10">
        <f t="shared" si="1"/>
        <v>11.25</v>
      </c>
    </row>
    <row r="11" spans="1:40" ht="15">
      <c r="A11" s="12"/>
      <c r="B11" s="17">
        <v>9</v>
      </c>
      <c r="C11" s="38">
        <f>getDistance(coord!C9,coord!D9,coord!$C$1,coord!$D$1)*1000</f>
        <v>294.34674965435448</v>
      </c>
      <c r="D11" s="38">
        <f>getDistance(coord!C9,coord!D9,coord!$C$2,coord!$D$2)*1000</f>
        <v>263.58393767409399</v>
      </c>
      <c r="E11" s="38">
        <f>getDistance(coord!$C9,coord!$D9,coord!$C$3,coord!$D$3)*1000</f>
        <v>219.64957303895184</v>
      </c>
      <c r="F11" s="38">
        <f>getDistance(coord!$C9,coord!$D9,coord!$C$4,coord!$D$4)*1000</f>
        <v>460.99990848306379</v>
      </c>
      <c r="G11" s="38">
        <f>getDistance(coord!$C9,coord!$D9,coord!$C$5,coord!$D$5)*1000</f>
        <v>46.120406617537434</v>
      </c>
      <c r="H11" s="38">
        <f>getDistance(coord!$C9,coord!$D9,coord!$C$6,coord!$D$6)*1000</f>
        <v>115.54084629340073</v>
      </c>
      <c r="I11" s="38">
        <f>getDistance(coord!$C9,coord!$D9,coord!$C$7,coord!$D$7)*1000</f>
        <v>166.51786372548233</v>
      </c>
      <c r="J11" s="38">
        <f>getDistance(coord!$C9,coord!$D9,coord!$C$8,coord!$D$8)*1000</f>
        <v>63.794208341811625</v>
      </c>
      <c r="K11" s="39">
        <f>getDistance(coord!$C9,coord!$D9,coord!$C$9,coord!$D$9)*1000</f>
        <v>0</v>
      </c>
      <c r="L11" s="38">
        <f>getDistance(coord!$C9,coord!$D9,coord!$C$10,coord!$D$10)*1000</f>
        <v>90.664956666995778</v>
      </c>
      <c r="M11" s="38">
        <f>getDistance(coord!$C9,coord!$D9,coord!$C$11,coord!$D$11)*1000</f>
        <v>234.26543137137054</v>
      </c>
      <c r="N11" s="38">
        <f>getDistance(coord!$C9,coord!$D9,coord!$C$12,coord!$D$12)*1000</f>
        <v>244.21262443256944</v>
      </c>
      <c r="O11" s="38">
        <f>getDistance(coord!$C9,coord!$D9,coord!$C$13,coord!$D$13)*1000</f>
        <v>418.58691675179392</v>
      </c>
      <c r="P11" s="38">
        <f>getDistance(coord!$C9,coord!$D9,coord!$C$14,coord!$D$14)*1000</f>
        <v>333.91043574757589</v>
      </c>
      <c r="Q11" s="38">
        <f>getDistance(coord!$C9,coord!$D9,coord!$C$15,coord!$D$15)*1000</f>
        <v>100.53876287995733</v>
      </c>
      <c r="R11" s="38">
        <f>getDistance(coord!$C9,coord!$D9,coord!$C$16,coord!$D$16)*1000</f>
        <v>196.03012242617947</v>
      </c>
      <c r="S11" s="40">
        <f>getDistance(coord!$C9,coord!$D9,coord!$C$17,coord!$D$17)*1000</f>
        <v>132.68848704068344</v>
      </c>
      <c r="T11" s="8" t="s">
        <v>22</v>
      </c>
      <c r="U11" s="17">
        <v>16</v>
      </c>
      <c r="V11" s="10">
        <v>30</v>
      </c>
      <c r="W11" s="10">
        <v>25</v>
      </c>
      <c r="X11" s="12">
        <v>10</v>
      </c>
      <c r="Y11" s="12">
        <v>30</v>
      </c>
      <c r="Z11" s="12">
        <v>40</v>
      </c>
      <c r="AA11" s="12">
        <v>30</v>
      </c>
      <c r="AB11" s="12">
        <v>20</v>
      </c>
      <c r="AC11" s="12">
        <v>20</v>
      </c>
      <c r="AD11" s="12">
        <v>30</v>
      </c>
      <c r="AE11" s="12">
        <v>45</v>
      </c>
      <c r="AF11" s="12">
        <v>20</v>
      </c>
      <c r="AG11" s="12">
        <v>20</v>
      </c>
      <c r="AH11" s="12">
        <v>20</v>
      </c>
      <c r="AI11" s="12">
        <v>35</v>
      </c>
      <c r="AJ11" s="12">
        <v>15</v>
      </c>
      <c r="AK11" s="12">
        <v>37.5</v>
      </c>
      <c r="AL11" s="18">
        <v>20</v>
      </c>
      <c r="AM11">
        <f t="shared" si="0"/>
        <v>26.323529411764707</v>
      </c>
      <c r="AN11">
        <f t="shared" si="1"/>
        <v>10</v>
      </c>
    </row>
    <row r="12" spans="1:40" ht="15">
      <c r="A12" s="12"/>
      <c r="B12" s="17">
        <v>10</v>
      </c>
      <c r="C12" s="38">
        <f>getDistance(coord!C10,coord!D10,coord!$C$1,coord!$D$1)*1000</f>
        <v>243.58872607986009</v>
      </c>
      <c r="D12" s="38">
        <f>getDistance(coord!C10,coord!D10,coord!$C$2,coord!$D$2)*1000</f>
        <v>219.53121870866028</v>
      </c>
      <c r="E12" s="38">
        <f>getDistance(coord!$C10,coord!$D10,coord!$C$3,coord!$D$3)*1000</f>
        <v>176.13361760590169</v>
      </c>
      <c r="F12" s="38">
        <f>getDistance(coord!$C10,coord!$D10,coord!$C$4,coord!$D$4)*1000</f>
        <v>377.39239285121084</v>
      </c>
      <c r="G12" s="38">
        <f>getDistance(coord!$C10,coord!$D10,coord!$C$5,coord!$D$5)*1000</f>
        <v>53.252802281154523</v>
      </c>
      <c r="H12" s="38">
        <f>getDistance(coord!$C10,coord!$D10,coord!$C$6,coord!$D$6)*1000</f>
        <v>55.11594960765737</v>
      </c>
      <c r="I12" s="38">
        <f>getDistance(coord!$C10,coord!$D10,coord!$C$7,coord!$D$7)*1000</f>
        <v>178.79249083232051</v>
      </c>
      <c r="J12" s="38">
        <f>getDistance(coord!$C10,coord!$D10,coord!$C$8,coord!$D$8)*1000</f>
        <v>58.440074323805938</v>
      </c>
      <c r="K12" s="38">
        <f>getDistance(coord!$C10,coord!$D10,coord!$C$9,coord!$D$9)*1000</f>
        <v>90.664956666995778</v>
      </c>
      <c r="L12" s="39">
        <f>getDistance(coord!$C10,coord!$D10,coord!$C$10,coord!$D$10)*1000</f>
        <v>0</v>
      </c>
      <c r="M12" s="38">
        <f>getDistance(coord!$C10,coord!$D10,coord!$C$11,coord!$D$11)*1000</f>
        <v>144.14840241197871</v>
      </c>
      <c r="N12" s="38">
        <f>getDistance(coord!$C10,coord!$D10,coord!$C$12,coord!$D$12)*1000</f>
        <v>238.93956076898075</v>
      </c>
      <c r="O12" s="38">
        <f>getDistance(coord!$C10,coord!$D10,coord!$C$13,coord!$D$13)*1000</f>
        <v>343.23800472175242</v>
      </c>
      <c r="P12" s="38">
        <f>getDistance(coord!$C10,coord!$D10,coord!$C$14,coord!$D$14)*1000</f>
        <v>277.19471876766289</v>
      </c>
      <c r="Q12" s="38">
        <f>getDistance(coord!$C10,coord!$D10,coord!$C$15,coord!$D$15)*1000</f>
        <v>140.34652822183338</v>
      </c>
      <c r="R12" s="38">
        <f>getDistance(coord!$C10,coord!$D10,coord!$C$16,coord!$D$16)*1000</f>
        <v>249.56439084237218</v>
      </c>
      <c r="S12" s="40">
        <f>getDistance(coord!$C10,coord!$D10,coord!$C$17,coord!$D$17)*1000</f>
        <v>170.59544177993732</v>
      </c>
      <c r="T12" s="8" t="s">
        <v>23</v>
      </c>
      <c r="U12" s="17">
        <v>17</v>
      </c>
      <c r="V12" s="10">
        <v>30</v>
      </c>
      <c r="W12" s="10">
        <v>25</v>
      </c>
      <c r="X12" s="12">
        <v>10</v>
      </c>
      <c r="Y12" s="12">
        <v>30</v>
      </c>
      <c r="Z12" s="12">
        <v>40</v>
      </c>
      <c r="AA12" s="12">
        <v>30</v>
      </c>
      <c r="AB12" s="12">
        <v>20</v>
      </c>
      <c r="AC12" s="12">
        <v>20</v>
      </c>
      <c r="AD12" s="12">
        <v>30</v>
      </c>
      <c r="AE12" s="12">
        <v>40</v>
      </c>
      <c r="AF12" s="12">
        <v>20</v>
      </c>
      <c r="AG12" s="12">
        <v>20</v>
      </c>
      <c r="AH12" s="12">
        <v>17.5</v>
      </c>
      <c r="AI12" s="12">
        <v>30</v>
      </c>
      <c r="AJ12" s="12">
        <v>15</v>
      </c>
      <c r="AK12" s="12">
        <v>40</v>
      </c>
      <c r="AL12" s="18">
        <v>20</v>
      </c>
      <c r="AM12">
        <f t="shared" si="0"/>
        <v>25.735294117647058</v>
      </c>
      <c r="AN12">
        <f t="shared" si="1"/>
        <v>10</v>
      </c>
    </row>
    <row r="13" spans="1:40" ht="15">
      <c r="A13" s="12"/>
      <c r="B13" s="17">
        <v>11</v>
      </c>
      <c r="C13" s="38">
        <f>getDistance(coord!C11,coord!D11,coord!$C$1,coord!$D$1)*1000</f>
        <v>203.00393542072791</v>
      </c>
      <c r="D13" s="38">
        <f>getDistance(coord!C11,coord!D11,coord!$C$2,coord!$D$2)*1000</f>
        <v>200.11373184634655</v>
      </c>
      <c r="E13" s="38">
        <f>getDistance(coord!$C11,coord!$D11,coord!$C$3,coord!$D$3)*1000</f>
        <v>175.53810902631469</v>
      </c>
      <c r="F13" s="38">
        <f>getDistance(coord!$C11,coord!$D11,coord!$C$4,coord!$D$4)*1000</f>
        <v>243.50268764516565</v>
      </c>
      <c r="G13" s="38">
        <f>getDistance(coord!$C11,coord!$D11,coord!$C$5,coord!$D$5)*1000</f>
        <v>196.18586926043142</v>
      </c>
      <c r="H13" s="38">
        <f>getDistance(coord!$C11,coord!$D11,coord!$C$6,coord!$D$6)*1000</f>
        <v>150.6555634966613</v>
      </c>
      <c r="I13" s="38">
        <f>getDistance(coord!$C11,coord!$D11,coord!$C$7,coord!$D$7)*1000</f>
        <v>281.09763747137629</v>
      </c>
      <c r="J13" s="38">
        <f>getDistance(coord!$C11,coord!$D11,coord!$C$8,coord!$D$8)*1000</f>
        <v>194.30568622833704</v>
      </c>
      <c r="K13" s="38">
        <f>getDistance(coord!$C11,coord!$D11,coord!$C$9,coord!$D$9)*1000</f>
        <v>234.26543137137054</v>
      </c>
      <c r="L13" s="38">
        <f>getDistance(coord!$C11,coord!$D11,coord!$C$10,coord!$D$10)*1000</f>
        <v>144.14840241197871</v>
      </c>
      <c r="M13" s="39">
        <f>getDistance(coord!$C11,coord!$D11,coord!$C$11,coord!$D$11)*1000</f>
        <v>0</v>
      </c>
      <c r="N13" s="38">
        <f>getDistance(coord!$C11,coord!$D11,coord!$C$12,coord!$D$12)*1000</f>
        <v>310.40995171196965</v>
      </c>
      <c r="O13" s="38">
        <f>getDistance(coord!$C11,coord!$D11,coord!$C$13,coord!$D$13)*1000</f>
        <v>229.52406256746684</v>
      </c>
      <c r="P13" s="38">
        <f>getDistance(coord!$C11,coord!$D11,coord!$C$14,coord!$D$14)*1000</f>
        <v>215.60524896378325</v>
      </c>
      <c r="Q13" s="38">
        <f>getDistance(coord!$C11,coord!$D11,coord!$C$15,coord!$D$15)*1000</f>
        <v>253.90774206554252</v>
      </c>
      <c r="R13" s="38">
        <f>getDistance(coord!$C11,coord!$D11,coord!$C$16,coord!$D$16)*1000</f>
        <v>355.60542381889445</v>
      </c>
      <c r="S13" s="40">
        <f>getDistance(coord!$C11,coord!$D11,coord!$C$17,coord!$D$17)*1000</f>
        <v>274.98992588644165</v>
      </c>
      <c r="T13" s="8" t="s">
        <v>24</v>
      </c>
      <c r="U13" s="17">
        <v>18</v>
      </c>
      <c r="V13" s="10">
        <v>30</v>
      </c>
      <c r="W13" s="10">
        <v>25</v>
      </c>
      <c r="X13" s="12">
        <v>10</v>
      </c>
      <c r="Y13" s="12">
        <v>30</v>
      </c>
      <c r="Z13" s="12">
        <v>40</v>
      </c>
      <c r="AA13" s="12">
        <v>30</v>
      </c>
      <c r="AB13" s="12">
        <v>15</v>
      </c>
      <c r="AC13" s="12">
        <v>20</v>
      </c>
      <c r="AD13" s="12">
        <v>30</v>
      </c>
      <c r="AE13" s="12">
        <v>40</v>
      </c>
      <c r="AF13" s="12">
        <v>17.5</v>
      </c>
      <c r="AG13" s="12">
        <v>20</v>
      </c>
      <c r="AH13" s="12">
        <v>15</v>
      </c>
      <c r="AI13" s="12">
        <v>25</v>
      </c>
      <c r="AJ13" s="12">
        <v>12.5</v>
      </c>
      <c r="AK13" s="12">
        <v>40</v>
      </c>
      <c r="AL13" s="18">
        <v>17.5</v>
      </c>
      <c r="AM13">
        <f t="shared" si="0"/>
        <v>24.558823529411764</v>
      </c>
      <c r="AN13">
        <f t="shared" si="1"/>
        <v>8.75</v>
      </c>
    </row>
    <row r="14" spans="1:40" ht="15">
      <c r="A14" s="12"/>
      <c r="B14" s="17">
        <v>12</v>
      </c>
      <c r="C14" s="38">
        <f>getDistance(coord!C12,coord!D12,coord!$C$1,coord!$D$1)*1000</f>
        <v>476.53795812918798</v>
      </c>
      <c r="D14" s="38">
        <f>getDistance(coord!C12,coord!D12,coord!$C$2,coord!$D$2)*1000</f>
        <v>456.11462948302585</v>
      </c>
      <c r="E14" s="38">
        <f>getDistance(coord!$C12,coord!$D12,coord!$C$3,coord!$D$3)*1000</f>
        <v>413.86441663557724</v>
      </c>
      <c r="F14" s="38">
        <f>getDistance(coord!$C12,coord!$D12,coord!$C$4,coord!$D$4)*1000</f>
        <v>545.19424297983869</v>
      </c>
      <c r="G14" s="38">
        <f>getDistance(coord!$C12,coord!$D12,coord!$C$5,coord!$D$5)*1000</f>
        <v>217.34893875517614</v>
      </c>
      <c r="H14" s="38">
        <f>getDistance(coord!$C12,coord!$D12,coord!$C$6,coord!$D$6)*1000</f>
        <v>187.93059434003794</v>
      </c>
      <c r="I14" s="38">
        <f>getDistance(coord!$C12,coord!$D12,coord!$C$7,coord!$D$7)*1000</f>
        <v>80.985227741250185</v>
      </c>
      <c r="J14" s="38">
        <f>getDistance(coord!$C12,coord!$D12,coord!$C$8,coord!$D$8)*1000</f>
        <v>196.24129880676139</v>
      </c>
      <c r="K14" s="38">
        <f>getDistance(coord!$C12,coord!$D12,coord!$C$9,coord!$D$9)*1000</f>
        <v>244.21262443256944</v>
      </c>
      <c r="L14" s="38">
        <f>getDistance(coord!$C12,coord!$D12,coord!$C$10,coord!$D$10)*1000</f>
        <v>238.93956076898075</v>
      </c>
      <c r="M14" s="38">
        <f>getDistance(coord!$C12,coord!$D12,coord!$C$11,coord!$D$11)*1000</f>
        <v>310.40995171196965</v>
      </c>
      <c r="N14" s="39">
        <f>getDistance(coord!$C12,coord!$D12,coord!$C$12,coord!$D$12)*1000</f>
        <v>0</v>
      </c>
      <c r="O14" s="38">
        <f>getDistance(coord!$C12,coord!$D12,coord!$C$13,coord!$D$13)*1000</f>
        <v>539.93396275766452</v>
      </c>
      <c r="P14" s="38">
        <f>getDistance(coord!$C12,coord!$D12,coord!$C$14,coord!$D$14)*1000</f>
        <v>504.71867173682426</v>
      </c>
      <c r="Q14" s="38">
        <f>getDistance(coord!$C12,coord!$D12,coord!$C$15,coord!$D$15)*1000</f>
        <v>343.71766130424044</v>
      </c>
      <c r="R14" s="38">
        <f>getDistance(coord!$C12,coord!$D12,coord!$C$16,coord!$D$16)*1000</f>
        <v>437.85195352068683</v>
      </c>
      <c r="S14" s="40">
        <f>getDistance(coord!$C12,coord!$D12,coord!$C$17,coord!$D$17)*1000</f>
        <v>376.39033374729303</v>
      </c>
      <c r="T14" s="8" t="s">
        <v>25</v>
      </c>
      <c r="U14" s="17">
        <v>19</v>
      </c>
      <c r="V14" s="10">
        <v>30</v>
      </c>
      <c r="W14" s="10">
        <v>25</v>
      </c>
      <c r="X14" s="12">
        <v>10</v>
      </c>
      <c r="Y14" s="12">
        <v>25</v>
      </c>
      <c r="Z14" s="12">
        <v>40</v>
      </c>
      <c r="AA14" s="12">
        <v>30</v>
      </c>
      <c r="AB14" s="12">
        <v>15</v>
      </c>
      <c r="AC14" s="12">
        <v>20</v>
      </c>
      <c r="AD14" s="12">
        <v>30</v>
      </c>
      <c r="AE14" s="12">
        <v>45</v>
      </c>
      <c r="AF14" s="12">
        <v>15</v>
      </c>
      <c r="AG14" s="12">
        <v>17.5</v>
      </c>
      <c r="AH14" s="12">
        <v>12.5</v>
      </c>
      <c r="AI14" s="12">
        <v>20</v>
      </c>
      <c r="AJ14" s="12">
        <v>10</v>
      </c>
      <c r="AK14" s="12">
        <v>35</v>
      </c>
      <c r="AL14" s="18">
        <v>15</v>
      </c>
      <c r="AM14">
        <f t="shared" si="0"/>
        <v>23.235294117647058</v>
      </c>
      <c r="AN14">
        <f t="shared" si="1"/>
        <v>7.5</v>
      </c>
    </row>
    <row r="15" spans="1:40" ht="15">
      <c r="A15" s="12"/>
      <c r="B15" s="17">
        <v>13</v>
      </c>
      <c r="C15" s="38">
        <f>getDistance(coord!C13,coord!D13,coord!$C$1,coord!$D$1)*1000</f>
        <v>166.24766329420825</v>
      </c>
      <c r="D15" s="38">
        <f>getDistance(coord!C13,coord!D13,coord!$C$2,coord!$D$2)*1000</f>
        <v>199.21786127021554</v>
      </c>
      <c r="E15" s="38">
        <f>getDistance(coord!$C13,coord!$D13,coord!$C$3,coord!$D$3)*1000</f>
        <v>225.4098968763337</v>
      </c>
      <c r="F15" s="38">
        <f>getDistance(coord!$C13,coord!$D13,coord!$C$4,coord!$D$4)*1000</f>
        <v>85.530866119049492</v>
      </c>
      <c r="G15" s="38">
        <f>getDistance(coord!$C13,coord!$D13,coord!$C$5,coord!$D$5)*1000</f>
        <v>394.82939421009377</v>
      </c>
      <c r="H15" s="38">
        <f>getDistance(coord!$C13,coord!$D13,coord!$C$6,coord!$D$6)*1000</f>
        <v>370.49370442246158</v>
      </c>
      <c r="I15" s="38">
        <f>getDistance(coord!$C13,coord!$D13,coord!$C$7,coord!$D$7)*1000</f>
        <v>506.44970871063845</v>
      </c>
      <c r="J15" s="38">
        <f>getDistance(coord!$C13,coord!$D13,coord!$C$8,coord!$D$8)*1000</f>
        <v>401.34210495569926</v>
      </c>
      <c r="K15" s="38">
        <f>getDistance(coord!$C13,coord!$D13,coord!$C$9,coord!$D$9)*1000</f>
        <v>418.58691675179392</v>
      </c>
      <c r="L15" s="38">
        <f>getDistance(coord!$C13,coord!$D13,coord!$C$10,coord!$D$10)*1000</f>
        <v>343.23800472175242</v>
      </c>
      <c r="M15" s="38">
        <f>getDistance(coord!$C13,coord!$D13,coord!$C$11,coord!$D$11)*1000</f>
        <v>229.52406256746684</v>
      </c>
      <c r="N15" s="38">
        <f>getDistance(coord!$C13,coord!$D13,coord!$C$12,coord!$D$12)*1000</f>
        <v>539.93396275766452</v>
      </c>
      <c r="O15" s="39">
        <f>getDistance(coord!$C13,coord!$D13,coord!$C$13,coord!$D$13)*1000</f>
        <v>0</v>
      </c>
      <c r="P15" s="38">
        <f>getDistance(coord!$C13,coord!$D13,coord!$C$14,coord!$D$14)*1000</f>
        <v>127.9721607205676</v>
      </c>
      <c r="Q15" s="38">
        <f>getDistance(coord!$C13,coord!$D13,coord!$C$15,coord!$D$15)*1000</f>
        <v>385.50102343587747</v>
      </c>
      <c r="R15" s="38">
        <f>getDistance(coord!$C13,coord!$D13,coord!$C$16,coord!$D$16)*1000</f>
        <v>449.4287392065018</v>
      </c>
      <c r="S15" s="40">
        <f>getDistance(coord!$C13,coord!$D13,coord!$C$17,coord!$D$17)*1000</f>
        <v>388.07023356065002</v>
      </c>
      <c r="T15" s="8" t="s">
        <v>26</v>
      </c>
      <c r="U15" s="17">
        <v>20</v>
      </c>
      <c r="V15" s="10">
        <v>22.5</v>
      </c>
      <c r="W15" s="10">
        <v>15</v>
      </c>
      <c r="X15" s="12">
        <v>10</v>
      </c>
      <c r="Y15" s="12">
        <v>17.5</v>
      </c>
      <c r="Z15" s="12">
        <v>35</v>
      </c>
      <c r="AA15" s="12">
        <v>30</v>
      </c>
      <c r="AB15" s="12">
        <v>10</v>
      </c>
      <c r="AC15" s="12">
        <v>45</v>
      </c>
      <c r="AD15" s="12">
        <v>22.5</v>
      </c>
      <c r="AE15" s="12">
        <v>45</v>
      </c>
      <c r="AF15" s="12">
        <v>12.5</v>
      </c>
      <c r="AG15" s="12">
        <v>15</v>
      </c>
      <c r="AH15" s="12">
        <v>10</v>
      </c>
      <c r="AI15" s="12">
        <v>15</v>
      </c>
      <c r="AJ15" s="12">
        <v>10</v>
      </c>
      <c r="AK15" s="12">
        <v>32.5</v>
      </c>
      <c r="AL15" s="18">
        <v>12.5</v>
      </c>
      <c r="AM15">
        <f t="shared" si="0"/>
        <v>21.176470588235293</v>
      </c>
      <c r="AN15">
        <f t="shared" si="1"/>
        <v>6.25</v>
      </c>
    </row>
    <row r="16" spans="1:40" ht="15">
      <c r="A16" s="12"/>
      <c r="B16" s="17">
        <v>14</v>
      </c>
      <c r="C16" s="38">
        <f>getDistance(coord!C14,coord!D14,coord!$C$1,coord!$D$1)*1000</f>
        <v>43.627434418712667</v>
      </c>
      <c r="D16" s="38">
        <f>getDistance(coord!C14,coord!D14,coord!$C$2,coord!$D$2)*1000</f>
        <v>79.03822260954027</v>
      </c>
      <c r="E16" s="38">
        <f>getDistance(coord!$C14,coord!$D14,coord!$C$3,coord!$D$3)*1000</f>
        <v>117.05948454950837</v>
      </c>
      <c r="F16" s="38">
        <f>getDistance(coord!$C14,coord!$D14,coord!$C$4,coord!$D$4)*1000</f>
        <v>209.16282830150311</v>
      </c>
      <c r="G16" s="38">
        <f>getDistance(coord!$C14,coord!$D14,coord!$C$5,coord!$D$5)*1000</f>
        <v>321.85836784012554</v>
      </c>
      <c r="H16" s="38">
        <f>getDistance(coord!$C14,coord!$D14,coord!$C$6,coord!$D$6)*1000</f>
        <v>319.2524065418915</v>
      </c>
      <c r="I16" s="38">
        <f>getDistance(coord!$C14,coord!$D14,coord!$C$7,coord!$D$7)*1000</f>
        <v>454.60608976349624</v>
      </c>
      <c r="J16" s="38">
        <f>getDistance(coord!$C14,coord!$D14,coord!$C$8,coord!$D$8)*1000</f>
        <v>334.23445421028055</v>
      </c>
      <c r="K16" s="38">
        <f>getDistance(coord!$C14,coord!$D14,coord!$C$9,coord!$D$9)*1000</f>
        <v>333.91043574757589</v>
      </c>
      <c r="L16" s="38">
        <f>getDistance(coord!$C14,coord!$D14,coord!$C$10,coord!$D$10)*1000</f>
        <v>277.19471876766289</v>
      </c>
      <c r="M16" s="38">
        <f>getDistance(coord!$C14,coord!$D14,coord!$C$11,coord!$D$11)*1000</f>
        <v>215.60524896378325</v>
      </c>
      <c r="N16" s="38">
        <f>getDistance(coord!$C14,coord!$D14,coord!$C$12,coord!$D$12)*1000</f>
        <v>504.71867173682426</v>
      </c>
      <c r="O16" s="38">
        <f>getDistance(coord!$C14,coord!$D14,coord!$C$13,coord!$D$13)*1000</f>
        <v>127.9721607205676</v>
      </c>
      <c r="P16" s="39">
        <f>getDistance(coord!$C14,coord!$D14,coord!$C$14,coord!$D$14)*1000</f>
        <v>0</v>
      </c>
      <c r="Q16" s="38">
        <f>getDistance(coord!$C14,coord!$D14,coord!$C$15,coord!$D$15)*1000</f>
        <v>279.11449624635367</v>
      </c>
      <c r="R16" s="38">
        <f>getDistance(coord!$C14,coord!$D14,coord!$C$16,coord!$D$16)*1000</f>
        <v>328.16830545471561</v>
      </c>
      <c r="S16" s="40">
        <f>getDistance(coord!$C14,coord!$D14,coord!$C$17,coord!$D$17)*1000</f>
        <v>275.07923904373905</v>
      </c>
      <c r="T16" s="8" t="s">
        <v>27</v>
      </c>
      <c r="U16" s="17">
        <v>21</v>
      </c>
      <c r="V16" s="10">
        <v>20</v>
      </c>
      <c r="W16" s="10">
        <v>10</v>
      </c>
      <c r="X16" s="12">
        <v>10</v>
      </c>
      <c r="Y16" s="12">
        <v>12.5</v>
      </c>
      <c r="Z16" s="12">
        <v>30</v>
      </c>
      <c r="AA16" s="12">
        <v>25</v>
      </c>
      <c r="AB16" s="12">
        <v>10</v>
      </c>
      <c r="AC16" s="12">
        <v>15</v>
      </c>
      <c r="AD16" s="12">
        <v>17.5</v>
      </c>
      <c r="AE16" s="12">
        <v>40</v>
      </c>
      <c r="AF16" s="12">
        <v>10</v>
      </c>
      <c r="AG16" s="12">
        <v>12.5</v>
      </c>
      <c r="AH16" s="12">
        <v>7.5</v>
      </c>
      <c r="AI16" s="12">
        <v>10</v>
      </c>
      <c r="AJ16" s="12">
        <v>7.5</v>
      </c>
      <c r="AK16" s="12">
        <v>30</v>
      </c>
      <c r="AL16" s="18">
        <v>10</v>
      </c>
      <c r="AM16">
        <f t="shared" si="0"/>
        <v>16.323529411764707</v>
      </c>
      <c r="AN16">
        <f t="shared" si="1"/>
        <v>5</v>
      </c>
    </row>
    <row r="17" spans="1:40" ht="15">
      <c r="A17" s="12"/>
      <c r="B17" s="17">
        <v>15</v>
      </c>
      <c r="C17" s="38">
        <f>getDistance(coord!C15,coord!D15,coord!$C$1,coord!$D$1)*1000</f>
        <v>235.9205617282789</v>
      </c>
      <c r="D17" s="38">
        <f>getDistance(coord!C15,coord!D15,coord!$C$2,coord!$D$2)*1000</f>
        <v>201.14756751767686</v>
      </c>
      <c r="E17" s="38">
        <f>getDistance(coord!$C15,coord!$D15,coord!$C$3,coord!$D$3)*1000</f>
        <v>163.05880626550467</v>
      </c>
      <c r="F17" s="38">
        <f>getDistance(coord!$C15,coord!$D15,coord!$C$4,coord!$D$4)*1000</f>
        <v>443.65343531531397</v>
      </c>
      <c r="G17" s="38">
        <f>getDistance(coord!$C15,coord!$D15,coord!$C$5,coord!$D$5)*1000</f>
        <v>130.10141514607648</v>
      </c>
      <c r="H17" s="38">
        <f>getDistance(coord!$C15,coord!$D15,coord!$C$6,coord!$D$6)*1000</f>
        <v>189.22843379725697</v>
      </c>
      <c r="I17" s="38">
        <f>getDistance(coord!$C15,coord!$D15,coord!$C$7,coord!$D$7)*1000</f>
        <v>266.95448741353545</v>
      </c>
      <c r="J17" s="38">
        <f>getDistance(coord!$C15,coord!$D15,coord!$C$8,coord!$D$8)*1000</f>
        <v>152.05756119461753</v>
      </c>
      <c r="K17" s="38">
        <f>getDistance(coord!$C15,coord!$D15,coord!$C$9,coord!$D$9)*1000</f>
        <v>100.53876287995733</v>
      </c>
      <c r="L17" s="38">
        <f>getDistance(coord!$C15,coord!$D15,coord!$C$10,coord!$D$10)*1000</f>
        <v>140.34652822183338</v>
      </c>
      <c r="M17" s="38">
        <f>getDistance(coord!$C15,coord!$D15,coord!$C$11,coord!$D$11)*1000</f>
        <v>253.90774206554252</v>
      </c>
      <c r="N17" s="38">
        <f>getDistance(coord!$C15,coord!$D15,coord!$C$12,coord!$D$12)*1000</f>
        <v>343.71766130424044</v>
      </c>
      <c r="O17" s="38">
        <f>getDistance(coord!$C15,coord!$D15,coord!$C$13,coord!$D$13)*1000</f>
        <v>385.50102343587747</v>
      </c>
      <c r="P17" s="38">
        <f>getDistance(coord!$C15,coord!$D15,coord!$C$14,coord!$D$14)*1000</f>
        <v>279.11449624635367</v>
      </c>
      <c r="Q17" s="39">
        <f>getDistance(coord!$C15,coord!$D15,coord!$C$15,coord!$D$15)*1000</f>
        <v>0</v>
      </c>
      <c r="R17" s="38">
        <f>getDistance(coord!$C15,coord!$D15,coord!$C$16,coord!$D$16)*1000</f>
        <v>109.24350736136221</v>
      </c>
      <c r="S17" s="40">
        <f>getDistance(coord!$C15,coord!$D15,coord!$C$17,coord!$D$17)*1000</f>
        <v>32.923290655312897</v>
      </c>
      <c r="T17" s="8" t="s">
        <v>28</v>
      </c>
      <c r="U17" s="17">
        <v>22</v>
      </c>
      <c r="V17" s="10">
        <v>17.5</v>
      </c>
      <c r="W17" s="10">
        <v>5</v>
      </c>
      <c r="X17" s="12">
        <v>10</v>
      </c>
      <c r="Y17" s="12">
        <v>7.5</v>
      </c>
      <c r="Z17" s="12">
        <v>30</v>
      </c>
      <c r="AA17" s="12">
        <v>25</v>
      </c>
      <c r="AB17" s="12">
        <v>10</v>
      </c>
      <c r="AC17" s="12">
        <v>15</v>
      </c>
      <c r="AD17" s="12">
        <v>15</v>
      </c>
      <c r="AE17" s="12">
        <v>40</v>
      </c>
      <c r="AF17" s="12">
        <v>7.5</v>
      </c>
      <c r="AG17" s="12">
        <v>10</v>
      </c>
      <c r="AH17" s="12">
        <v>7.5</v>
      </c>
      <c r="AI17" s="12">
        <v>10</v>
      </c>
      <c r="AJ17" s="12">
        <v>7.5</v>
      </c>
      <c r="AK17" s="12">
        <v>17.5</v>
      </c>
      <c r="AL17" s="18">
        <v>10</v>
      </c>
      <c r="AM17">
        <f t="shared" si="0"/>
        <v>14.411764705882353</v>
      </c>
      <c r="AN17">
        <f t="shared" si="1"/>
        <v>5</v>
      </c>
    </row>
    <row r="18" spans="1:40" ht="15">
      <c r="A18" s="10"/>
      <c r="B18" s="17">
        <v>16</v>
      </c>
      <c r="C18" s="38">
        <f>getDistance(coord!C16,coord!D16,coord!$C$1,coord!$D$1)*1000</f>
        <v>285.48610254472004</v>
      </c>
      <c r="D18" s="38">
        <f>getDistance(coord!C16,coord!D16,coord!$C$2,coord!$D$2)*1000</f>
        <v>250.88589035856424</v>
      </c>
      <c r="E18" s="38">
        <f>getDistance(coord!$C16,coord!$D16,coord!$C$3,coord!$D$3)*1000</f>
        <v>226.64433982944462</v>
      </c>
      <c r="F18" s="38">
        <f>getDistance(coord!$C16,coord!$D16,coord!$C$4,coord!$D$4)*1000</f>
        <v>518.33181927135797</v>
      </c>
      <c r="G18" s="38">
        <f>getDistance(coord!$C16,coord!$D16,coord!$C$5,coord!$D$5)*1000</f>
        <v>234.17453202587953</v>
      </c>
      <c r="H18" s="38">
        <f>getDistance(coord!$C16,coord!$D16,coord!$C$6,coord!$D$6)*1000</f>
        <v>297.2839405593038</v>
      </c>
      <c r="I18" s="38">
        <f>getDistance(coord!$C16,coord!$D16,coord!$C$7,coord!$D$7)*1000</f>
        <v>357.85686355779404</v>
      </c>
      <c r="J18" s="38">
        <f>getDistance(coord!$C16,coord!$D16,coord!$C$8,coord!$D$8)*1000</f>
        <v>255.62654057901639</v>
      </c>
      <c r="K18" s="38">
        <f>getDistance(coord!$C16,coord!$D16,coord!$C$9,coord!$D$9)*1000</f>
        <v>196.03012242617947</v>
      </c>
      <c r="L18" s="38">
        <f>getDistance(coord!$C16,coord!$D16,coord!$C$10,coord!$D$10)*1000</f>
        <v>249.56439084237218</v>
      </c>
      <c r="M18" s="38">
        <f>getDistance(coord!$C16,coord!$D16,coord!$C$11,coord!$D$11)*1000</f>
        <v>355.60542381889445</v>
      </c>
      <c r="N18" s="38">
        <f>getDistance(coord!$C16,coord!$D16,coord!$C$12,coord!$D$12)*1000</f>
        <v>437.85195352068683</v>
      </c>
      <c r="O18" s="38">
        <f>getDistance(coord!$C16,coord!$D16,coord!$C$13,coord!$D$13)*1000</f>
        <v>449.4287392065018</v>
      </c>
      <c r="P18" s="38">
        <f>getDistance(coord!$C16,coord!$D16,coord!$C$14,coord!$D$14)*1000</f>
        <v>328.16830545471561</v>
      </c>
      <c r="Q18" s="38">
        <f>getDistance(coord!$C16,coord!$D16,coord!$C$15,coord!$D$15)*1000</f>
        <v>109.24350736136221</v>
      </c>
      <c r="R18" s="39">
        <f>getDistance(coord!$C16,coord!$D16,coord!$C$16,coord!$D$16)*1000</f>
        <v>0</v>
      </c>
      <c r="S18" s="40">
        <f>getDistance(coord!$C16,coord!$D16,coord!$C$17,coord!$D$17)*1000</f>
        <v>81.447413962744818</v>
      </c>
      <c r="T18" s="8" t="s">
        <v>29</v>
      </c>
      <c r="U18" s="17">
        <v>23</v>
      </c>
      <c r="V18" s="12">
        <v>10</v>
      </c>
      <c r="W18" s="12">
        <v>5</v>
      </c>
      <c r="X18" s="12">
        <v>10</v>
      </c>
      <c r="Y18" s="12">
        <v>5</v>
      </c>
      <c r="Z18" s="12">
        <v>20</v>
      </c>
      <c r="AA18" s="12">
        <v>15</v>
      </c>
      <c r="AB18" s="12">
        <v>10</v>
      </c>
      <c r="AC18" s="12">
        <v>10</v>
      </c>
      <c r="AD18" s="12">
        <v>15</v>
      </c>
      <c r="AE18" s="12">
        <v>35</v>
      </c>
      <c r="AF18" s="12">
        <v>7.5</v>
      </c>
      <c r="AG18" s="12">
        <v>5</v>
      </c>
      <c r="AH18" s="12">
        <v>5</v>
      </c>
      <c r="AI18" s="12">
        <v>10</v>
      </c>
      <c r="AJ18" s="12">
        <v>5</v>
      </c>
      <c r="AK18" s="12">
        <v>17.5</v>
      </c>
      <c r="AL18" s="18">
        <v>10</v>
      </c>
      <c r="AM18">
        <f t="shared" si="0"/>
        <v>11.470588235294118</v>
      </c>
      <c r="AN18">
        <f t="shared" si="1"/>
        <v>5</v>
      </c>
    </row>
    <row r="19" spans="1:40" ht="15.75" thickBot="1">
      <c r="A19" s="10"/>
      <c r="B19" s="19">
        <v>17</v>
      </c>
      <c r="C19" s="41">
        <f>getDistance(coord!C17,coord!D17,coord!$C$1,coord!$D$1)*1000</f>
        <v>231.45532036128384</v>
      </c>
      <c r="D19" s="41">
        <f>getDistance(coord!C17,coord!D17,coord!$C$2,coord!$D$2)*1000</f>
        <v>196.0671434542468</v>
      </c>
      <c r="E19" s="41">
        <f>getDistance(coord!$C17,coord!$D17,coord!$C$3,coord!$D$3)*1000</f>
        <v>162.77018054803818</v>
      </c>
      <c r="F19" s="41">
        <f>getDistance(coord!$C17,coord!$D17,coord!$C$4,coord!$D$4)*1000</f>
        <v>450.94909994727891</v>
      </c>
      <c r="G19" s="41">
        <f>getDistance(coord!$C17,coord!$D17,coord!$C$5,coord!$D$5)*1000</f>
        <v>162.97627457082967</v>
      </c>
      <c r="H19" s="41">
        <f>getDistance(coord!$C17,coord!$D17,coord!$C$6,coord!$D$6)*1000</f>
        <v>220.94920483065883</v>
      </c>
      <c r="I19" s="41">
        <f>getDistance(coord!$C17,coord!$D17,coord!$C$7,coord!$D$7)*1000</f>
        <v>299.2056517337632</v>
      </c>
      <c r="J19" s="41">
        <f>getDistance(coord!$C17,coord!$D17,coord!$C$8,coord!$D$8)*1000</f>
        <v>184.93928790034644</v>
      </c>
      <c r="K19" s="41">
        <f>getDistance(coord!$C17,coord!$D17,coord!$C$9,coord!$D$9)*1000</f>
        <v>132.68848704068344</v>
      </c>
      <c r="L19" s="41">
        <f>getDistance(coord!$C17,coord!$D17,coord!$C$10,coord!$D$10)*1000</f>
        <v>170.59544177993732</v>
      </c>
      <c r="M19" s="41">
        <f>getDistance(coord!$C17,coord!$D17,coord!$C$11,coord!$D$11)*1000</f>
        <v>274.98992588644165</v>
      </c>
      <c r="N19" s="41">
        <f>getDistance(coord!$C17,coord!$D17,coord!$C$12,coord!$D$12)*1000</f>
        <v>376.39033374729303</v>
      </c>
      <c r="O19" s="41">
        <f>getDistance(coord!$C17,coord!$D17,coord!$C$13,coord!$D$13)*1000</f>
        <v>388.07023356065002</v>
      </c>
      <c r="P19" s="41">
        <f>getDistance(coord!$C17,coord!$D17,coord!$C$14,coord!$D$14)*1000</f>
        <v>275.07923904373905</v>
      </c>
      <c r="Q19" s="41">
        <f>getDistance(coord!$C17,coord!$D17,coord!$C$15,coord!$D$15)*1000</f>
        <v>32.923290655312897</v>
      </c>
      <c r="R19" s="41">
        <f>getDistance(coord!$C17,coord!$D17,coord!$C$16,coord!$D$16)*1000</f>
        <v>81.447413962744818</v>
      </c>
      <c r="S19" s="42">
        <f>getDistance(coord!$C17,coord!$D17,coord!$C$17,coord!$D$17)*1000</f>
        <v>0</v>
      </c>
      <c r="T19" s="8" t="s">
        <v>30</v>
      </c>
      <c r="U19" s="19">
        <v>24</v>
      </c>
      <c r="V19" s="20">
        <v>10</v>
      </c>
      <c r="W19" s="20">
        <v>5</v>
      </c>
      <c r="X19" s="20">
        <v>5</v>
      </c>
      <c r="Y19" s="20">
        <v>5</v>
      </c>
      <c r="Z19" s="20">
        <v>20</v>
      </c>
      <c r="AA19" s="20">
        <v>15</v>
      </c>
      <c r="AB19" s="20">
        <v>10</v>
      </c>
      <c r="AC19" s="20">
        <v>10</v>
      </c>
      <c r="AD19" s="20">
        <v>15</v>
      </c>
      <c r="AE19" s="20">
        <v>35</v>
      </c>
      <c r="AF19" s="20">
        <v>7.5</v>
      </c>
      <c r="AG19" s="20">
        <v>2.5</v>
      </c>
      <c r="AH19" s="20">
        <v>2.5</v>
      </c>
      <c r="AI19" s="20">
        <v>10</v>
      </c>
      <c r="AJ19" s="20">
        <v>5</v>
      </c>
      <c r="AK19" s="20">
        <v>15</v>
      </c>
      <c r="AL19" s="21">
        <v>7.5</v>
      </c>
      <c r="AM19">
        <f t="shared" si="0"/>
        <v>10.588235294117647</v>
      </c>
      <c r="AN19">
        <f t="shared" si="1"/>
        <v>3.75</v>
      </c>
    </row>
    <row r="20" spans="1:40">
      <c r="B20" s="8"/>
    </row>
    <row r="21" spans="1:40">
      <c r="A21" t="s">
        <v>4</v>
      </c>
      <c r="B21" t="s">
        <v>7</v>
      </c>
      <c r="C21" t="s">
        <v>9</v>
      </c>
      <c r="D21" t="s">
        <v>2</v>
      </c>
      <c r="E21" t="s">
        <v>1</v>
      </c>
      <c r="F21" t="s">
        <v>0</v>
      </c>
    </row>
    <row r="22" spans="1:40">
      <c r="A22" s="1">
        <v>8</v>
      </c>
      <c r="B22" s="11">
        <v>17</v>
      </c>
      <c r="C22" s="2" t="str">
        <f>VLOOKUP(B22,$B$3:$T$19,19,1)</f>
        <v>Star Tours</v>
      </c>
      <c r="D22">
        <f>ABS(E22)</f>
        <v>0</v>
      </c>
      <c r="F22">
        <f>INDEX($U$2:$AL$19,MATCH(A22,$U$2:$U$19,0),MATCH(B22,$U$2:$AL$2,0))</f>
        <v>2.5</v>
      </c>
      <c r="M22" t="s">
        <v>17</v>
      </c>
    </row>
    <row r="23" spans="1:40">
      <c r="A23" s="1">
        <v>9</v>
      </c>
      <c r="B23" s="11">
        <v>15</v>
      </c>
      <c r="C23" s="2" t="str">
        <f t="shared" ref="C23:C38" si="2">VLOOKUP(B23,$B$3:$T$19,19,1)</f>
        <v>Buzz Lightyear</v>
      </c>
      <c r="D23" s="51">
        <f t="shared" ref="D23:D38" si="3">ABS(E23)</f>
        <v>32.923290655312897</v>
      </c>
      <c r="E23" s="51">
        <f t="shared" ref="E23:E38" si="4">INDEX($B$2:$S$19,MATCH(B22,$B$2:$B$19,0),MATCH(B23,$B$2:$S$2,0))</f>
        <v>32.923290655312897</v>
      </c>
      <c r="F23">
        <f t="shared" ref="F23:F38" si="5">INDEX($U$2:$AL$19,MATCH(A23,$U$2:$U$19,0),MATCH(B23,$U$2:$AL$2,0))</f>
        <v>7.5</v>
      </c>
      <c r="M23" t="s">
        <v>14</v>
      </c>
    </row>
    <row r="24" spans="1:40">
      <c r="A24" s="1">
        <v>10</v>
      </c>
      <c r="B24" s="11">
        <v>16</v>
      </c>
      <c r="C24" s="2" t="str">
        <f t="shared" si="2"/>
        <v>Space Mtn</v>
      </c>
      <c r="D24" s="51">
        <f t="shared" si="3"/>
        <v>109.24350736136221</v>
      </c>
      <c r="E24" s="51">
        <f t="shared" si="4"/>
        <v>109.24350736136221</v>
      </c>
      <c r="F24">
        <f t="shared" si="5"/>
        <v>12.5</v>
      </c>
      <c r="M24" t="s">
        <v>25</v>
      </c>
    </row>
    <row r="25" spans="1:40">
      <c r="A25" s="1">
        <v>11</v>
      </c>
      <c r="B25" s="11">
        <v>6</v>
      </c>
      <c r="C25" s="2" t="str">
        <f t="shared" si="2"/>
        <v>Dumbo</v>
      </c>
      <c r="D25" s="51">
        <f t="shared" si="3"/>
        <v>297.2839405593038</v>
      </c>
      <c r="E25" s="51">
        <f t="shared" si="4"/>
        <v>297.2839405593038</v>
      </c>
      <c r="F25">
        <f t="shared" si="5"/>
        <v>15</v>
      </c>
      <c r="M25" t="s">
        <v>29</v>
      </c>
    </row>
    <row r="26" spans="1:40">
      <c r="A26" s="1">
        <v>12</v>
      </c>
      <c r="B26" s="11">
        <v>9</v>
      </c>
      <c r="C26" s="2" t="str">
        <f t="shared" si="2"/>
        <v>Matterhorn</v>
      </c>
      <c r="D26" s="51">
        <f t="shared" si="3"/>
        <v>115.54084629340073</v>
      </c>
      <c r="E26" s="51">
        <f t="shared" si="4"/>
        <v>115.54084629340073</v>
      </c>
      <c r="F26">
        <f t="shared" si="5"/>
        <v>12.5</v>
      </c>
      <c r="M26" t="s">
        <v>28</v>
      </c>
    </row>
    <row r="27" spans="1:40">
      <c r="A27" s="1">
        <v>13</v>
      </c>
      <c r="B27" s="11">
        <v>8</v>
      </c>
      <c r="C27" s="2" t="str">
        <f t="shared" si="2"/>
        <v>Mad Tea</v>
      </c>
      <c r="D27" s="51">
        <f t="shared" si="3"/>
        <v>63.794208341811625</v>
      </c>
      <c r="E27" s="51">
        <f t="shared" si="4"/>
        <v>63.794208341811625</v>
      </c>
      <c r="F27">
        <f t="shared" si="5"/>
        <v>15</v>
      </c>
      <c r="M27" t="s">
        <v>30</v>
      </c>
    </row>
    <row r="28" spans="1:40">
      <c r="A28" s="1">
        <v>14</v>
      </c>
      <c r="B28" s="11">
        <v>12</v>
      </c>
      <c r="C28" s="2" t="str">
        <f t="shared" si="2"/>
        <v>Toon Spin</v>
      </c>
      <c r="D28" s="51">
        <f t="shared" si="3"/>
        <v>196.24129880676139</v>
      </c>
      <c r="E28" s="51">
        <f t="shared" si="4"/>
        <v>196.24129880676139</v>
      </c>
      <c r="F28">
        <f t="shared" si="5"/>
        <v>17.5</v>
      </c>
      <c r="M28" t="s">
        <v>24</v>
      </c>
    </row>
    <row r="29" spans="1:40">
      <c r="A29" s="1">
        <v>15</v>
      </c>
      <c r="B29" s="26">
        <v>5</v>
      </c>
      <c r="C29" s="2" t="str">
        <f t="shared" si="2"/>
        <v>Alice in Wonderland</v>
      </c>
      <c r="D29" s="36">
        <f t="shared" si="3"/>
        <v>217.34893875517614</v>
      </c>
      <c r="E29" s="36">
        <f t="shared" si="4"/>
        <v>217.34893875517614</v>
      </c>
      <c r="F29" s="27">
        <f t="shared" si="5"/>
        <v>40</v>
      </c>
      <c r="M29" t="s">
        <v>26</v>
      </c>
    </row>
    <row r="30" spans="1:40">
      <c r="A30" s="1">
        <v>16</v>
      </c>
      <c r="B30" s="25">
        <v>7</v>
      </c>
      <c r="C30" s="2" t="str">
        <f t="shared" si="2"/>
        <v>Small World</v>
      </c>
      <c r="D30" s="38">
        <f t="shared" si="3"/>
        <v>146.08932876096961</v>
      </c>
      <c r="E30" s="38">
        <f t="shared" si="4"/>
        <v>146.08932876096961</v>
      </c>
      <c r="F30" s="1">
        <f t="shared" si="5"/>
        <v>20</v>
      </c>
      <c r="M30" t="s">
        <v>22</v>
      </c>
    </row>
    <row r="31" spans="1:40">
      <c r="A31" s="1">
        <v>17</v>
      </c>
      <c r="B31" s="25">
        <v>10</v>
      </c>
      <c r="C31" s="2" t="str">
        <f t="shared" si="2"/>
        <v>Peter Pan</v>
      </c>
      <c r="D31" s="38">
        <f t="shared" si="3"/>
        <v>178.79249083232051</v>
      </c>
      <c r="E31" s="38">
        <f t="shared" si="4"/>
        <v>178.79249083232051</v>
      </c>
      <c r="F31" s="1">
        <f t="shared" si="5"/>
        <v>40</v>
      </c>
    </row>
    <row r="32" spans="1:40">
      <c r="A32" s="1">
        <v>18</v>
      </c>
      <c r="B32" s="23">
        <v>11</v>
      </c>
      <c r="C32" s="2" t="str">
        <f t="shared" si="2"/>
        <v>Thunder Mtn</v>
      </c>
      <c r="D32" s="41">
        <f t="shared" si="3"/>
        <v>144.14840241197871</v>
      </c>
      <c r="E32" s="41">
        <f t="shared" si="4"/>
        <v>144.14840241197871</v>
      </c>
      <c r="F32" s="28">
        <f t="shared" si="5"/>
        <v>17.5</v>
      </c>
    </row>
    <row r="33" spans="1:19">
      <c r="A33" s="1">
        <v>19</v>
      </c>
      <c r="B33" s="11">
        <v>13</v>
      </c>
      <c r="C33" s="2" t="str">
        <f t="shared" si="2"/>
        <v>Haunted Mansion</v>
      </c>
      <c r="D33" s="51">
        <f t="shared" si="3"/>
        <v>229.52406256746684</v>
      </c>
      <c r="E33" s="51">
        <f t="shared" si="4"/>
        <v>229.52406256746684</v>
      </c>
      <c r="F33">
        <f t="shared" si="5"/>
        <v>12.5</v>
      </c>
    </row>
    <row r="34" spans="1:19">
      <c r="A34" s="1">
        <v>20</v>
      </c>
      <c r="B34" s="11">
        <v>14</v>
      </c>
      <c r="C34" s="2" t="str">
        <f t="shared" si="2"/>
        <v>Pirates</v>
      </c>
      <c r="D34" s="51">
        <f t="shared" si="3"/>
        <v>127.9721607205676</v>
      </c>
      <c r="E34" s="51">
        <f t="shared" si="4"/>
        <v>127.9721607205676</v>
      </c>
      <c r="F34">
        <f t="shared" si="5"/>
        <v>15</v>
      </c>
    </row>
    <row r="35" spans="1:19">
      <c r="A35" s="1">
        <v>21</v>
      </c>
      <c r="B35" s="11">
        <v>4</v>
      </c>
      <c r="C35" s="2" t="str">
        <f t="shared" si="2"/>
        <v>Splash Mtn</v>
      </c>
      <c r="D35" s="51">
        <f t="shared" si="3"/>
        <v>209.16282830150311</v>
      </c>
      <c r="E35" s="51">
        <f t="shared" si="4"/>
        <v>209.16282830150311</v>
      </c>
      <c r="F35">
        <f t="shared" si="5"/>
        <v>12.5</v>
      </c>
    </row>
    <row r="36" spans="1:19">
      <c r="A36" s="1">
        <v>22</v>
      </c>
      <c r="B36" s="11">
        <v>2</v>
      </c>
      <c r="C36" s="2" t="str">
        <f t="shared" si="2"/>
        <v>Jungle Cruise</v>
      </c>
      <c r="D36" s="51">
        <f t="shared" si="3"/>
        <v>273.1282170184997</v>
      </c>
      <c r="E36" s="51">
        <f t="shared" si="4"/>
        <v>273.1282170184997</v>
      </c>
      <c r="F36">
        <f t="shared" si="5"/>
        <v>5</v>
      </c>
    </row>
    <row r="37" spans="1:19">
      <c r="A37" s="6">
        <v>23</v>
      </c>
      <c r="B37" s="11">
        <v>1</v>
      </c>
      <c r="C37" s="2" t="str">
        <f t="shared" si="2"/>
        <v>Indian Jones</v>
      </c>
      <c r="D37" s="51">
        <f t="shared" si="3"/>
        <v>35.41571747416252</v>
      </c>
      <c r="E37" s="51">
        <f t="shared" si="4"/>
        <v>35.41571747416252</v>
      </c>
      <c r="F37">
        <f t="shared" si="5"/>
        <v>10</v>
      </c>
    </row>
    <row r="38" spans="1:19">
      <c r="A38" s="6">
        <v>24</v>
      </c>
      <c r="B38" s="11">
        <v>3</v>
      </c>
      <c r="C38" s="2" t="str">
        <f t="shared" si="2"/>
        <v>Tiki room</v>
      </c>
      <c r="D38" s="51">
        <f t="shared" si="3"/>
        <v>75.235308449802986</v>
      </c>
      <c r="E38" s="51">
        <f t="shared" si="4"/>
        <v>75.235308449802986</v>
      </c>
      <c r="F38">
        <f t="shared" si="5"/>
        <v>5</v>
      </c>
      <c r="J38">
        <f>D39-SUM(D29:D32)</f>
        <v>1765.4653865499558</v>
      </c>
      <c r="K38" t="s">
        <v>31</v>
      </c>
    </row>
    <row r="39" spans="1:19">
      <c r="A39" s="10"/>
      <c r="B39" s="4"/>
      <c r="C39" s="4"/>
      <c r="D39" s="51">
        <f>SUM(D22:D38)</f>
        <v>2451.8445473104007</v>
      </c>
      <c r="E39" s="51"/>
      <c r="F39">
        <f>SUM(F22:F38)</f>
        <v>260</v>
      </c>
      <c r="J39">
        <f>F39-SUM(F29:F32)</f>
        <v>142.5</v>
      </c>
      <c r="K39" t="s">
        <v>32</v>
      </c>
    </row>
    <row r="40" spans="1:19">
      <c r="B40" t="s">
        <v>3</v>
      </c>
      <c r="D40">
        <v>0.9</v>
      </c>
      <c r="F40">
        <v>0.1</v>
      </c>
    </row>
    <row r="42" spans="1:19">
      <c r="C42">
        <f>D40*D39</f>
        <v>2206.6600925793605</v>
      </c>
      <c r="E42">
        <f>F40*F39</f>
        <v>26</v>
      </c>
      <c r="F42" t="s">
        <v>8</v>
      </c>
      <c r="H42" s="3">
        <f>E42+C42</f>
        <v>2232.6600925793605</v>
      </c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</row>
  </sheetData>
  <scenarios current="0" show="0">
    <scenario name="Best Course" count="17" user="Jon Hager" comment="Created by Jon Hager on 5/8/2018">
      <inputCells r="B22" val="5"/>
      <inputCells r="B23" val="6"/>
      <inputCells r="B24" val="9"/>
      <inputCells r="B25" val="8"/>
      <inputCells r="B26" val="11"/>
      <inputCells r="B27" val="16"/>
      <inputCells r="B28" val="17"/>
      <inputCells r="B29" val="15"/>
      <inputCells r="B30" val="7"/>
      <inputCells r="B31" val="10"/>
      <inputCells r="B32" val="12"/>
      <inputCells r="B33" val="13"/>
      <inputCells r="B34" val="14"/>
      <inputCells r="B35" val="4"/>
      <inputCells r="B36" val="2"/>
      <inputCells r="B37" val="1"/>
      <inputCells r="B38" val="3"/>
    </scenario>
    <scenario name="Original" locked="1" count="17" user="Jon Hager" comment="Created by Jon Hager on 5/8/2018_x000a_Modified by Jon Hager on 5/8/2018">
      <inputCells r="B22" val="4"/>
      <inputCells r="B23" val="1"/>
      <inputCells r="B24" val="14"/>
      <inputCells r="B25" val="7"/>
      <inputCells r="B26" val="12"/>
      <inputCells r="B27" val="2"/>
      <inputCells r="B28" val="3"/>
      <inputCells r="B29" val="5"/>
      <inputCells r="B30" val="6"/>
      <inputCells r="B31" val="10"/>
      <inputCells r="B32" val="17"/>
      <inputCells r="B33" val="16"/>
      <inputCells r="B34" val="15"/>
      <inputCells r="B35" val="8"/>
      <inputCells r="B36" val="11"/>
      <inputCells r="B37" val="13"/>
      <inputCells r="B38" val="9"/>
    </scenario>
  </scenarios>
  <conditionalFormatting sqref="C22:C38">
    <cfRule type="expression" dxfId="5" priority="1">
      <formula>MATCH(C22,$M$22:$M$30,0)</formula>
    </cfRule>
  </conditionalFormatting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B31ACB-1129-4089-94BB-BBD75C3B62EA}">
  <sheetPr codeName="Sheet4"/>
  <dimension ref="A1:D17"/>
  <sheetViews>
    <sheetView workbookViewId="0">
      <selection activeCell="F10" sqref="F10"/>
    </sheetView>
  </sheetViews>
  <sheetFormatPr defaultRowHeight="14.25"/>
  <cols>
    <col min="2" max="2" width="17.25" bestFit="1" customWidth="1"/>
    <col min="3" max="3" width="9.875" bestFit="1" customWidth="1"/>
    <col min="4" max="4" width="11.5" bestFit="1" customWidth="1"/>
  </cols>
  <sheetData>
    <row r="1" spans="1:4">
      <c r="A1">
        <v>1</v>
      </c>
      <c r="B1" t="s">
        <v>39</v>
      </c>
      <c r="C1">
        <v>33.811404000000003</v>
      </c>
      <c r="D1">
        <v>-117.92035799999999</v>
      </c>
    </row>
    <row r="2" spans="1:4">
      <c r="A2">
        <v>2</v>
      </c>
      <c r="B2" t="s">
        <v>15</v>
      </c>
      <c r="C2">
        <v>33.811466000000003</v>
      </c>
      <c r="D2">
        <v>-117.919982</v>
      </c>
    </row>
    <row r="3" spans="1:4">
      <c r="A3">
        <v>3</v>
      </c>
      <c r="B3" t="s">
        <v>16</v>
      </c>
      <c r="C3">
        <v>33.811774999999997</v>
      </c>
      <c r="D3">
        <v>-117.91967699999999</v>
      </c>
    </row>
    <row r="4" spans="1:4">
      <c r="A4">
        <v>4</v>
      </c>
      <c r="B4" t="s">
        <v>17</v>
      </c>
      <c r="C4">
        <v>33.812258999999997</v>
      </c>
      <c r="D4">
        <v>-117.92278</v>
      </c>
    </row>
    <row r="5" spans="1:4">
      <c r="A5">
        <v>5</v>
      </c>
      <c r="B5" t="s">
        <v>18</v>
      </c>
      <c r="C5">
        <v>33.813315000000003</v>
      </c>
      <c r="D5">
        <v>-117.918296</v>
      </c>
    </row>
    <row r="6" spans="1:4">
      <c r="A6">
        <v>6</v>
      </c>
      <c r="B6" t="s">
        <v>19</v>
      </c>
      <c r="C6">
        <v>33.813699999999997</v>
      </c>
      <c r="D6">
        <v>-117.918888</v>
      </c>
    </row>
    <row r="7" spans="1:4">
      <c r="A7">
        <v>7</v>
      </c>
      <c r="B7" t="s">
        <v>20</v>
      </c>
      <c r="C7">
        <v>33.814573000000003</v>
      </c>
      <c r="D7">
        <v>-117.91784</v>
      </c>
    </row>
    <row r="8" spans="1:4">
      <c r="A8">
        <v>8</v>
      </c>
      <c r="B8" t="s">
        <v>21</v>
      </c>
      <c r="C8">
        <v>33.813509000000003</v>
      </c>
      <c r="D8">
        <v>-117.918341</v>
      </c>
    </row>
    <row r="9" spans="1:4">
      <c r="A9">
        <v>9</v>
      </c>
      <c r="B9" t="s">
        <v>22</v>
      </c>
      <c r="C9">
        <v>33.813076000000002</v>
      </c>
      <c r="D9">
        <v>-117.917888</v>
      </c>
    </row>
    <row r="10" spans="1:4">
      <c r="A10">
        <v>10</v>
      </c>
      <c r="B10" t="s">
        <v>23</v>
      </c>
      <c r="C10">
        <v>33.813205000000004</v>
      </c>
      <c r="D10">
        <v>-117.918857</v>
      </c>
    </row>
    <row r="11" spans="1:4">
      <c r="A11">
        <v>11</v>
      </c>
      <c r="B11" t="s">
        <v>24</v>
      </c>
      <c r="C11">
        <v>33.813229</v>
      </c>
      <c r="D11">
        <v>-117.920417</v>
      </c>
    </row>
    <row r="12" spans="1:4">
      <c r="A12">
        <v>12</v>
      </c>
      <c r="B12" t="s">
        <v>25</v>
      </c>
      <c r="C12">
        <v>33.815263999999999</v>
      </c>
      <c r="D12">
        <v>-117.918117</v>
      </c>
    </row>
    <row r="13" spans="1:4">
      <c r="A13">
        <v>13</v>
      </c>
      <c r="B13" t="s">
        <v>26</v>
      </c>
      <c r="C13">
        <v>33.811723000000001</v>
      </c>
      <c r="D13">
        <v>-117.922116</v>
      </c>
    </row>
    <row r="14" spans="1:4">
      <c r="A14">
        <v>14</v>
      </c>
      <c r="B14" t="s">
        <v>27</v>
      </c>
      <c r="C14">
        <v>33.811318999999997</v>
      </c>
      <c r="D14">
        <v>-117.92081899999999</v>
      </c>
    </row>
    <row r="15" spans="1:4">
      <c r="A15">
        <v>15</v>
      </c>
      <c r="B15" t="s">
        <v>28</v>
      </c>
      <c r="C15">
        <v>33.812175000000003</v>
      </c>
      <c r="D15">
        <v>-117.917979</v>
      </c>
    </row>
    <row r="16" spans="1:4">
      <c r="A16">
        <v>16</v>
      </c>
      <c r="B16" t="s">
        <v>29</v>
      </c>
      <c r="C16">
        <v>33.811390000000003</v>
      </c>
      <c r="D16">
        <v>-117.91726800000001</v>
      </c>
    </row>
    <row r="17" spans="1:4">
      <c r="A17">
        <v>17</v>
      </c>
      <c r="B17" t="s">
        <v>30</v>
      </c>
      <c r="C17">
        <v>33.811883000000002</v>
      </c>
      <c r="D17">
        <v>-117.91792</v>
      </c>
    </row>
  </sheetData>
  <sortState xmlns:xlrd2="http://schemas.microsoft.com/office/spreadsheetml/2017/richdata2" ref="A1:D17">
    <sortCondition ref="A1:A17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2ACD9A-2AAD-4DC3-890B-16BB78121F2D}">
  <dimension ref="A1:AK50"/>
  <sheetViews>
    <sheetView workbookViewId="0">
      <selection activeCell="A2" sqref="A2"/>
    </sheetView>
  </sheetViews>
  <sheetFormatPr defaultRowHeight="14.25"/>
  <cols>
    <col min="1" max="1" width="9.5" bestFit="1" customWidth="1"/>
    <col min="2" max="2" width="14.75" bestFit="1" customWidth="1"/>
    <col min="3" max="3" width="16.875" customWidth="1"/>
    <col min="4" max="4" width="12.5" bestFit="1" customWidth="1"/>
    <col min="5" max="5" width="7.75" bestFit="1" customWidth="1"/>
    <col min="6" max="6" width="8.375" bestFit="1" customWidth="1"/>
    <col min="7" max="7" width="7.375" bestFit="1" customWidth="1"/>
    <col min="8" max="8" width="8" customWidth="1"/>
    <col min="9" max="19" width="6.75" customWidth="1"/>
    <col min="20" max="20" width="18.25" customWidth="1"/>
    <col min="21" max="21" width="12.75" bestFit="1" customWidth="1"/>
    <col min="22" max="36" width="6.125" customWidth="1"/>
    <col min="37" max="37" width="15.75" bestFit="1" customWidth="1"/>
  </cols>
  <sheetData>
    <row r="1" spans="1:37" ht="48.75" customHeight="1" thickBot="1">
      <c r="B1" s="32" t="s">
        <v>41</v>
      </c>
      <c r="C1" s="33" t="s">
        <v>5</v>
      </c>
      <c r="D1" s="33"/>
      <c r="E1" s="33"/>
      <c r="F1" s="33"/>
      <c r="G1" s="33"/>
      <c r="H1" s="33"/>
      <c r="I1" s="33"/>
      <c r="J1" s="33"/>
      <c r="K1" s="33"/>
      <c r="L1" s="33"/>
      <c r="M1" s="33"/>
      <c r="N1" s="33"/>
      <c r="O1" s="33"/>
      <c r="P1" s="33"/>
      <c r="Q1" s="33"/>
      <c r="R1" s="33"/>
      <c r="S1" s="34"/>
      <c r="T1" s="13" t="s">
        <v>40</v>
      </c>
      <c r="U1" s="13" t="s">
        <v>11</v>
      </c>
      <c r="V1" s="14" t="s">
        <v>6</v>
      </c>
      <c r="W1" s="14"/>
      <c r="X1" s="14"/>
      <c r="Y1" s="14"/>
      <c r="Z1" s="14"/>
      <c r="AA1" s="14"/>
      <c r="AB1" s="14"/>
      <c r="AC1" s="14"/>
      <c r="AD1" s="14"/>
      <c r="AE1" s="14"/>
      <c r="AF1" s="14"/>
      <c r="AG1" s="14"/>
      <c r="AH1" s="14"/>
      <c r="AI1" s="14"/>
      <c r="AJ1" s="14"/>
    </row>
    <row r="2" spans="1:37">
      <c r="B2" s="16" t="s">
        <v>5</v>
      </c>
      <c r="C2" s="5">
        <v>1</v>
      </c>
      <c r="D2" s="5">
        <v>2</v>
      </c>
      <c r="E2" s="5">
        <v>3</v>
      </c>
      <c r="F2" s="5">
        <v>4</v>
      </c>
      <c r="G2" s="5">
        <v>5</v>
      </c>
      <c r="H2" s="5">
        <v>6</v>
      </c>
      <c r="I2" s="5">
        <v>7</v>
      </c>
      <c r="J2" s="5">
        <v>8</v>
      </c>
      <c r="K2" s="5">
        <v>9</v>
      </c>
      <c r="L2" s="5">
        <v>10</v>
      </c>
      <c r="M2" s="5">
        <v>11</v>
      </c>
      <c r="N2" s="5">
        <v>12</v>
      </c>
      <c r="O2" s="5">
        <v>13</v>
      </c>
      <c r="P2" s="5">
        <v>14</v>
      </c>
      <c r="Q2" s="5">
        <v>15</v>
      </c>
      <c r="R2" s="5">
        <v>16</v>
      </c>
      <c r="S2" s="22">
        <v>17</v>
      </c>
      <c r="U2" s="16" t="s">
        <v>12</v>
      </c>
      <c r="V2" s="5">
        <v>1</v>
      </c>
      <c r="W2" s="5">
        <v>2</v>
      </c>
      <c r="X2" s="5">
        <v>3</v>
      </c>
      <c r="Y2" s="5">
        <v>4</v>
      </c>
      <c r="Z2" s="5">
        <v>5</v>
      </c>
      <c r="AA2" s="5">
        <v>6</v>
      </c>
      <c r="AB2" s="5">
        <v>7</v>
      </c>
      <c r="AC2" s="5">
        <v>8</v>
      </c>
      <c r="AD2" s="5">
        <v>9</v>
      </c>
      <c r="AE2" s="5">
        <v>10</v>
      </c>
      <c r="AF2" s="5">
        <v>11</v>
      </c>
      <c r="AG2" s="5">
        <v>12</v>
      </c>
      <c r="AH2" s="5">
        <v>13</v>
      </c>
      <c r="AI2" s="5">
        <v>14</v>
      </c>
      <c r="AJ2" s="5">
        <v>15</v>
      </c>
      <c r="AK2" s="9" t="s">
        <v>13</v>
      </c>
    </row>
    <row r="3" spans="1:37" ht="15.75" customHeight="1">
      <c r="A3" s="12"/>
      <c r="B3" s="17">
        <v>1</v>
      </c>
      <c r="C3" s="43" t="e">
        <f>(getDistance(coord!C1,coord!D1,coord!$C$1,coord!$D$1)*1000)/$C$18</f>
        <v>#DIV/0!</v>
      </c>
      <c r="D3" s="44" t="e">
        <f>(getDistance(coord!C1,coord!D1,coord!$C$2,coord!$D$2)*1000)/$D$18</f>
        <v>#DIV/0!</v>
      </c>
      <c r="E3" s="44" t="e">
        <f>(getDistance(coord!$C1,coord!$D1,coord!$C$3,coord!$D$3)*1000)/$E$18</f>
        <v>#DIV/0!</v>
      </c>
      <c r="F3" s="44" t="e">
        <f>(getDistance(coord!$C1,coord!$D1,coord!$C$4,coord!$D$4)*1000)/$F$18</f>
        <v>#DIV/0!</v>
      </c>
      <c r="G3" s="44" t="e">
        <f>(getDistance(coord!$C1,coord!$D1,coord!$C$5,coord!$D$5)*1000)/$G$18</f>
        <v>#DIV/0!</v>
      </c>
      <c r="H3" s="44" t="e">
        <f>(getDistance(coord!$C1,coord!$D1,coord!$C$6,coord!$D$6)*1000)/$H$18</f>
        <v>#DIV/0!</v>
      </c>
      <c r="I3" s="44" t="e">
        <f>(getDistance(coord!$C1,coord!$D1,coord!$C$7,coord!$D$7)*1000)/$I$18</f>
        <v>#DIV/0!</v>
      </c>
      <c r="J3" s="44" t="e">
        <f>(getDistance(coord!$C1,coord!$D1,coord!$C$8,coord!$D$8)*1000)/$J$18</f>
        <v>#DIV/0!</v>
      </c>
      <c r="K3" s="44" t="e">
        <f>(getDistance(coord!$C1,coord!$D1,coord!$C$9,coord!$D$9)*1000)/$K$18</f>
        <v>#DIV/0!</v>
      </c>
      <c r="L3" s="44" t="e">
        <f>(getDistance(coord!$C1,coord!$D1,coord!$C$10,coord!$D$10)*1000)/$L$18</f>
        <v>#DIV/0!</v>
      </c>
      <c r="M3" s="44" t="e">
        <f>(getDistance(coord!$C1,coord!$D1,coord!$C$11,coord!$D$11)*1000)/$M$18</f>
        <v>#DIV/0!</v>
      </c>
      <c r="N3" s="44" t="e">
        <f>(getDistance(coord!$C1,coord!$D1,coord!$C$12,coord!$D$12)*1000)/$N$18</f>
        <v>#DIV/0!</v>
      </c>
      <c r="O3" s="44" t="e">
        <f>(getDistance(coord!$C1,coord!$D1,coord!$C$13,coord!$D$13)*1000)/$O$18</f>
        <v>#DIV/0!</v>
      </c>
      <c r="P3" s="44" t="e">
        <f>(getDistance(coord!$C1,coord!$D1,coord!$C$14,coord!$D$14)*1000)/$P$18</f>
        <v>#DIV/0!</v>
      </c>
      <c r="Q3" s="44" t="e">
        <f>(getDistance(coord!$C1,coord!$D1,coord!$C$15,coord!$D$15)*1000)/$Q$18</f>
        <v>#DIV/0!</v>
      </c>
      <c r="R3" s="44" t="e">
        <f>(getDistance(coord!$C1,coord!$D1,coord!$C$16,coord!$D$16)*1000)/$R$18</f>
        <v>#DIV/0!</v>
      </c>
      <c r="S3" s="44" t="e">
        <f>(getDistance(coord!$C1,coord!$D1,coord!$C$17,coord!$D$17)*1000)/$S$18</f>
        <v>#DIV/0!</v>
      </c>
      <c r="T3" s="58" t="s">
        <v>44</v>
      </c>
      <c r="U3" s="17">
        <v>8</v>
      </c>
      <c r="V3" s="59">
        <v>0.04</v>
      </c>
      <c r="W3" s="59">
        <v>6.7567567567567571E-2</v>
      </c>
      <c r="X3" s="59">
        <v>5.4945054945054944E-2</v>
      </c>
      <c r="Y3" s="59">
        <v>4.3859649122807015E-2</v>
      </c>
      <c r="Z3" s="59">
        <v>5.5118110236220472E-2</v>
      </c>
      <c r="AA3" s="59">
        <v>5.3030303030303032E-2</v>
      </c>
      <c r="AB3" s="59">
        <v>3.125E-2</v>
      </c>
      <c r="AC3" s="59">
        <v>5.7971014492753624E-2</v>
      </c>
      <c r="AD3" s="59">
        <v>4.4776119402985072E-2</v>
      </c>
      <c r="AE3" s="59">
        <v>4.878048780487805E-2</v>
      </c>
      <c r="AF3" s="59">
        <v>2.6086956521739129E-2</v>
      </c>
      <c r="AG3" s="59">
        <v>2.4590163934426229E-2</v>
      </c>
      <c r="AH3" s="59">
        <v>3.3898305084745763E-2</v>
      </c>
      <c r="AI3" s="59">
        <v>3.875968992248062E-2</v>
      </c>
      <c r="AJ3" s="59">
        <v>3.125E-2</v>
      </c>
      <c r="AK3">
        <f t="shared" ref="AK3:AK17" si="0">AVERAGE(V3:AJ3)</f>
        <v>4.3458894804397435E-2</v>
      </c>
    </row>
    <row r="4" spans="1:37" ht="15.75" customHeight="1">
      <c r="A4" s="12"/>
      <c r="B4" s="17">
        <v>2</v>
      </c>
      <c r="C4" s="45" t="e">
        <f>(getDistance(coord!C2,coord!D2,coord!$C$1,coord!$D$1)*1000)/$C$18</f>
        <v>#DIV/0!</v>
      </c>
      <c r="D4" s="46" t="e">
        <f>(getDistance(coord!C2,coord!D2,coord!$C$2,coord!$D$2)*1000)/$D$18</f>
        <v>#DIV/0!</v>
      </c>
      <c r="E4" s="45" t="e">
        <f>(getDistance(coord!$C2,coord!$D2,coord!$C$3,coord!$D$3)*1000)/$E$18</f>
        <v>#DIV/0!</v>
      </c>
      <c r="F4" s="45" t="e">
        <f>(getDistance(coord!$C2,coord!$D2,coord!$C$4,coord!$D$4)*1000)/$F$18</f>
        <v>#DIV/0!</v>
      </c>
      <c r="G4" s="45" t="e">
        <f>(getDistance(coord!$C2,coord!$D2,coord!$C$5,coord!$D$5)*1000)/$G$18</f>
        <v>#DIV/0!</v>
      </c>
      <c r="H4" s="45" t="e">
        <f>(getDistance(coord!$C2,coord!$D2,coord!$C$6,coord!$D$6)*1000)/$H$18</f>
        <v>#DIV/0!</v>
      </c>
      <c r="I4" s="45" t="e">
        <f>(getDistance(coord!$C2,coord!$D2,coord!$C$7,coord!$D$7)*1000)/$I$18</f>
        <v>#DIV/0!</v>
      </c>
      <c r="J4" s="45" t="e">
        <f>(getDistance(coord!$C2,coord!$D2,coord!$C$8,coord!$D$8)*1000)/$J$18</f>
        <v>#DIV/0!</v>
      </c>
      <c r="K4" s="45" t="e">
        <f>(getDistance(coord!$C2,coord!$D2,coord!$C$9,coord!$D$9)*1000)/$K$18</f>
        <v>#DIV/0!</v>
      </c>
      <c r="L4" s="45" t="e">
        <f>(getDistance(coord!$C2,coord!$D2,coord!$C$10,coord!$D$10)*1000)/$L$18</f>
        <v>#DIV/0!</v>
      </c>
      <c r="M4" s="45" t="e">
        <f>(getDistance(coord!$C2,coord!$D2,coord!$C$11,coord!$D$11)*1000)/$M$18</f>
        <v>#DIV/0!</v>
      </c>
      <c r="N4" s="45" t="e">
        <f>(getDistance(coord!$C2,coord!$D2,coord!$C$12,coord!$D$12)*1000)/$N$18</f>
        <v>#DIV/0!</v>
      </c>
      <c r="O4" s="45" t="e">
        <f>(getDistance(coord!$C2,coord!$D2,coord!$C$13,coord!$D$13)*1000)/$O$18</f>
        <v>#DIV/0!</v>
      </c>
      <c r="P4" s="45" t="e">
        <f>(getDistance(coord!$C2,coord!$D2,coord!$C$14,coord!$D$14)*1000)/$P$18</f>
        <v>#DIV/0!</v>
      </c>
      <c r="Q4" s="45" t="e">
        <f>(getDistance(coord!$C2,coord!$D2,coord!$C$15,coord!$D$15)*1000)/$Q$18</f>
        <v>#DIV/0!</v>
      </c>
      <c r="R4" s="45" t="e">
        <f>(getDistance(coord!$C2,coord!$D2,coord!$C$16,coord!$D$16)*1000)/$R$18</f>
        <v>#DIV/0!</v>
      </c>
      <c r="S4" s="45" t="e">
        <f>(getDistance(coord!$C2,coord!$D2,coord!$C$17,coord!$D$17)*1000)/$S$18</f>
        <v>#DIV/0!</v>
      </c>
      <c r="T4" s="58" t="s">
        <v>45</v>
      </c>
      <c r="U4" s="17">
        <v>9</v>
      </c>
      <c r="V4" s="59">
        <v>0.1</v>
      </c>
      <c r="W4" s="59">
        <v>0.17567567567567569</v>
      </c>
      <c r="X4" s="59">
        <v>9.8901098901098897E-2</v>
      </c>
      <c r="Y4" s="59">
        <v>7.8947368421052627E-2</v>
      </c>
      <c r="Z4" s="59">
        <v>7.874015748031496E-2</v>
      </c>
      <c r="AA4" s="59">
        <v>6.8181818181818177E-2</v>
      </c>
      <c r="AB4" s="59">
        <v>6.25E-2</v>
      </c>
      <c r="AC4" s="59">
        <v>5.7971014492753624E-2</v>
      </c>
      <c r="AD4" s="59">
        <v>9.7014925373134331E-2</v>
      </c>
      <c r="AE4" s="59">
        <v>7.3170731707317069E-2</v>
      </c>
      <c r="AF4" s="59">
        <v>8.6956521739130432E-2</v>
      </c>
      <c r="AG4" s="59">
        <v>9.0163934426229511E-2</v>
      </c>
      <c r="AH4" s="59">
        <v>4.2372881355932202E-2</v>
      </c>
      <c r="AI4" s="59">
        <v>6.9767441860465115E-2</v>
      </c>
      <c r="AJ4" s="59">
        <v>7.8125E-2</v>
      </c>
      <c r="AK4">
        <f t="shared" si="0"/>
        <v>8.3899237974328161E-2</v>
      </c>
    </row>
    <row r="5" spans="1:37" ht="15.75" customHeight="1">
      <c r="A5" s="12"/>
      <c r="B5" s="17">
        <v>3</v>
      </c>
      <c r="C5" s="45" t="e">
        <f>(getDistance(coord!C3,coord!D3,coord!$C$1,coord!$D$1)*1000)/$C$18</f>
        <v>#DIV/0!</v>
      </c>
      <c r="D5" s="45" t="e">
        <f>(getDistance(coord!C3,coord!D3,coord!$C$2,coord!$D$2)*1000)/$D$18</f>
        <v>#DIV/0!</v>
      </c>
      <c r="E5" s="46" t="e">
        <f>(getDistance(coord!$C3,coord!$D3,coord!$C$3,coord!$D$3)*1000)/$E$18</f>
        <v>#DIV/0!</v>
      </c>
      <c r="F5" s="45" t="e">
        <f>(getDistance(coord!$C3,coord!$D3,coord!$C$4,coord!$D$4)*1000)/$F$18</f>
        <v>#DIV/0!</v>
      </c>
      <c r="G5" s="45" t="e">
        <f>(getDistance(coord!$C3,coord!$D3,coord!$C$5,coord!$D$5)*1000)/$G$18</f>
        <v>#DIV/0!</v>
      </c>
      <c r="H5" s="45" t="e">
        <f>(getDistance(coord!$C3,coord!$D3,coord!$C$6,coord!$D$6)*1000)/$H$18</f>
        <v>#DIV/0!</v>
      </c>
      <c r="I5" s="45" t="e">
        <f>(getDistance(coord!$C3,coord!$D3,coord!$C$7,coord!$D$7)*1000)/$I$18</f>
        <v>#DIV/0!</v>
      </c>
      <c r="J5" s="45" t="e">
        <f>(getDistance(coord!$C3,coord!$D3,coord!$C$8,coord!$D$8)*1000)/$J$18</f>
        <v>#DIV/0!</v>
      </c>
      <c r="K5" s="45" t="e">
        <f>(getDistance(coord!$C3,coord!$D3,coord!$C$9,coord!$D$9)*1000)/$K$18</f>
        <v>#DIV/0!</v>
      </c>
      <c r="L5" s="45" t="e">
        <f>(getDistance(coord!$C3,coord!$D3,coord!$C$10,coord!$D$10)*1000)/$L$18</f>
        <v>#DIV/0!</v>
      </c>
      <c r="M5" s="45" t="e">
        <f>(getDistance(coord!$C3,coord!$D3,coord!$C$11,coord!$D$11)*1000)/$M$18</f>
        <v>#DIV/0!</v>
      </c>
      <c r="N5" s="45" t="e">
        <f>(getDistance(coord!$C3,coord!$D3,coord!$C$12,coord!$D$12)*1000)/$N$18</f>
        <v>#DIV/0!</v>
      </c>
      <c r="O5" s="45" t="e">
        <f>(getDistance(coord!$C3,coord!$D3,coord!$C$13,coord!$D$13)*1000)/$O$18</f>
        <v>#DIV/0!</v>
      </c>
      <c r="P5" s="45" t="e">
        <f>(getDistance(coord!$C3,coord!$D3,coord!$C$14,coord!$D$14)*1000)/$P$18</f>
        <v>#DIV/0!</v>
      </c>
      <c r="Q5" s="45" t="e">
        <f>(getDistance(coord!$C3,coord!$D3,coord!$C$15,coord!$D$15)*1000)/$Q$18</f>
        <v>#DIV/0!</v>
      </c>
      <c r="R5" s="45" t="e">
        <f>(getDistance(coord!$C3,coord!$D3,coord!$C$16,coord!$D$16)*1000)/$R$18</f>
        <v>#DIV/0!</v>
      </c>
      <c r="S5" s="45" t="e">
        <f>(getDistance(coord!$C3,coord!$D3,coord!$C$17,coord!$D$17)*1000)/$S$18</f>
        <v>#DIV/0!</v>
      </c>
      <c r="T5" s="58" t="s">
        <v>46</v>
      </c>
      <c r="U5" s="17">
        <v>10</v>
      </c>
      <c r="V5" s="59">
        <v>0.02</v>
      </c>
      <c r="W5" s="59">
        <v>9.45945945945946E-2</v>
      </c>
      <c r="X5" s="59">
        <v>6.5934065934065936E-2</v>
      </c>
      <c r="Y5" s="59">
        <v>6.1403508771929821E-2</v>
      </c>
      <c r="Z5" s="59">
        <v>7.874015748031496E-2</v>
      </c>
      <c r="AA5" s="59">
        <v>6.8181818181818177E-2</v>
      </c>
      <c r="AB5" s="59">
        <v>7.03125E-2</v>
      </c>
      <c r="AC5" s="59">
        <v>6.5217391304347824E-2</v>
      </c>
      <c r="AD5" s="59">
        <v>5.9701492537313432E-2</v>
      </c>
      <c r="AE5" s="59">
        <v>6.5040650406504072E-2</v>
      </c>
      <c r="AF5" s="59">
        <v>7.8260869565217397E-2</v>
      </c>
      <c r="AG5" s="59">
        <v>6.5573770491803282E-2</v>
      </c>
      <c r="AH5" s="59">
        <v>6.7796610169491525E-2</v>
      </c>
      <c r="AI5" s="59">
        <v>8.5271317829457363E-2</v>
      </c>
      <c r="AJ5" s="59">
        <v>4.6875E-2</v>
      </c>
      <c r="AK5">
        <f t="shared" si="0"/>
        <v>6.6193583151123891E-2</v>
      </c>
    </row>
    <row r="6" spans="1:37" ht="15.75" customHeight="1">
      <c r="A6" s="12"/>
      <c r="B6" s="17">
        <v>4</v>
      </c>
      <c r="C6" s="45" t="e">
        <f>(getDistance(coord!C4,coord!D4,coord!$C$1,coord!$D$1)*1000)/$C$18</f>
        <v>#DIV/0!</v>
      </c>
      <c r="D6" s="45" t="e">
        <f>(getDistance(coord!C4,coord!D4,coord!$C$2,coord!$D$2)*1000)/$D$18</f>
        <v>#DIV/0!</v>
      </c>
      <c r="E6" s="45" t="e">
        <f>(getDistance(coord!$C4,coord!$D4,coord!$C$3,coord!$D$3)*1000)/$E$18</f>
        <v>#DIV/0!</v>
      </c>
      <c r="F6" s="46" t="e">
        <f>(getDistance(coord!$C4,coord!$D4,coord!$C$4,coord!$D$4)*1000)/$F$18</f>
        <v>#DIV/0!</v>
      </c>
      <c r="G6" s="45" t="e">
        <f>(getDistance(coord!$C4,coord!$D4,coord!$C$5,coord!$D$5)*1000)/$G$18</f>
        <v>#DIV/0!</v>
      </c>
      <c r="H6" s="45" t="e">
        <f>(getDistance(coord!$C4,coord!$D4,coord!$C$6,coord!$D$6)*1000)/$H$18</f>
        <v>#DIV/0!</v>
      </c>
      <c r="I6" s="45" t="e">
        <f>(getDistance(coord!$C4,coord!$D4,coord!$C$7,coord!$D$7)*1000)/$I$18</f>
        <v>#DIV/0!</v>
      </c>
      <c r="J6" s="45" t="e">
        <f>(getDistance(coord!$C4,coord!$D4,coord!$C$8,coord!$D$8)*1000)/$J$18</f>
        <v>#DIV/0!</v>
      </c>
      <c r="K6" s="45" t="e">
        <f>(getDistance(coord!$C4,coord!$D4,coord!$C$9,coord!$D$9)*1000)/$K$18</f>
        <v>#DIV/0!</v>
      </c>
      <c r="L6" s="45" t="e">
        <f>(getDistance(coord!$C4,coord!$D4,coord!$C$10,coord!$D$10)*1000)/$L$18</f>
        <v>#DIV/0!</v>
      </c>
      <c r="M6" s="45" t="e">
        <f>(getDistance(coord!$C4,coord!$D4,coord!$C$11,coord!$D$11)*1000)/$M$18</f>
        <v>#DIV/0!</v>
      </c>
      <c r="N6" s="45" t="e">
        <f>(getDistance(coord!$C4,coord!$D4,coord!$C$12,coord!$D$12)*1000)/$N$18</f>
        <v>#DIV/0!</v>
      </c>
      <c r="O6" s="45" t="e">
        <f>(getDistance(coord!$C4,coord!$D4,coord!$C$13,coord!$D$13)*1000)/$O$18</f>
        <v>#DIV/0!</v>
      </c>
      <c r="P6" s="45" t="e">
        <f>(getDistance(coord!$C4,coord!$D4,coord!$C$14,coord!$D$14)*1000)/$P$18</f>
        <v>#DIV/0!</v>
      </c>
      <c r="Q6" s="45" t="e">
        <f>(getDistance(coord!$C4,coord!$D4,coord!$C$15,coord!$D$15)*1000)/$Q$18</f>
        <v>#DIV/0!</v>
      </c>
      <c r="R6" s="45" t="e">
        <f>(getDistance(coord!$C4,coord!$D4,coord!$C$16,coord!$D$16)*1000)/$R$18</f>
        <v>#DIV/0!</v>
      </c>
      <c r="S6" s="45" t="e">
        <f>(getDistance(coord!$C4,coord!$D4,coord!$C$17,coord!$D$17)*1000)/$S$18</f>
        <v>#DIV/0!</v>
      </c>
      <c r="T6" s="58" t="s">
        <v>47</v>
      </c>
      <c r="U6" s="17">
        <v>11</v>
      </c>
      <c r="V6" s="59">
        <v>0.04</v>
      </c>
      <c r="W6" s="59">
        <v>4.0540540540540543E-2</v>
      </c>
      <c r="X6" s="59">
        <v>3.2967032967032968E-2</v>
      </c>
      <c r="Y6" s="59">
        <v>2.6315789473684209E-2</v>
      </c>
      <c r="Z6" s="59">
        <v>3.1496062992125984E-2</v>
      </c>
      <c r="AA6" s="59">
        <v>5.3030303030303032E-2</v>
      </c>
      <c r="AB6" s="59">
        <v>5.46875E-2</v>
      </c>
      <c r="AC6" s="59">
        <v>5.0724637681159424E-2</v>
      </c>
      <c r="AD6" s="59">
        <v>1.4925373134328358E-2</v>
      </c>
      <c r="AE6" s="59">
        <v>2.4390243902439025E-2</v>
      </c>
      <c r="AF6" s="59">
        <v>3.4782608695652174E-2</v>
      </c>
      <c r="AG6" s="59">
        <v>1.6393442622950821E-2</v>
      </c>
      <c r="AH6" s="59">
        <v>2.5423728813559324E-2</v>
      </c>
      <c r="AI6" s="59">
        <v>3.875968992248062E-2</v>
      </c>
      <c r="AJ6" s="59">
        <v>3.90625E-2</v>
      </c>
      <c r="AK6">
        <f t="shared" si="0"/>
        <v>3.4899963585083765E-2</v>
      </c>
    </row>
    <row r="7" spans="1:37" ht="15.75" customHeight="1">
      <c r="A7" s="12"/>
      <c r="B7" s="17">
        <v>5</v>
      </c>
      <c r="C7" s="45" t="e">
        <f>(getDistance(coord!C5,coord!D5,coord!$C$1,coord!$D$1)*1000)/$C$18</f>
        <v>#DIV/0!</v>
      </c>
      <c r="D7" s="45" t="e">
        <f>(getDistance(coord!C5,coord!D5,coord!$C$2,coord!$D$2)*1000)/$D$18</f>
        <v>#DIV/0!</v>
      </c>
      <c r="E7" s="45" t="e">
        <f>(getDistance(coord!$C5,coord!$D5,coord!$C$3,coord!$D$3)*1000)/$E$18</f>
        <v>#DIV/0!</v>
      </c>
      <c r="F7" s="45" t="e">
        <f>(getDistance(coord!$C5,coord!$D5,coord!$C$4,coord!$D$4)*1000)/$F$18</f>
        <v>#DIV/0!</v>
      </c>
      <c r="G7" s="46" t="e">
        <f>(getDistance(coord!$C5,coord!$D5,coord!$C$5,coord!$D$5)*1000)/$G$18</f>
        <v>#DIV/0!</v>
      </c>
      <c r="H7" s="45" t="e">
        <f>(getDistance(coord!$C5,coord!$D5,coord!$C$6,coord!$D$6)*1000)/$H$18</f>
        <v>#DIV/0!</v>
      </c>
      <c r="I7" s="45" t="e">
        <f>(getDistance(coord!$C5,coord!$D5,coord!$C$7,coord!$D$7)*1000)/$I$18</f>
        <v>#DIV/0!</v>
      </c>
      <c r="J7" s="45" t="e">
        <f>(getDistance(coord!$C5,coord!$D5,coord!$C$8,coord!$D$8)*1000)/$J$18</f>
        <v>#DIV/0!</v>
      </c>
      <c r="K7" s="45" t="e">
        <f>(getDistance(coord!$C5,coord!$D5,coord!$C$9,coord!$D$9)*1000)/$K$18</f>
        <v>#DIV/0!</v>
      </c>
      <c r="L7" s="45" t="e">
        <f>(getDistance(coord!$C5,coord!$D5,coord!$C$10,coord!$D$10)*1000)/$L$18</f>
        <v>#DIV/0!</v>
      </c>
      <c r="M7" s="45" t="e">
        <f>(getDistance(coord!$C5,coord!$D5,coord!$C$11,coord!$D$11)*1000)/$M$18</f>
        <v>#DIV/0!</v>
      </c>
      <c r="N7" s="45" t="e">
        <f>(getDistance(coord!$C5,coord!$D5,coord!$C$12,coord!$D$12)*1000)/$N$18</f>
        <v>#DIV/0!</v>
      </c>
      <c r="O7" s="45" t="e">
        <f>(getDistance(coord!$C5,coord!$D5,coord!$C$13,coord!$D$13)*1000)/$O$18</f>
        <v>#DIV/0!</v>
      </c>
      <c r="P7" s="45" t="e">
        <f>(getDistance(coord!$C5,coord!$D5,coord!$C$14,coord!$D$14)*1000)/$P$18</f>
        <v>#DIV/0!</v>
      </c>
      <c r="Q7" s="45" t="e">
        <f>(getDistance(coord!$C5,coord!$D5,coord!$C$15,coord!$D$15)*1000)/$Q$18</f>
        <v>#DIV/0!</v>
      </c>
      <c r="R7" s="45" t="e">
        <f>(getDistance(coord!$C5,coord!$D5,coord!$C$16,coord!$D$16)*1000)/$R$18</f>
        <v>#DIV/0!</v>
      </c>
      <c r="S7" s="45" t="e">
        <f>(getDistance(coord!$C5,coord!$D5,coord!$C$17,coord!$D$17)*1000)/$S$18</f>
        <v>#DIV/0!</v>
      </c>
      <c r="T7" s="58" t="s">
        <v>48</v>
      </c>
      <c r="U7" s="17">
        <v>12</v>
      </c>
      <c r="V7" s="59">
        <v>0.1</v>
      </c>
      <c r="W7" s="59">
        <v>0.10810810810810811</v>
      </c>
      <c r="X7" s="59">
        <v>8.7912087912087919E-2</v>
      </c>
      <c r="Y7" s="59">
        <v>7.0175438596491224E-2</v>
      </c>
      <c r="Z7" s="59">
        <v>7.0866141732283464E-2</v>
      </c>
      <c r="AA7" s="59">
        <v>6.8181818181818177E-2</v>
      </c>
      <c r="AB7" s="59">
        <v>6.25E-2</v>
      </c>
      <c r="AC7" s="59">
        <v>6.5217391304347824E-2</v>
      </c>
      <c r="AD7" s="59">
        <v>7.4626865671641784E-2</v>
      </c>
      <c r="AE7" s="59">
        <v>7.3170731707317069E-2</v>
      </c>
      <c r="AF7" s="59">
        <v>6.0869565217391307E-2</v>
      </c>
      <c r="AG7" s="59">
        <v>6.5573770491803282E-2</v>
      </c>
      <c r="AH7" s="59">
        <v>8.4745762711864403E-2</v>
      </c>
      <c r="AI7" s="59">
        <v>6.2015503875968991E-2</v>
      </c>
      <c r="AJ7" s="59">
        <v>7.03125E-2</v>
      </c>
      <c r="AK7">
        <f t="shared" si="0"/>
        <v>7.4951712367408219E-2</v>
      </c>
    </row>
    <row r="8" spans="1:37" ht="15.75" customHeight="1">
      <c r="A8" s="12"/>
      <c r="B8" s="17">
        <v>6</v>
      </c>
      <c r="C8" s="45" t="e">
        <f>(getDistance(coord!C6,coord!D6,coord!$C$1,coord!$D$1)*1000)/$C$18</f>
        <v>#DIV/0!</v>
      </c>
      <c r="D8" s="45" t="e">
        <f>(getDistance(coord!C6,coord!D6,coord!$C$2,coord!$D$2)*1000)/$D$18</f>
        <v>#DIV/0!</v>
      </c>
      <c r="E8" s="45" t="e">
        <f>(getDistance(coord!$C6,coord!$D6,coord!$C$3,coord!$D$3)*1000)/$E$18</f>
        <v>#DIV/0!</v>
      </c>
      <c r="F8" s="45" t="e">
        <f>(getDistance(coord!$C6,coord!$D6,coord!$C$4,coord!$D$4)*1000)/$F$18</f>
        <v>#DIV/0!</v>
      </c>
      <c r="G8" s="45" t="e">
        <f>(getDistance(coord!$C6,coord!$D6,coord!$C$5,coord!$D$5)*1000)/$G$18</f>
        <v>#DIV/0!</v>
      </c>
      <c r="H8" s="46" t="e">
        <f>(getDistance(coord!$C6,coord!$D6,coord!$C$6,coord!$D$6)*1000)/$H$18</f>
        <v>#DIV/0!</v>
      </c>
      <c r="I8" s="45" t="e">
        <f>(getDistance(coord!$C6,coord!$D6,coord!$C$7,coord!$D$7)*1000)/$I$18</f>
        <v>#DIV/0!</v>
      </c>
      <c r="J8" s="45" t="e">
        <f>(getDistance(coord!$C6,coord!$D6,coord!$C$8,coord!$D$8)*1000)/$J$18</f>
        <v>#DIV/0!</v>
      </c>
      <c r="K8" s="45" t="e">
        <f>(getDistance(coord!$C6,coord!$D6,coord!$C$9,coord!$D$9)*1000)/$K$18</f>
        <v>#DIV/0!</v>
      </c>
      <c r="L8" s="45" t="e">
        <f>(getDistance(coord!$C6,coord!$D6,coord!$C$10,coord!$D$10)*1000)/$L$18</f>
        <v>#DIV/0!</v>
      </c>
      <c r="M8" s="45" t="e">
        <f>(getDistance(coord!$C6,coord!$D6,coord!$C$11,coord!$D$11)*1000)/$M$18</f>
        <v>#DIV/0!</v>
      </c>
      <c r="N8" s="45" t="e">
        <f>(getDistance(coord!$C6,coord!$D6,coord!$C$12,coord!$D$12)*1000)/$N$18</f>
        <v>#DIV/0!</v>
      </c>
      <c r="O8" s="45" t="e">
        <f>(getDistance(coord!$C6,coord!$D6,coord!$C$13,coord!$D$13)*1000)/$O$18</f>
        <v>#DIV/0!</v>
      </c>
      <c r="P8" s="45" t="e">
        <f>(getDistance(coord!$C6,coord!$D6,coord!$C$14,coord!$D$14)*1000)/$P$18</f>
        <v>#DIV/0!</v>
      </c>
      <c r="Q8" s="45" t="e">
        <f>(getDistance(coord!$C6,coord!$D6,coord!$C$15,coord!$D$15)*1000)/$Q$18</f>
        <v>#DIV/0!</v>
      </c>
      <c r="R8" s="45" t="e">
        <f>(getDistance(coord!$C6,coord!$D6,coord!$C$16,coord!$D$16)*1000)/$R$18</f>
        <v>#DIV/0!</v>
      </c>
      <c r="S8" s="45" t="e">
        <f>(getDistance(coord!$C6,coord!$D6,coord!$C$17,coord!$D$17)*1000)/$S$18</f>
        <v>#DIV/0!</v>
      </c>
      <c r="T8" s="58" t="s">
        <v>49</v>
      </c>
      <c r="U8" s="17">
        <v>13</v>
      </c>
      <c r="V8" s="59">
        <v>0.04</v>
      </c>
      <c r="W8" s="59">
        <v>1.3513513513513514E-2</v>
      </c>
      <c r="X8" s="59">
        <v>1.098901098901099E-2</v>
      </c>
      <c r="Y8" s="59">
        <v>1.7543859649122806E-2</v>
      </c>
      <c r="Z8" s="59">
        <v>1.5748031496062992E-2</v>
      </c>
      <c r="AA8" s="59">
        <v>2.2727272727272728E-2</v>
      </c>
      <c r="AB8" s="59">
        <v>3.125E-2</v>
      </c>
      <c r="AC8" s="59">
        <v>2.8985507246376812E-2</v>
      </c>
      <c r="AD8" s="59">
        <v>2.9850746268656716E-2</v>
      </c>
      <c r="AE8" s="59">
        <v>5.6910569105691054E-2</v>
      </c>
      <c r="AF8" s="59">
        <v>6.0869565217391307E-2</v>
      </c>
      <c r="AG8" s="59">
        <v>4.0983606557377046E-2</v>
      </c>
      <c r="AH8" s="59">
        <v>4.2372881355932202E-2</v>
      </c>
      <c r="AI8" s="59">
        <v>3.1007751937984496E-2</v>
      </c>
      <c r="AJ8" s="59">
        <v>3.125E-2</v>
      </c>
      <c r="AK8">
        <f t="shared" si="0"/>
        <v>3.1600154404292841E-2</v>
      </c>
    </row>
    <row r="9" spans="1:37" ht="15.75" customHeight="1">
      <c r="A9" s="12"/>
      <c r="B9" s="17">
        <v>7</v>
      </c>
      <c r="C9" s="45" t="e">
        <f>(getDistance(coord!C7,coord!D7,coord!$C$1,coord!$D$1)*1000)/$C$18</f>
        <v>#DIV/0!</v>
      </c>
      <c r="D9" s="45" t="e">
        <f>(getDistance(coord!C7,coord!D7,coord!$C$2,coord!$D$2)*1000)/$D$18</f>
        <v>#DIV/0!</v>
      </c>
      <c r="E9" s="45" t="e">
        <f>(getDistance(coord!$C7,coord!$D7,coord!$C$3,coord!$D$3)*1000)/$E$18</f>
        <v>#DIV/0!</v>
      </c>
      <c r="F9" s="45" t="e">
        <f>(getDistance(coord!$C7,coord!$D7,coord!$C$4,coord!$D$4)*1000)/$F$18</f>
        <v>#DIV/0!</v>
      </c>
      <c r="G9" s="45" t="e">
        <f>(getDistance(coord!$C7,coord!$D7,coord!$C$5,coord!$D$5)*1000)/$G$18</f>
        <v>#DIV/0!</v>
      </c>
      <c r="H9" s="45" t="e">
        <f>(getDistance(coord!$C7,coord!$D7,coord!$C$6,coord!$D$6)*1000)/$H$18</f>
        <v>#DIV/0!</v>
      </c>
      <c r="I9" s="46" t="e">
        <f>(getDistance(coord!$C7,coord!$D7,coord!$C$7,coord!$D$7)*1000)/$I$18</f>
        <v>#DIV/0!</v>
      </c>
      <c r="J9" s="45" t="e">
        <f>(getDistance(coord!$C7,coord!$D7,coord!$C$8,coord!$D$8)*1000)/$J$18</f>
        <v>#DIV/0!</v>
      </c>
      <c r="K9" s="45" t="e">
        <f>(getDistance(coord!$C7,coord!$D7,coord!$C$9,coord!$D$9)*1000)/$K$18</f>
        <v>#DIV/0!</v>
      </c>
      <c r="L9" s="45" t="e">
        <f>(getDistance(coord!$C7,coord!$D7,coord!$C$10,coord!$D$10)*1000)/$L$18</f>
        <v>#DIV/0!</v>
      </c>
      <c r="M9" s="45" t="e">
        <f>(getDistance(coord!$C7,coord!$D7,coord!$C$11,coord!$D$11)*1000)/$M$18</f>
        <v>#DIV/0!</v>
      </c>
      <c r="N9" s="45" t="e">
        <f>(getDistance(coord!$C7,coord!$D7,coord!$C$12,coord!$D$12)*1000)/$N$18</f>
        <v>#DIV/0!</v>
      </c>
      <c r="O9" s="45" t="e">
        <f>(getDistance(coord!$C7,coord!$D7,coord!$C$13,coord!$D$13)*1000)/$O$18</f>
        <v>#DIV/0!</v>
      </c>
      <c r="P9" s="45" t="e">
        <f>(getDistance(coord!$C7,coord!$D7,coord!$C$14,coord!$D$14)*1000)/$P$18</f>
        <v>#DIV/0!</v>
      </c>
      <c r="Q9" s="45" t="e">
        <f>(getDistance(coord!$C7,coord!$D7,coord!$C$15,coord!$D$15)*1000)/$Q$18</f>
        <v>#DIV/0!</v>
      </c>
      <c r="R9" s="45" t="e">
        <f>(getDistance(coord!$C7,coord!$D7,coord!$C$16,coord!$D$16)*1000)/$R$18</f>
        <v>#DIV/0!</v>
      </c>
      <c r="S9" s="45" t="e">
        <f>(getDistance(coord!$C7,coord!$D7,coord!$C$17,coord!$D$17)*1000)/$S$18</f>
        <v>#DIV/0!</v>
      </c>
      <c r="T9" s="58" t="s">
        <v>50</v>
      </c>
      <c r="U9" s="17">
        <v>14</v>
      </c>
      <c r="V9" s="59">
        <v>0.16</v>
      </c>
      <c r="W9" s="59">
        <v>9.45945945945946E-2</v>
      </c>
      <c r="X9" s="59">
        <v>0.13186813186813187</v>
      </c>
      <c r="Y9" s="59">
        <v>7.8947368421052627E-2</v>
      </c>
      <c r="Z9" s="59">
        <v>7.874015748031496E-2</v>
      </c>
      <c r="AA9" s="59">
        <v>8.3333333333333329E-2</v>
      </c>
      <c r="AB9" s="59">
        <v>0.1015625</v>
      </c>
      <c r="AC9" s="59">
        <v>0.10869565217391304</v>
      </c>
      <c r="AD9" s="59">
        <v>8.9552238805970144E-2</v>
      </c>
      <c r="AE9" s="59">
        <v>4.878048780487805E-2</v>
      </c>
      <c r="AF9" s="59">
        <v>6.9565217391304349E-2</v>
      </c>
      <c r="AG9" s="59">
        <v>9.0163934426229511E-2</v>
      </c>
      <c r="AH9" s="59">
        <v>8.4745762711864403E-2</v>
      </c>
      <c r="AI9" s="59">
        <v>0.10077519379844961</v>
      </c>
      <c r="AJ9" s="59">
        <v>0.109375</v>
      </c>
      <c r="AK9">
        <f t="shared" si="0"/>
        <v>9.5379971520669113E-2</v>
      </c>
    </row>
    <row r="10" spans="1:37" ht="15.75" customHeight="1">
      <c r="A10" s="12"/>
      <c r="B10" s="17">
        <v>8</v>
      </c>
      <c r="C10" s="45" t="e">
        <f>(getDistance(coord!C8,coord!D8,coord!$C$1,coord!$D$1)*1000)/$C$18</f>
        <v>#DIV/0!</v>
      </c>
      <c r="D10" s="45" t="e">
        <f>(getDistance(coord!C8,coord!D8,coord!$C$2,coord!$D$2)*1000)/$D$18</f>
        <v>#DIV/0!</v>
      </c>
      <c r="E10" s="45" t="e">
        <f>(getDistance(coord!$C8,coord!$D8,coord!$C$3,coord!$D$3)*1000)/$E$18</f>
        <v>#DIV/0!</v>
      </c>
      <c r="F10" s="45" t="e">
        <f>(getDistance(coord!$C8,coord!$D8,coord!$C$4,coord!$D$4)*1000)/$F$18</f>
        <v>#DIV/0!</v>
      </c>
      <c r="G10" s="45" t="e">
        <f>(getDistance(coord!$C8,coord!$D8,coord!$C$5,coord!$D$5)*1000)/$G$18</f>
        <v>#DIV/0!</v>
      </c>
      <c r="H10" s="45" t="e">
        <f>(getDistance(coord!$C8,coord!$D8,coord!$C$6,coord!$D$6)*1000)/$H$18</f>
        <v>#DIV/0!</v>
      </c>
      <c r="I10" s="45" t="e">
        <f>(getDistance(coord!$C8,coord!$D8,coord!$C$7,coord!$D$7)*1000)/$I$18</f>
        <v>#DIV/0!</v>
      </c>
      <c r="J10" s="46" t="e">
        <f>(getDistance(coord!$C8,coord!$D8,coord!$C$8,coord!$D$8)*1000)/$J$18</f>
        <v>#DIV/0!</v>
      </c>
      <c r="K10" s="45" t="e">
        <f>(getDistance(coord!$C8,coord!$D8,coord!$C$9,coord!$D$9)*1000)/$K$18</f>
        <v>#DIV/0!</v>
      </c>
      <c r="L10" s="45" t="e">
        <f>(getDistance(coord!$C8,coord!$D8,coord!$C$10,coord!$D$10)*1000)/$L$18</f>
        <v>#DIV/0!</v>
      </c>
      <c r="M10" s="45" t="e">
        <f>(getDistance(coord!$C8,coord!$D8,coord!$C$11,coord!$D$11)*1000)/$M$18</f>
        <v>#DIV/0!</v>
      </c>
      <c r="N10" s="45" t="e">
        <f>(getDistance(coord!$C8,coord!$D8,coord!$C$12,coord!$D$12)*1000)/$N$18</f>
        <v>#DIV/0!</v>
      </c>
      <c r="O10" s="45" t="e">
        <f>(getDistance(coord!$C8,coord!$D8,coord!$C$13,coord!$D$13)*1000)/$O$18</f>
        <v>#DIV/0!</v>
      </c>
      <c r="P10" s="45" t="e">
        <f>(getDistance(coord!$C8,coord!$D8,coord!$C$14,coord!$D$14)*1000)/$P$18</f>
        <v>#DIV/0!</v>
      </c>
      <c r="Q10" s="45" t="e">
        <f>(getDistance(coord!$C8,coord!$D8,coord!$C$15,coord!$D$15)*1000)/$Q$18</f>
        <v>#DIV/0!</v>
      </c>
      <c r="R10" s="45" t="e">
        <f>(getDistance(coord!$C8,coord!$D8,coord!$C$16,coord!$D$16)*1000)/$R$18</f>
        <v>#DIV/0!</v>
      </c>
      <c r="S10" s="45" t="e">
        <f>(getDistance(coord!$C8,coord!$D8,coord!$C$17,coord!$D$17)*1000)/$S$18</f>
        <v>#DIV/0!</v>
      </c>
      <c r="T10" s="58" t="s">
        <v>51</v>
      </c>
      <c r="U10" s="17">
        <v>15</v>
      </c>
      <c r="V10" s="59">
        <v>0.02</v>
      </c>
      <c r="W10" s="59">
        <v>4.0540540540540543E-2</v>
      </c>
      <c r="X10" s="59">
        <v>2.197802197802198E-2</v>
      </c>
      <c r="Y10" s="59">
        <v>1.7543859649122806E-2</v>
      </c>
      <c r="Z10" s="59">
        <v>2.3622047244094488E-2</v>
      </c>
      <c r="AA10" s="59">
        <v>2.2727272727272728E-2</v>
      </c>
      <c r="AB10" s="59">
        <v>2.34375E-2</v>
      </c>
      <c r="AC10" s="59">
        <v>1.4492753623188406E-2</v>
      </c>
      <c r="AD10" s="59">
        <v>1.4925373134328358E-2</v>
      </c>
      <c r="AE10" s="59">
        <v>1.6260162601626018E-2</v>
      </c>
      <c r="AF10" s="59">
        <v>2.6086956521739129E-2</v>
      </c>
      <c r="AG10" s="59">
        <v>8.1967213114754103E-3</v>
      </c>
      <c r="AH10" s="59">
        <v>2.5423728813559324E-2</v>
      </c>
      <c r="AI10" s="59">
        <v>1.5503875968992248E-2</v>
      </c>
      <c r="AJ10" s="59">
        <v>1.5625E-2</v>
      </c>
      <c r="AK10">
        <f t="shared" si="0"/>
        <v>2.0424254274264093E-2</v>
      </c>
    </row>
    <row r="11" spans="1:37" ht="15.75" customHeight="1">
      <c r="A11" s="12"/>
      <c r="B11" s="17">
        <v>9</v>
      </c>
      <c r="C11" s="45" t="e">
        <f>(getDistance(coord!C9,coord!D9,coord!$C$1,coord!$D$1)*1000)/$C$18</f>
        <v>#DIV/0!</v>
      </c>
      <c r="D11" s="45" t="e">
        <f>(getDistance(coord!C9,coord!D9,coord!$C$2,coord!$D$2)*1000)/$D$18</f>
        <v>#DIV/0!</v>
      </c>
      <c r="E11" s="45" t="e">
        <f>(getDistance(coord!$C9,coord!$D9,coord!$C$3,coord!$D$3)*1000)/$E$18</f>
        <v>#DIV/0!</v>
      </c>
      <c r="F11" s="45" t="e">
        <f>(getDistance(coord!$C9,coord!$D9,coord!$C$4,coord!$D$4)*1000)/$F$18</f>
        <v>#DIV/0!</v>
      </c>
      <c r="G11" s="45" t="e">
        <f>(getDistance(coord!$C9,coord!$D9,coord!$C$5,coord!$D$5)*1000)/$G$18</f>
        <v>#DIV/0!</v>
      </c>
      <c r="H11" s="45" t="e">
        <f>(getDistance(coord!$C9,coord!$D9,coord!$C$6,coord!$D$6)*1000)/$H$18</f>
        <v>#DIV/0!</v>
      </c>
      <c r="I11" s="45" t="e">
        <f>(getDistance(coord!$C9,coord!$D9,coord!$C$7,coord!$D$7)*1000)/$I$18</f>
        <v>#DIV/0!</v>
      </c>
      <c r="J11" s="45" t="e">
        <f>(getDistance(coord!$C9,coord!$D9,coord!$C$8,coord!$D$8)*1000)/$J$18</f>
        <v>#DIV/0!</v>
      </c>
      <c r="K11" s="46" t="e">
        <f>(getDistance(coord!$C9,coord!$D9,coord!$C$9,coord!$D$9)*1000)/$K$18</f>
        <v>#DIV/0!</v>
      </c>
      <c r="L11" s="45" t="e">
        <f>(getDistance(coord!$C9,coord!$D9,coord!$C$10,coord!$D$10)*1000)/$L$18</f>
        <v>#DIV/0!</v>
      </c>
      <c r="M11" s="45" t="e">
        <f>(getDistance(coord!$C9,coord!$D9,coord!$C$11,coord!$D$11)*1000)/$M$18</f>
        <v>#DIV/0!</v>
      </c>
      <c r="N11" s="45" t="e">
        <f>(getDistance(coord!$C9,coord!$D9,coord!$C$12,coord!$D$12)*1000)/$N$18</f>
        <v>#DIV/0!</v>
      </c>
      <c r="O11" s="45" t="e">
        <f>(getDistance(coord!$C9,coord!$D9,coord!$C$13,coord!$D$13)*1000)/$O$18</f>
        <v>#DIV/0!</v>
      </c>
      <c r="P11" s="45" t="e">
        <f>(getDistance(coord!$C9,coord!$D9,coord!$C$14,coord!$D$14)*1000)/$P$18</f>
        <v>#DIV/0!</v>
      </c>
      <c r="Q11" s="45" t="e">
        <f>(getDistance(coord!$C9,coord!$D9,coord!$C$15,coord!$D$15)*1000)/$Q$18</f>
        <v>#DIV/0!</v>
      </c>
      <c r="R11" s="45" t="e">
        <f>(getDistance(coord!$C9,coord!$D9,coord!$C$16,coord!$D$16)*1000)/$R$18</f>
        <v>#DIV/0!</v>
      </c>
      <c r="S11" s="45" t="e">
        <f>(getDistance(coord!$C9,coord!$D9,coord!$C$17,coord!$D$17)*1000)/$S$18</f>
        <v>#DIV/0!</v>
      </c>
      <c r="T11" s="58" t="s">
        <v>52</v>
      </c>
      <c r="U11" s="17">
        <v>16</v>
      </c>
      <c r="V11" s="59">
        <v>0.02</v>
      </c>
      <c r="W11" s="59">
        <v>1.3513513513513514E-2</v>
      </c>
      <c r="X11" s="59">
        <v>4.3956043956043959E-2</v>
      </c>
      <c r="Y11" s="59">
        <v>7.8947368421052627E-2</v>
      </c>
      <c r="Z11" s="59">
        <v>0.11811023622047244</v>
      </c>
      <c r="AA11" s="59">
        <v>0.13636363636363635</v>
      </c>
      <c r="AB11" s="59">
        <v>0.109375</v>
      </c>
      <c r="AC11" s="59">
        <v>9.420289855072464E-2</v>
      </c>
      <c r="AD11" s="59">
        <v>7.4626865671641784E-2</v>
      </c>
      <c r="AE11" s="59">
        <v>8.1300813008130079E-2</v>
      </c>
      <c r="AF11" s="59">
        <v>0.13043478260869565</v>
      </c>
      <c r="AG11" s="59">
        <v>9.8360655737704916E-2</v>
      </c>
      <c r="AH11" s="59">
        <v>9.3220338983050849E-2</v>
      </c>
      <c r="AI11" s="59">
        <v>0.10077519379844961</v>
      </c>
      <c r="AJ11" s="59">
        <v>0.1171875</v>
      </c>
      <c r="AK11">
        <f t="shared" si="0"/>
        <v>8.7358323122207759E-2</v>
      </c>
    </row>
    <row r="12" spans="1:37" ht="15.75" customHeight="1">
      <c r="A12" s="12"/>
      <c r="B12" s="17">
        <v>10</v>
      </c>
      <c r="C12" s="45" t="e">
        <f>(getDistance(coord!C10,coord!D10,coord!$C$1,coord!$D$1)*1000)/$C$18</f>
        <v>#DIV/0!</v>
      </c>
      <c r="D12" s="45" t="e">
        <f>(getDistance(coord!C10,coord!D10,coord!$C$2,coord!$D$2)*1000)/$D$18</f>
        <v>#DIV/0!</v>
      </c>
      <c r="E12" s="45" t="e">
        <f>(getDistance(coord!$C10,coord!$D10,coord!$C$3,coord!$D$3)*1000)/$E$18</f>
        <v>#DIV/0!</v>
      </c>
      <c r="F12" s="45" t="e">
        <f>(getDistance(coord!$C10,coord!$D10,coord!$C$4,coord!$D$4)*1000)/$F$18</f>
        <v>#DIV/0!</v>
      </c>
      <c r="G12" s="45" t="e">
        <f>(getDistance(coord!$C10,coord!$D10,coord!$C$5,coord!$D$5)*1000)/$G$18</f>
        <v>#DIV/0!</v>
      </c>
      <c r="H12" s="45" t="e">
        <f>(getDistance(coord!$C10,coord!$D10,coord!$C$6,coord!$D$6)*1000)/$H$18</f>
        <v>#DIV/0!</v>
      </c>
      <c r="I12" s="45" t="e">
        <f>(getDistance(coord!$C10,coord!$D10,coord!$C$7,coord!$D$7)*1000)/$I$18</f>
        <v>#DIV/0!</v>
      </c>
      <c r="J12" s="45" t="e">
        <f>(getDistance(coord!$C10,coord!$D10,coord!$C$8,coord!$D$8)*1000)/$J$18</f>
        <v>#DIV/0!</v>
      </c>
      <c r="K12" s="45" t="e">
        <f>(getDistance(coord!$C10,coord!$D10,coord!$C$9,coord!$D$9)*1000)/$K$18</f>
        <v>#DIV/0!</v>
      </c>
      <c r="L12" s="46" t="e">
        <f>(getDistance(coord!$C10,coord!$D10,coord!$C$10,coord!$D$10)*1000)/$L$18</f>
        <v>#DIV/0!</v>
      </c>
      <c r="M12" s="45" t="e">
        <f>(getDistance(coord!$C10,coord!$D10,coord!$C$11,coord!$D$11)*1000)/$M$18</f>
        <v>#DIV/0!</v>
      </c>
      <c r="N12" s="45" t="e">
        <f>(getDistance(coord!$C10,coord!$D10,coord!$C$12,coord!$D$12)*1000)/$N$18</f>
        <v>#DIV/0!</v>
      </c>
      <c r="O12" s="45" t="e">
        <f>(getDistance(coord!$C10,coord!$D10,coord!$C$13,coord!$D$13)*1000)/$O$18</f>
        <v>#DIV/0!</v>
      </c>
      <c r="P12" s="45" t="e">
        <f>(getDistance(coord!$C10,coord!$D10,coord!$C$14,coord!$D$14)*1000)/$P$18</f>
        <v>#DIV/0!</v>
      </c>
      <c r="Q12" s="45" t="e">
        <f>(getDistance(coord!$C10,coord!$D10,coord!$C$15,coord!$D$15)*1000)/$Q$18</f>
        <v>#DIV/0!</v>
      </c>
      <c r="R12" s="45" t="e">
        <f>(getDistance(coord!$C10,coord!$D10,coord!$C$16,coord!$D$16)*1000)/$R$18</f>
        <v>#DIV/0!</v>
      </c>
      <c r="S12" s="45" t="e">
        <f>(getDistance(coord!$C10,coord!$D10,coord!$C$17,coord!$D$17)*1000)/$S$18</f>
        <v>#DIV/0!</v>
      </c>
      <c r="T12" s="58" t="s">
        <v>53</v>
      </c>
      <c r="U12" s="17">
        <v>17</v>
      </c>
      <c r="V12" s="59">
        <v>0.04</v>
      </c>
      <c r="W12" s="59">
        <v>8.1081081081081086E-2</v>
      </c>
      <c r="X12" s="59">
        <v>9.8901098901098897E-2</v>
      </c>
      <c r="Y12" s="59">
        <v>7.0175438596491224E-2</v>
      </c>
      <c r="Z12" s="59">
        <v>4.7244094488188976E-2</v>
      </c>
      <c r="AA12" s="59">
        <v>5.3030303030303032E-2</v>
      </c>
      <c r="AB12" s="59">
        <v>5.46875E-2</v>
      </c>
      <c r="AC12" s="59">
        <v>5.7971014492753624E-2</v>
      </c>
      <c r="AD12" s="59">
        <v>5.9701492537313432E-2</v>
      </c>
      <c r="AE12" s="59">
        <v>6.5040650406504072E-2</v>
      </c>
      <c r="AF12" s="59">
        <v>5.2173913043478258E-2</v>
      </c>
      <c r="AG12" s="59">
        <v>7.3770491803278687E-2</v>
      </c>
      <c r="AH12" s="59">
        <v>7.6271186440677971E-2</v>
      </c>
      <c r="AI12" s="59">
        <v>4.6511627906976744E-2</v>
      </c>
      <c r="AJ12" s="59">
        <v>7.03125E-2</v>
      </c>
      <c r="AK12">
        <f t="shared" si="0"/>
        <v>6.3124826181876398E-2</v>
      </c>
    </row>
    <row r="13" spans="1:37" ht="15.75" customHeight="1">
      <c r="A13" s="12"/>
      <c r="B13" s="17">
        <v>11</v>
      </c>
      <c r="C13" s="45" t="e">
        <f>(getDistance(coord!C11,coord!D11,coord!$C$1,coord!$D$1)*1000)/$C$18</f>
        <v>#DIV/0!</v>
      </c>
      <c r="D13" s="45" t="e">
        <f>(getDistance(coord!C11,coord!D11,coord!$C$2,coord!$D$2)*1000)/$D$18</f>
        <v>#DIV/0!</v>
      </c>
      <c r="E13" s="45" t="e">
        <f>(getDistance(coord!$C11,coord!$D11,coord!$C$3,coord!$D$3)*1000)/$E$18</f>
        <v>#DIV/0!</v>
      </c>
      <c r="F13" s="45" t="e">
        <f>(getDistance(coord!$C11,coord!$D11,coord!$C$4,coord!$D$4)*1000)/$F$18</f>
        <v>#DIV/0!</v>
      </c>
      <c r="G13" s="45" t="e">
        <f>(getDistance(coord!$C11,coord!$D11,coord!$C$5,coord!$D$5)*1000)/$G$18</f>
        <v>#DIV/0!</v>
      </c>
      <c r="H13" s="45" t="e">
        <f>(getDistance(coord!$C11,coord!$D11,coord!$C$6,coord!$D$6)*1000)/$H$18</f>
        <v>#DIV/0!</v>
      </c>
      <c r="I13" s="45" t="e">
        <f>(getDistance(coord!$C11,coord!$D11,coord!$C$7,coord!$D$7)*1000)/$I$18</f>
        <v>#DIV/0!</v>
      </c>
      <c r="J13" s="45" t="e">
        <f>(getDistance(coord!$C11,coord!$D11,coord!$C$8,coord!$D$8)*1000)/$J$18</f>
        <v>#DIV/0!</v>
      </c>
      <c r="K13" s="45" t="e">
        <f>(getDistance(coord!$C11,coord!$D11,coord!$C$9,coord!$D$9)*1000)/$K$18</f>
        <v>#DIV/0!</v>
      </c>
      <c r="L13" s="45" t="e">
        <f>(getDistance(coord!$C11,coord!$D11,coord!$C$10,coord!$D$10)*1000)/$L$18</f>
        <v>#DIV/0!</v>
      </c>
      <c r="M13" s="46" t="e">
        <f>(getDistance(coord!$C11,coord!$D11,coord!$C$11,coord!$D$11)*1000)/$M$18</f>
        <v>#DIV/0!</v>
      </c>
      <c r="N13" s="45" t="e">
        <f>(getDistance(coord!$C11,coord!$D11,coord!$C$12,coord!$D$12)*1000)/$N$18</f>
        <v>#DIV/0!</v>
      </c>
      <c r="O13" s="45" t="e">
        <f>(getDistance(coord!$C11,coord!$D11,coord!$C$13,coord!$D$13)*1000)/$O$18</f>
        <v>#DIV/0!</v>
      </c>
      <c r="P13" s="45" t="e">
        <f>(getDistance(coord!$C11,coord!$D11,coord!$C$14,coord!$D$14)*1000)/$P$18</f>
        <v>#DIV/0!</v>
      </c>
      <c r="Q13" s="45" t="e">
        <f>(getDistance(coord!$C11,coord!$D11,coord!$C$15,coord!$D$15)*1000)/$Q$18</f>
        <v>#DIV/0!</v>
      </c>
      <c r="R13" s="45" t="e">
        <f>(getDistance(coord!$C11,coord!$D11,coord!$C$16,coord!$D$16)*1000)/$R$18</f>
        <v>#DIV/0!</v>
      </c>
      <c r="S13" s="45" t="e">
        <f>(getDistance(coord!$C11,coord!$D11,coord!$C$17,coord!$D$17)*1000)/$S$18</f>
        <v>#DIV/0!</v>
      </c>
      <c r="T13" s="58" t="s">
        <v>54</v>
      </c>
      <c r="U13" s="17">
        <v>18</v>
      </c>
      <c r="V13" s="59">
        <v>0.04</v>
      </c>
      <c r="W13" s="59">
        <v>2.7027027027027029E-2</v>
      </c>
      <c r="X13" s="59">
        <v>0.13186813186813187</v>
      </c>
      <c r="Y13" s="59">
        <v>0.15789473684210525</v>
      </c>
      <c r="Z13" s="59">
        <v>0.11811023622047244</v>
      </c>
      <c r="AA13" s="59">
        <v>0.11363636363636363</v>
      </c>
      <c r="AB13" s="59">
        <v>0.1484375</v>
      </c>
      <c r="AC13" s="59">
        <v>0.16666666666666666</v>
      </c>
      <c r="AD13" s="59">
        <v>0.19402985074626866</v>
      </c>
      <c r="AE13" s="59">
        <v>0.17886178861788618</v>
      </c>
      <c r="AF13" s="59">
        <v>0.14782608695652175</v>
      </c>
      <c r="AG13" s="59">
        <v>0.1721311475409836</v>
      </c>
      <c r="AH13" s="59">
        <v>0.1440677966101695</v>
      </c>
      <c r="AI13" s="59">
        <v>0.17829457364341086</v>
      </c>
      <c r="AJ13" s="59">
        <v>0.1640625</v>
      </c>
      <c r="AK13">
        <f t="shared" si="0"/>
        <v>0.13886096042506718</v>
      </c>
    </row>
    <row r="14" spans="1:37" ht="15.75" customHeight="1">
      <c r="A14" s="12"/>
      <c r="B14" s="17">
        <v>12</v>
      </c>
      <c r="C14" s="45" t="e">
        <f>(getDistance(coord!C12,coord!D12,coord!$C$1,coord!$D$1)*1000)/$C$18</f>
        <v>#DIV/0!</v>
      </c>
      <c r="D14" s="45" t="e">
        <f>(getDistance(coord!C12,coord!D12,coord!$C$2,coord!$D$2)*1000)/$D$18</f>
        <v>#DIV/0!</v>
      </c>
      <c r="E14" s="45" t="e">
        <f>(getDistance(coord!$C12,coord!$D12,coord!$C$3,coord!$D$3)*1000)/$E$18</f>
        <v>#DIV/0!</v>
      </c>
      <c r="F14" s="45" t="e">
        <f>(getDistance(coord!$C12,coord!$D12,coord!$C$4,coord!$D$4)*1000)/$F$18</f>
        <v>#DIV/0!</v>
      </c>
      <c r="G14" s="45" t="e">
        <f>(getDistance(coord!$C12,coord!$D12,coord!$C$5,coord!$D$5)*1000)/$G$18</f>
        <v>#DIV/0!</v>
      </c>
      <c r="H14" s="45" t="e">
        <f>(getDistance(coord!$C12,coord!$D12,coord!$C$6,coord!$D$6)*1000)/$H$18</f>
        <v>#DIV/0!</v>
      </c>
      <c r="I14" s="45" t="e">
        <f>(getDistance(coord!$C12,coord!$D12,coord!$C$7,coord!$D$7)*1000)/$I$18</f>
        <v>#DIV/0!</v>
      </c>
      <c r="J14" s="45" t="e">
        <f>(getDistance(coord!$C12,coord!$D12,coord!$C$8,coord!$D$8)*1000)/$J$18</f>
        <v>#DIV/0!</v>
      </c>
      <c r="K14" s="45" t="e">
        <f>(getDistance(coord!$C12,coord!$D12,coord!$C$9,coord!$D$9)*1000)/$K$18</f>
        <v>#DIV/0!</v>
      </c>
      <c r="L14" s="45" t="e">
        <f>(getDistance(coord!$C12,coord!$D12,coord!$C$10,coord!$D$10)*1000)/$L$18</f>
        <v>#DIV/0!</v>
      </c>
      <c r="M14" s="45" t="e">
        <f>(getDistance(coord!$C12,coord!$D12,coord!$C$11,coord!$D$11)*1000)/$M$18</f>
        <v>#DIV/0!</v>
      </c>
      <c r="N14" s="46" t="e">
        <f>(getDistance(coord!$C12,coord!$D12,coord!$C$12,coord!$D$12)*1000)/$N$18</f>
        <v>#DIV/0!</v>
      </c>
      <c r="O14" s="45" t="e">
        <f>(getDistance(coord!$C12,coord!$D12,coord!$C$13,coord!$D$13)*1000)/$O$18</f>
        <v>#DIV/0!</v>
      </c>
      <c r="P14" s="45" t="e">
        <f>(getDistance(coord!$C12,coord!$D12,coord!$C$14,coord!$D$14)*1000)/$P$18</f>
        <v>#DIV/0!</v>
      </c>
      <c r="Q14" s="45" t="e">
        <f>(getDistance(coord!$C12,coord!$D12,coord!$C$15,coord!$D$15)*1000)/$Q$18</f>
        <v>#DIV/0!</v>
      </c>
      <c r="R14" s="45" t="e">
        <f>(getDistance(coord!$C12,coord!$D12,coord!$C$16,coord!$D$16)*1000)/$R$18</f>
        <v>#DIV/0!</v>
      </c>
      <c r="S14" s="45" t="e">
        <f>(getDistance(coord!$C12,coord!$D12,coord!$C$17,coord!$D$17)*1000)/$S$18</f>
        <v>#DIV/0!</v>
      </c>
      <c r="T14" s="58" t="s">
        <v>55</v>
      </c>
      <c r="U14" s="17">
        <v>19</v>
      </c>
      <c r="V14" s="59">
        <v>0.28000000000000003</v>
      </c>
      <c r="W14" s="59">
        <v>0.16216216216216217</v>
      </c>
      <c r="X14" s="59">
        <v>0.10989010989010989</v>
      </c>
      <c r="Y14" s="59">
        <v>0.13157894736842105</v>
      </c>
      <c r="Z14" s="59">
        <v>0.14960629921259844</v>
      </c>
      <c r="AA14" s="59">
        <v>0.12121212121212122</v>
      </c>
      <c r="AB14" s="59">
        <v>0.125</v>
      </c>
      <c r="AC14" s="59">
        <v>0.10144927536231885</v>
      </c>
      <c r="AD14" s="59">
        <v>0.1044776119402985</v>
      </c>
      <c r="AE14" s="59">
        <v>9.7560975609756101E-2</v>
      </c>
      <c r="AF14" s="59">
        <v>0.10434782608695652</v>
      </c>
      <c r="AG14" s="59">
        <v>9.8360655737704916E-2</v>
      </c>
      <c r="AH14" s="59">
        <v>0.10169491525423729</v>
      </c>
      <c r="AI14" s="59">
        <v>9.3023255813953487E-2</v>
      </c>
      <c r="AJ14" s="59">
        <v>0.1015625</v>
      </c>
      <c r="AK14">
        <f t="shared" si="0"/>
        <v>0.12546177704337588</v>
      </c>
    </row>
    <row r="15" spans="1:37" ht="15.75" customHeight="1">
      <c r="A15" s="12"/>
      <c r="B15" s="17">
        <v>13</v>
      </c>
      <c r="C15" s="45" t="e">
        <f>(getDistance(coord!C13,coord!D13,coord!$C$1,coord!$D$1)*1000)/$C$18</f>
        <v>#DIV/0!</v>
      </c>
      <c r="D15" s="45" t="e">
        <f>(getDistance(coord!C13,coord!D13,coord!$C$2,coord!$D$2)*1000)/$D$18</f>
        <v>#DIV/0!</v>
      </c>
      <c r="E15" s="45" t="e">
        <f>(getDistance(coord!$C13,coord!$D13,coord!$C$3,coord!$D$3)*1000)/$E$18</f>
        <v>#DIV/0!</v>
      </c>
      <c r="F15" s="45" t="e">
        <f>(getDistance(coord!$C13,coord!$D13,coord!$C$4,coord!$D$4)*1000)/$F$18</f>
        <v>#DIV/0!</v>
      </c>
      <c r="G15" s="45" t="e">
        <f>(getDistance(coord!$C13,coord!$D13,coord!$C$5,coord!$D$5)*1000)/$G$18</f>
        <v>#DIV/0!</v>
      </c>
      <c r="H15" s="45" t="e">
        <f>(getDistance(coord!$C13,coord!$D13,coord!$C$6,coord!$D$6)*1000)/$H$18</f>
        <v>#DIV/0!</v>
      </c>
      <c r="I15" s="45" t="e">
        <f>(getDistance(coord!$C13,coord!$D13,coord!$C$7,coord!$D$7)*1000)/$I$18</f>
        <v>#DIV/0!</v>
      </c>
      <c r="J15" s="45" t="e">
        <f>(getDistance(coord!$C13,coord!$D13,coord!$C$8,coord!$D$8)*1000)/$J$18</f>
        <v>#DIV/0!</v>
      </c>
      <c r="K15" s="45" t="e">
        <f>(getDistance(coord!$C13,coord!$D13,coord!$C$9,coord!$D$9)*1000)/$K$18</f>
        <v>#DIV/0!</v>
      </c>
      <c r="L15" s="45" t="e">
        <f>(getDistance(coord!$C13,coord!$D13,coord!$C$10,coord!$D$10)*1000)/$L$18</f>
        <v>#DIV/0!</v>
      </c>
      <c r="M15" s="45" t="e">
        <f>(getDistance(coord!$C13,coord!$D13,coord!$C$11,coord!$D$11)*1000)/$M$18</f>
        <v>#DIV/0!</v>
      </c>
      <c r="N15" s="45" t="e">
        <f>(getDistance(coord!$C13,coord!$D13,coord!$C$12,coord!$D$12)*1000)/$N$18</f>
        <v>#DIV/0!</v>
      </c>
      <c r="O15" s="46" t="e">
        <f>(getDistance(coord!$C13,coord!$D13,coord!$C$13,coord!$D$13)*1000)/$O$18</f>
        <v>#DIV/0!</v>
      </c>
      <c r="P15" s="45" t="e">
        <f>(getDistance(coord!$C13,coord!$D13,coord!$C$14,coord!$D$14)*1000)/$P$18</f>
        <v>#DIV/0!</v>
      </c>
      <c r="Q15" s="45" t="e">
        <f>(getDistance(coord!$C13,coord!$D13,coord!$C$15,coord!$D$15)*1000)/$Q$18</f>
        <v>#DIV/0!</v>
      </c>
      <c r="R15" s="45" t="e">
        <f>(getDistance(coord!$C13,coord!$D13,coord!$C$16,coord!$D$16)*1000)/$R$18</f>
        <v>#DIV/0!</v>
      </c>
      <c r="S15" s="45" t="e">
        <f>(getDistance(coord!$C13,coord!$D13,coord!$C$17,coord!$D$17)*1000)/$S$18</f>
        <v>#DIV/0!</v>
      </c>
      <c r="T15" s="58" t="s">
        <v>56</v>
      </c>
      <c r="U15" s="17">
        <v>20</v>
      </c>
      <c r="V15" s="59">
        <v>0.02</v>
      </c>
      <c r="W15" s="59">
        <v>1.3513513513513514E-2</v>
      </c>
      <c r="X15" s="59">
        <v>4.3956043956043959E-2</v>
      </c>
      <c r="Y15" s="59">
        <v>8.771929824561403E-2</v>
      </c>
      <c r="Z15" s="59">
        <v>5.5118110236220472E-2</v>
      </c>
      <c r="AA15" s="59">
        <v>5.3030303030303032E-2</v>
      </c>
      <c r="AB15" s="59">
        <v>5.46875E-2</v>
      </c>
      <c r="AC15" s="59">
        <v>3.6231884057971016E-2</v>
      </c>
      <c r="AD15" s="59">
        <v>5.2238805970149252E-2</v>
      </c>
      <c r="AE15" s="59">
        <v>4.878048780487805E-2</v>
      </c>
      <c r="AF15" s="59">
        <v>3.4782608695652174E-2</v>
      </c>
      <c r="AG15" s="59">
        <v>5.737704918032787E-2</v>
      </c>
      <c r="AH15" s="59">
        <v>5.0847457627118647E-2</v>
      </c>
      <c r="AI15" s="59">
        <v>5.4263565891472867E-2</v>
      </c>
      <c r="AJ15" s="59">
        <v>3.125E-2</v>
      </c>
      <c r="AK15">
        <f t="shared" si="0"/>
        <v>4.6253108547284323E-2</v>
      </c>
    </row>
    <row r="16" spans="1:37" ht="15.75" customHeight="1">
      <c r="A16" s="12"/>
      <c r="B16" s="17">
        <v>14</v>
      </c>
      <c r="C16" s="45" t="e">
        <f>(getDistance(coord!C14,coord!D14,coord!$C$1,coord!$D$1)*1000)/$C$18</f>
        <v>#DIV/0!</v>
      </c>
      <c r="D16" s="45" t="e">
        <f>(getDistance(coord!C14,coord!D14,coord!$C$2,coord!$D$2)*1000)/$D$18</f>
        <v>#DIV/0!</v>
      </c>
      <c r="E16" s="45" t="e">
        <f>(getDistance(coord!$C14,coord!$D14,coord!$C$3,coord!$D$3)*1000)/$E$18</f>
        <v>#DIV/0!</v>
      </c>
      <c r="F16" s="45" t="e">
        <f>(getDistance(coord!$C14,coord!$D14,coord!$C$4,coord!$D$4)*1000)/$F$18</f>
        <v>#DIV/0!</v>
      </c>
      <c r="G16" s="45" t="e">
        <f>(getDistance(coord!$C14,coord!$D14,coord!$C$5,coord!$D$5)*1000)/$G$18</f>
        <v>#DIV/0!</v>
      </c>
      <c r="H16" s="45" t="e">
        <f>(getDistance(coord!$C14,coord!$D14,coord!$C$6,coord!$D$6)*1000)/$H$18</f>
        <v>#DIV/0!</v>
      </c>
      <c r="I16" s="45" t="e">
        <f>(getDistance(coord!$C14,coord!$D14,coord!$C$7,coord!$D$7)*1000)/$I$18</f>
        <v>#DIV/0!</v>
      </c>
      <c r="J16" s="45" t="e">
        <f>(getDistance(coord!$C14,coord!$D14,coord!$C$8,coord!$D$8)*1000)/$J$18</f>
        <v>#DIV/0!</v>
      </c>
      <c r="K16" s="45" t="e">
        <f>(getDistance(coord!$C14,coord!$D14,coord!$C$9,coord!$D$9)*1000)/$K$18</f>
        <v>#DIV/0!</v>
      </c>
      <c r="L16" s="45" t="e">
        <f>(getDistance(coord!$C14,coord!$D14,coord!$C$10,coord!$D$10)*1000)/$L$18</f>
        <v>#DIV/0!</v>
      </c>
      <c r="M16" s="45" t="e">
        <f>(getDistance(coord!$C14,coord!$D14,coord!$C$11,coord!$D$11)*1000)/$M$18</f>
        <v>#DIV/0!</v>
      </c>
      <c r="N16" s="45" t="e">
        <f>(getDistance(coord!$C14,coord!$D14,coord!$C$12,coord!$D$12)*1000)/$N$18</f>
        <v>#DIV/0!</v>
      </c>
      <c r="O16" s="45" t="e">
        <f>(getDistance(coord!$C14,coord!$D14,coord!$C$13,coord!$D$13)*1000)/$O$18</f>
        <v>#DIV/0!</v>
      </c>
      <c r="P16" s="46" t="e">
        <f>(getDistance(coord!$C14,coord!$D14,coord!$C$14,coord!$D$14)*1000)/$P$18</f>
        <v>#DIV/0!</v>
      </c>
      <c r="Q16" s="45" t="e">
        <f>(getDistance(coord!$C14,coord!$D14,coord!$C$15,coord!$D$15)*1000)/$Q$18</f>
        <v>#DIV/0!</v>
      </c>
      <c r="R16" s="45" t="e">
        <f>(getDistance(coord!$C14,coord!$D14,coord!$C$16,coord!$D$16)*1000)/$R$18</f>
        <v>#DIV/0!</v>
      </c>
      <c r="S16" s="45" t="e">
        <f>(getDistance(coord!$C14,coord!$D14,coord!$C$17,coord!$D$17)*1000)/$S$18</f>
        <v>#DIV/0!</v>
      </c>
      <c r="T16" s="58" t="s">
        <v>57</v>
      </c>
      <c r="U16" s="17">
        <v>21</v>
      </c>
      <c r="V16" s="59">
        <v>0.02</v>
      </c>
      <c r="W16" s="59">
        <v>1.3513513513513514E-2</v>
      </c>
      <c r="X16" s="59">
        <v>2.197802197802198E-2</v>
      </c>
      <c r="Y16" s="59">
        <v>3.5087719298245612E-2</v>
      </c>
      <c r="Z16" s="59">
        <v>4.7244094488188976E-2</v>
      </c>
      <c r="AA16" s="59">
        <v>5.3030303030303032E-2</v>
      </c>
      <c r="AB16" s="59">
        <v>3.90625E-2</v>
      </c>
      <c r="AC16" s="59">
        <v>5.7971014492753624E-2</v>
      </c>
      <c r="AD16" s="59">
        <v>5.2238805970149252E-2</v>
      </c>
      <c r="AE16" s="59">
        <v>8.1300813008130079E-2</v>
      </c>
      <c r="AF16" s="59">
        <v>5.2173913043478258E-2</v>
      </c>
      <c r="AG16" s="59">
        <v>5.737704918032787E-2</v>
      </c>
      <c r="AH16" s="59">
        <v>5.9322033898305086E-2</v>
      </c>
      <c r="AI16" s="59">
        <v>3.875968992248062E-2</v>
      </c>
      <c r="AJ16" s="59">
        <v>5.46875E-2</v>
      </c>
      <c r="AK16">
        <f t="shared" si="0"/>
        <v>4.5583131454926519E-2</v>
      </c>
    </row>
    <row r="17" spans="1:37" ht="15.75" customHeight="1">
      <c r="A17" s="12"/>
      <c r="B17" s="17">
        <v>15</v>
      </c>
      <c r="C17" s="45" t="e">
        <f>(getDistance(coord!C15,coord!D15,coord!$C$1,coord!$D$1)*1000)/$C$18</f>
        <v>#DIV/0!</v>
      </c>
      <c r="D17" s="45" t="e">
        <f>(getDistance(coord!C15,coord!D15,coord!$C$2,coord!$D$2)*1000)/$D$18</f>
        <v>#DIV/0!</v>
      </c>
      <c r="E17" s="45" t="e">
        <f>(getDistance(coord!$C15,coord!$D15,coord!$C$3,coord!$D$3)*1000)/$E$18</f>
        <v>#DIV/0!</v>
      </c>
      <c r="F17" s="45" t="e">
        <f>(getDistance(coord!$C15,coord!$D15,coord!$C$4,coord!$D$4)*1000)/$F$18</f>
        <v>#DIV/0!</v>
      </c>
      <c r="G17" s="45" t="e">
        <f>(getDistance(coord!$C15,coord!$D15,coord!$C$5,coord!$D$5)*1000)/$G$18</f>
        <v>#DIV/0!</v>
      </c>
      <c r="H17" s="45" t="e">
        <f>(getDistance(coord!$C15,coord!$D15,coord!$C$6,coord!$D$6)*1000)/$H$18</f>
        <v>#DIV/0!</v>
      </c>
      <c r="I17" s="45" t="e">
        <f>(getDistance(coord!$C15,coord!$D15,coord!$C$7,coord!$D$7)*1000)/$I$18</f>
        <v>#DIV/0!</v>
      </c>
      <c r="J17" s="45" t="e">
        <f>(getDistance(coord!$C15,coord!$D15,coord!$C$8,coord!$D$8)*1000)/$J$18</f>
        <v>#DIV/0!</v>
      </c>
      <c r="K17" s="45" t="e">
        <f>(getDistance(coord!$C15,coord!$D15,coord!$C$9,coord!$D$9)*1000)/$K$18</f>
        <v>#DIV/0!</v>
      </c>
      <c r="L17" s="45" t="e">
        <f>(getDistance(coord!$C15,coord!$D15,coord!$C$10,coord!$D$10)*1000)/$L$18</f>
        <v>#DIV/0!</v>
      </c>
      <c r="M17" s="45" t="e">
        <f>(getDistance(coord!$C15,coord!$D15,coord!$C$11,coord!$D$11)*1000)/$M$18</f>
        <v>#DIV/0!</v>
      </c>
      <c r="N17" s="45" t="e">
        <f>(getDistance(coord!$C15,coord!$D15,coord!$C$12,coord!$D$12)*1000)/$N$18</f>
        <v>#DIV/0!</v>
      </c>
      <c r="O17" s="45" t="e">
        <f>(getDistance(coord!$C15,coord!$D15,coord!$C$13,coord!$D$13)*1000)/$O$18</f>
        <v>#DIV/0!</v>
      </c>
      <c r="P17" s="45" t="e">
        <f>(getDistance(coord!$C15,coord!$D15,coord!$C$14,coord!$D$14)*1000)/$P$18</f>
        <v>#DIV/0!</v>
      </c>
      <c r="Q17" s="46" t="e">
        <f>(getDistance(coord!$C15,coord!$D15,coord!$C$15,coord!$D$15)*1000)/$Q$18</f>
        <v>#DIV/0!</v>
      </c>
      <c r="R17" s="45" t="e">
        <f>(getDistance(coord!$C15,coord!$D15,coord!$C$16,coord!$D$16)*1000)/$R$18</f>
        <v>#DIV/0!</v>
      </c>
      <c r="S17" s="45" t="e">
        <f>(getDistance(coord!$C15,coord!$D15,coord!$C$17,coord!$D$17)*1000)/$S$18</f>
        <v>#DIV/0!</v>
      </c>
      <c r="T17" s="58" t="s">
        <v>58</v>
      </c>
      <c r="U17" s="17">
        <v>22</v>
      </c>
      <c r="V17" s="59">
        <v>0.06</v>
      </c>
      <c r="W17" s="59">
        <v>5.4054054054054057E-2</v>
      </c>
      <c r="X17" s="59">
        <v>4.3956043956043959E-2</v>
      </c>
      <c r="Y17" s="59">
        <v>4.3859649122807015E-2</v>
      </c>
      <c r="Z17" s="59">
        <v>3.1496062992125984E-2</v>
      </c>
      <c r="AA17" s="59">
        <v>3.0303030303030304E-2</v>
      </c>
      <c r="AB17" s="59">
        <v>3.125E-2</v>
      </c>
      <c r="AC17" s="59">
        <v>3.6231884057971016E-2</v>
      </c>
      <c r="AD17" s="59">
        <v>3.7313432835820892E-2</v>
      </c>
      <c r="AE17" s="59">
        <v>4.065040650406504E-2</v>
      </c>
      <c r="AF17" s="59">
        <v>3.4782608695652174E-2</v>
      </c>
      <c r="AG17" s="59">
        <v>4.0983606557377046E-2</v>
      </c>
      <c r="AH17" s="59">
        <v>6.7796610169491525E-2</v>
      </c>
      <c r="AI17" s="59">
        <v>4.6511627906976744E-2</v>
      </c>
      <c r="AJ17" s="59">
        <v>3.90625E-2</v>
      </c>
      <c r="AK17">
        <f t="shared" si="0"/>
        <v>4.2550101143694383E-2</v>
      </c>
    </row>
    <row r="18" spans="1:37">
      <c r="B18" s="8"/>
      <c r="C18" s="51"/>
      <c r="D18" s="51"/>
      <c r="E18" s="51"/>
      <c r="F18" s="51"/>
      <c r="G18" s="51"/>
      <c r="H18" s="51"/>
      <c r="I18" s="51"/>
      <c r="J18" s="51"/>
      <c r="K18" s="51"/>
      <c r="L18" s="51"/>
      <c r="M18" s="51"/>
      <c r="N18" s="51"/>
      <c r="O18" s="51"/>
      <c r="P18" s="51"/>
      <c r="Q18" s="51"/>
      <c r="R18" s="51"/>
      <c r="S18" s="51"/>
      <c r="V18">
        <v>250</v>
      </c>
      <c r="W18">
        <v>370</v>
      </c>
      <c r="X18">
        <v>455</v>
      </c>
      <c r="Y18">
        <v>570</v>
      </c>
      <c r="Z18">
        <v>635</v>
      </c>
      <c r="AA18">
        <v>660</v>
      </c>
      <c r="AB18">
        <v>640</v>
      </c>
      <c r="AC18">
        <v>690</v>
      </c>
      <c r="AD18">
        <v>670</v>
      </c>
      <c r="AE18">
        <v>615</v>
      </c>
      <c r="AF18">
        <v>575</v>
      </c>
      <c r="AG18">
        <v>610</v>
      </c>
      <c r="AH18">
        <v>590</v>
      </c>
      <c r="AI18">
        <v>645</v>
      </c>
      <c r="AJ18">
        <v>640</v>
      </c>
    </row>
    <row r="19" spans="1:37">
      <c r="A19" t="s">
        <v>4</v>
      </c>
      <c r="B19" t="s">
        <v>7</v>
      </c>
      <c r="C19" t="s">
        <v>9</v>
      </c>
      <c r="D19" t="s">
        <v>2</v>
      </c>
      <c r="E19" t="s">
        <v>1</v>
      </c>
      <c r="F19" t="s">
        <v>0</v>
      </c>
      <c r="U19" s="16" t="s">
        <v>12</v>
      </c>
      <c r="V19" s="5">
        <v>1</v>
      </c>
      <c r="W19" s="5">
        <v>2</v>
      </c>
      <c r="X19" s="5">
        <v>3</v>
      </c>
      <c r="Y19" s="5">
        <v>4</v>
      </c>
      <c r="Z19" s="5">
        <v>5</v>
      </c>
      <c r="AA19" s="5">
        <v>6</v>
      </c>
      <c r="AB19" s="5">
        <v>7</v>
      </c>
      <c r="AC19" s="5">
        <v>8</v>
      </c>
      <c r="AD19" s="5">
        <v>9</v>
      </c>
      <c r="AE19" s="5">
        <v>10</v>
      </c>
      <c r="AF19" s="5">
        <v>11</v>
      </c>
      <c r="AG19" s="5">
        <v>12</v>
      </c>
      <c r="AH19" s="5">
        <v>13</v>
      </c>
      <c r="AI19" s="5">
        <v>14</v>
      </c>
      <c r="AJ19" s="5">
        <v>15</v>
      </c>
    </row>
    <row r="20" spans="1:37">
      <c r="A20" s="1">
        <v>8</v>
      </c>
      <c r="B20" s="11">
        <v>12</v>
      </c>
      <c r="C20" s="2" t="str">
        <f t="shared" ref="C20:C36" si="1">VLOOKUP(B20,$B$3:$T$17,19,1)</f>
        <v>https://www.parkgeni.us/disney-world/magic-kingdom/space-mountain/wait-times/2018-12-18</v>
      </c>
      <c r="D20" s="52">
        <f>ABS(E20)</f>
        <v>0</v>
      </c>
      <c r="F20">
        <f t="shared" ref="F20:F36" si="2">INDEX($U$2:$AJ$17,MATCH(A20,$U$2:$U$17,0),MATCH(B20,$U$2:$AJ$2,0))</f>
        <v>2.4590163934426229E-2</v>
      </c>
      <c r="H20">
        <f t="shared" ref="H20:H36" si="3">INDEX($U$19:$AJ$34,MATCH(A20,$U$19:$U$34,0),MATCH(B20,$U$19:$AJ$19,0))</f>
        <v>15</v>
      </c>
      <c r="M20" t="s">
        <v>17</v>
      </c>
      <c r="U20" s="17">
        <v>8</v>
      </c>
      <c r="V20">
        <f>V3*V$18</f>
        <v>10</v>
      </c>
      <c r="W20">
        <f t="shared" ref="W20:AJ20" si="4">W3*W$18</f>
        <v>25</v>
      </c>
      <c r="X20">
        <f t="shared" si="4"/>
        <v>25</v>
      </c>
      <c r="Y20">
        <f t="shared" si="4"/>
        <v>25</v>
      </c>
      <c r="Z20">
        <f t="shared" si="4"/>
        <v>35</v>
      </c>
      <c r="AA20">
        <f t="shared" si="4"/>
        <v>35</v>
      </c>
      <c r="AB20">
        <f t="shared" si="4"/>
        <v>20</v>
      </c>
      <c r="AC20">
        <f t="shared" si="4"/>
        <v>40</v>
      </c>
      <c r="AD20">
        <f t="shared" si="4"/>
        <v>30</v>
      </c>
      <c r="AE20">
        <f t="shared" si="4"/>
        <v>30</v>
      </c>
      <c r="AF20">
        <f t="shared" si="4"/>
        <v>15</v>
      </c>
      <c r="AG20">
        <f t="shared" si="4"/>
        <v>15</v>
      </c>
      <c r="AH20">
        <f t="shared" si="4"/>
        <v>20</v>
      </c>
      <c r="AI20">
        <f t="shared" si="4"/>
        <v>25</v>
      </c>
      <c r="AJ20">
        <f t="shared" si="4"/>
        <v>20</v>
      </c>
    </row>
    <row r="21" spans="1:37">
      <c r="A21" s="1">
        <v>9</v>
      </c>
      <c r="B21" s="11">
        <v>7</v>
      </c>
      <c r="C21" s="2" t="str">
        <f t="shared" si="1"/>
        <v>https://www.parkgeni.us/disney-world/magic-kingdom/jungle-cruise/wait-times/2018-12-18</v>
      </c>
      <c r="D21" s="52" t="e">
        <f t="shared" ref="D21:D36" si="5">ABS(E21)</f>
        <v>#DIV/0!</v>
      </c>
      <c r="E21" s="51" t="e">
        <f t="shared" ref="E21:E36" si="6">INDEX($B$2:$S$17,MATCH(B20,$B$2:$B$17,0),MATCH(B21,$B$2:$S$2,0))</f>
        <v>#DIV/0!</v>
      </c>
      <c r="F21">
        <f t="shared" si="2"/>
        <v>6.25E-2</v>
      </c>
      <c r="G21" s="51" t="e">
        <f t="shared" ref="G21:G36" si="7">INDEX($U$35:$AJ$50,MATCH(B20,$U$35:$U$50,0),MATCH(B21,$U$35:$AJ$35,0))</f>
        <v>#N/A</v>
      </c>
      <c r="H21">
        <f t="shared" si="3"/>
        <v>40</v>
      </c>
      <c r="M21" t="s">
        <v>14</v>
      </c>
      <c r="U21" s="17">
        <v>9</v>
      </c>
      <c r="V21">
        <f t="shared" ref="V21:AJ34" si="8">V4*V$18</f>
        <v>25</v>
      </c>
      <c r="W21">
        <f t="shared" si="8"/>
        <v>65</v>
      </c>
      <c r="X21">
        <f t="shared" si="8"/>
        <v>45</v>
      </c>
      <c r="Y21">
        <f t="shared" si="8"/>
        <v>45</v>
      </c>
      <c r="Z21">
        <f t="shared" si="8"/>
        <v>50</v>
      </c>
      <c r="AA21">
        <f t="shared" si="8"/>
        <v>45</v>
      </c>
      <c r="AB21">
        <f t="shared" si="8"/>
        <v>40</v>
      </c>
      <c r="AC21">
        <f t="shared" si="8"/>
        <v>40</v>
      </c>
      <c r="AD21">
        <f t="shared" si="8"/>
        <v>65</v>
      </c>
      <c r="AE21">
        <f t="shared" si="8"/>
        <v>45</v>
      </c>
      <c r="AF21">
        <f t="shared" si="8"/>
        <v>50</v>
      </c>
      <c r="AG21">
        <f t="shared" si="8"/>
        <v>55</v>
      </c>
      <c r="AH21">
        <f t="shared" si="8"/>
        <v>25</v>
      </c>
      <c r="AI21">
        <f t="shared" si="8"/>
        <v>45</v>
      </c>
      <c r="AJ21">
        <f t="shared" si="8"/>
        <v>50</v>
      </c>
    </row>
    <row r="22" spans="1:37">
      <c r="A22" s="1">
        <v>10</v>
      </c>
      <c r="B22" s="11">
        <v>9</v>
      </c>
      <c r="C22" s="2" t="str">
        <f t="shared" si="1"/>
        <v>https://www.parkgeni.us/disney-world/magic-kingdom/peter-pans-flight/wait-times/2018-12-18</v>
      </c>
      <c r="D22" s="52" t="e">
        <f t="shared" si="5"/>
        <v>#DIV/0!</v>
      </c>
      <c r="E22" s="51" t="e">
        <f t="shared" si="6"/>
        <v>#DIV/0!</v>
      </c>
      <c r="F22">
        <f t="shared" si="2"/>
        <v>5.9701492537313432E-2</v>
      </c>
      <c r="G22" s="51" t="e">
        <f t="shared" si="7"/>
        <v>#N/A</v>
      </c>
      <c r="H22">
        <f t="shared" si="3"/>
        <v>40</v>
      </c>
      <c r="M22" t="s">
        <v>25</v>
      </c>
      <c r="U22" s="17">
        <v>10</v>
      </c>
      <c r="V22">
        <f t="shared" si="8"/>
        <v>5</v>
      </c>
      <c r="W22">
        <f t="shared" si="8"/>
        <v>35</v>
      </c>
      <c r="X22">
        <f t="shared" si="8"/>
        <v>30</v>
      </c>
      <c r="Y22">
        <f t="shared" si="8"/>
        <v>35</v>
      </c>
      <c r="Z22">
        <f t="shared" si="8"/>
        <v>50</v>
      </c>
      <c r="AA22">
        <f t="shared" si="8"/>
        <v>45</v>
      </c>
      <c r="AB22">
        <f t="shared" si="8"/>
        <v>45</v>
      </c>
      <c r="AC22">
        <f t="shared" si="8"/>
        <v>45</v>
      </c>
      <c r="AD22">
        <f t="shared" si="8"/>
        <v>40</v>
      </c>
      <c r="AE22">
        <f t="shared" si="8"/>
        <v>40.000000000000007</v>
      </c>
      <c r="AF22">
        <f t="shared" si="8"/>
        <v>45</v>
      </c>
      <c r="AG22">
        <f t="shared" si="8"/>
        <v>40</v>
      </c>
      <c r="AH22">
        <f t="shared" si="8"/>
        <v>40</v>
      </c>
      <c r="AI22">
        <f t="shared" si="8"/>
        <v>55</v>
      </c>
      <c r="AJ22">
        <f t="shared" si="8"/>
        <v>30</v>
      </c>
    </row>
    <row r="23" spans="1:37">
      <c r="A23" s="1">
        <v>11</v>
      </c>
      <c r="B23" s="11">
        <v>5</v>
      </c>
      <c r="C23" s="2" t="str">
        <f t="shared" si="1"/>
        <v>https://www.parkgeni.us/disney-world/magic-kingdom/haunted-mansion/wait-times/2018-12-18</v>
      </c>
      <c r="D23" s="52" t="e">
        <f t="shared" si="5"/>
        <v>#DIV/0!</v>
      </c>
      <c r="E23" s="51" t="e">
        <f t="shared" si="6"/>
        <v>#DIV/0!</v>
      </c>
      <c r="F23">
        <f t="shared" si="2"/>
        <v>3.1496062992125984E-2</v>
      </c>
      <c r="G23" s="51" t="e">
        <f t="shared" si="7"/>
        <v>#N/A</v>
      </c>
      <c r="H23">
        <f t="shared" si="3"/>
        <v>20</v>
      </c>
      <c r="M23" t="s">
        <v>29</v>
      </c>
      <c r="U23" s="17">
        <v>11</v>
      </c>
      <c r="V23">
        <f t="shared" si="8"/>
        <v>10</v>
      </c>
      <c r="W23">
        <f t="shared" si="8"/>
        <v>15</v>
      </c>
      <c r="X23">
        <f t="shared" si="8"/>
        <v>15</v>
      </c>
      <c r="Y23">
        <f t="shared" si="8"/>
        <v>15</v>
      </c>
      <c r="Z23">
        <f t="shared" si="8"/>
        <v>20</v>
      </c>
      <c r="AA23">
        <f t="shared" si="8"/>
        <v>35</v>
      </c>
      <c r="AB23">
        <f t="shared" si="8"/>
        <v>35</v>
      </c>
      <c r="AC23">
        <f t="shared" si="8"/>
        <v>35</v>
      </c>
      <c r="AD23">
        <f t="shared" si="8"/>
        <v>10</v>
      </c>
      <c r="AE23">
        <f t="shared" si="8"/>
        <v>15</v>
      </c>
      <c r="AF23">
        <f t="shared" si="8"/>
        <v>20</v>
      </c>
      <c r="AG23">
        <f t="shared" si="8"/>
        <v>10</v>
      </c>
      <c r="AH23">
        <f t="shared" si="8"/>
        <v>15.000000000000002</v>
      </c>
      <c r="AI23">
        <f t="shared" si="8"/>
        <v>25</v>
      </c>
      <c r="AJ23">
        <f t="shared" si="8"/>
        <v>25</v>
      </c>
    </row>
    <row r="24" spans="1:37">
      <c r="A24" s="1">
        <v>12</v>
      </c>
      <c r="B24" s="11">
        <v>8</v>
      </c>
      <c r="C24" s="2" t="str">
        <f t="shared" si="1"/>
        <v>https://www.parkgeni.us/disney-world/magic-kingdom/monsters-inc-laugh-floor/wait-times/2018-12-18</v>
      </c>
      <c r="D24" s="52" t="e">
        <f t="shared" si="5"/>
        <v>#DIV/0!</v>
      </c>
      <c r="E24" s="51" t="e">
        <f t="shared" si="6"/>
        <v>#DIV/0!</v>
      </c>
      <c r="F24">
        <f t="shared" si="2"/>
        <v>6.5217391304347824E-2</v>
      </c>
      <c r="G24" s="51" t="e">
        <f t="shared" si="7"/>
        <v>#N/A</v>
      </c>
      <c r="H24">
        <f t="shared" si="3"/>
        <v>45</v>
      </c>
      <c r="M24" t="s">
        <v>28</v>
      </c>
      <c r="U24" s="17">
        <v>12</v>
      </c>
      <c r="V24">
        <f t="shared" si="8"/>
        <v>25</v>
      </c>
      <c r="W24">
        <f t="shared" si="8"/>
        <v>40</v>
      </c>
      <c r="X24">
        <f t="shared" si="8"/>
        <v>40</v>
      </c>
      <c r="Y24">
        <f t="shared" si="8"/>
        <v>40</v>
      </c>
      <c r="Z24">
        <f t="shared" si="8"/>
        <v>45</v>
      </c>
      <c r="AA24">
        <f t="shared" si="8"/>
        <v>45</v>
      </c>
      <c r="AB24">
        <f t="shared" si="8"/>
        <v>40</v>
      </c>
      <c r="AC24">
        <f t="shared" si="8"/>
        <v>45</v>
      </c>
      <c r="AD24">
        <f t="shared" si="8"/>
        <v>49.999999999999993</v>
      </c>
      <c r="AE24">
        <f t="shared" si="8"/>
        <v>45</v>
      </c>
      <c r="AF24">
        <f t="shared" si="8"/>
        <v>35</v>
      </c>
      <c r="AG24">
        <f t="shared" si="8"/>
        <v>40</v>
      </c>
      <c r="AH24">
        <f t="shared" si="8"/>
        <v>50</v>
      </c>
      <c r="AI24">
        <f t="shared" si="8"/>
        <v>40</v>
      </c>
      <c r="AJ24">
        <f t="shared" si="8"/>
        <v>45</v>
      </c>
    </row>
    <row r="25" spans="1:37">
      <c r="A25" s="1">
        <v>13</v>
      </c>
      <c r="B25" s="11">
        <v>6</v>
      </c>
      <c r="C25" s="2" t="str">
        <f t="shared" si="1"/>
        <v>https://www.parkgeni.us/disney-world/magic-kingdom/its-a-small-world/wait-times/2018-12-18</v>
      </c>
      <c r="D25" s="52" t="e">
        <f t="shared" si="5"/>
        <v>#DIV/0!</v>
      </c>
      <c r="E25" s="51" t="e">
        <f t="shared" si="6"/>
        <v>#DIV/0!</v>
      </c>
      <c r="F25">
        <f t="shared" si="2"/>
        <v>2.2727272727272728E-2</v>
      </c>
      <c r="G25" s="51" t="e">
        <f t="shared" si="7"/>
        <v>#N/A</v>
      </c>
      <c r="H25">
        <f t="shared" si="3"/>
        <v>15</v>
      </c>
      <c r="M25" t="s">
        <v>30</v>
      </c>
      <c r="U25" s="17">
        <v>13</v>
      </c>
      <c r="V25">
        <f t="shared" si="8"/>
        <v>10</v>
      </c>
      <c r="W25">
        <f t="shared" si="8"/>
        <v>5</v>
      </c>
      <c r="X25">
        <f t="shared" si="8"/>
        <v>5</v>
      </c>
      <c r="Y25">
        <f t="shared" si="8"/>
        <v>10</v>
      </c>
      <c r="Z25">
        <f t="shared" si="8"/>
        <v>10</v>
      </c>
      <c r="AA25">
        <f t="shared" si="8"/>
        <v>15</v>
      </c>
      <c r="AB25">
        <f t="shared" si="8"/>
        <v>20</v>
      </c>
      <c r="AC25">
        <f t="shared" si="8"/>
        <v>20</v>
      </c>
      <c r="AD25">
        <f t="shared" si="8"/>
        <v>20</v>
      </c>
      <c r="AE25">
        <f t="shared" si="8"/>
        <v>35</v>
      </c>
      <c r="AF25">
        <f t="shared" si="8"/>
        <v>35</v>
      </c>
      <c r="AG25">
        <f t="shared" si="8"/>
        <v>24.999999999999996</v>
      </c>
      <c r="AH25">
        <f t="shared" si="8"/>
        <v>25</v>
      </c>
      <c r="AI25">
        <f t="shared" si="8"/>
        <v>20</v>
      </c>
      <c r="AJ25">
        <f t="shared" si="8"/>
        <v>20</v>
      </c>
    </row>
    <row r="26" spans="1:37">
      <c r="A26" s="1">
        <v>14</v>
      </c>
      <c r="B26" s="25">
        <v>10</v>
      </c>
      <c r="C26" s="2" t="str">
        <f t="shared" si="1"/>
        <v>https://www.parkgeni.us/disney-world/magic-kingdom/pirates-of-the-caribbean/wait-times/2018-12-18</v>
      </c>
      <c r="D26" s="49" t="e">
        <f t="shared" si="5"/>
        <v>#DIV/0!</v>
      </c>
      <c r="E26" s="51" t="e">
        <f t="shared" si="6"/>
        <v>#DIV/0!</v>
      </c>
      <c r="F26">
        <f t="shared" si="2"/>
        <v>4.878048780487805E-2</v>
      </c>
      <c r="G26" s="51" t="e">
        <f t="shared" si="7"/>
        <v>#N/A</v>
      </c>
      <c r="H26">
        <f t="shared" si="3"/>
        <v>30</v>
      </c>
      <c r="M26" t="s">
        <v>24</v>
      </c>
      <c r="U26" s="17">
        <v>14</v>
      </c>
      <c r="V26">
        <f t="shared" si="8"/>
        <v>40</v>
      </c>
      <c r="W26">
        <f t="shared" si="8"/>
        <v>35</v>
      </c>
      <c r="X26">
        <f t="shared" si="8"/>
        <v>60</v>
      </c>
      <c r="Y26">
        <f t="shared" si="8"/>
        <v>45</v>
      </c>
      <c r="Z26">
        <f t="shared" si="8"/>
        <v>50</v>
      </c>
      <c r="AA26">
        <f t="shared" si="8"/>
        <v>55</v>
      </c>
      <c r="AB26">
        <f t="shared" si="8"/>
        <v>65</v>
      </c>
      <c r="AC26">
        <f t="shared" si="8"/>
        <v>75</v>
      </c>
      <c r="AD26">
        <f t="shared" si="8"/>
        <v>60</v>
      </c>
      <c r="AE26">
        <f t="shared" si="8"/>
        <v>30</v>
      </c>
      <c r="AF26">
        <f t="shared" si="8"/>
        <v>40</v>
      </c>
      <c r="AG26">
        <f t="shared" si="8"/>
        <v>55</v>
      </c>
      <c r="AH26">
        <f t="shared" si="8"/>
        <v>50</v>
      </c>
      <c r="AI26">
        <f t="shared" si="8"/>
        <v>65</v>
      </c>
      <c r="AJ26">
        <f t="shared" si="8"/>
        <v>70</v>
      </c>
    </row>
    <row r="27" spans="1:37">
      <c r="A27" s="1">
        <v>15</v>
      </c>
      <c r="B27" s="26">
        <v>11</v>
      </c>
      <c r="C27" s="29" t="str">
        <f t="shared" si="1"/>
        <v>https://www.parkgeni.us/disney-world/magic-kingdom/seven-dwarfs-mine-train/wait-times/2018-12-18</v>
      </c>
      <c r="D27" s="48" t="e">
        <f t="shared" si="5"/>
        <v>#DIV/0!</v>
      </c>
      <c r="E27" s="36" t="e">
        <f t="shared" si="6"/>
        <v>#DIV/0!</v>
      </c>
      <c r="F27" s="27">
        <f t="shared" si="2"/>
        <v>2.6086956521739129E-2</v>
      </c>
      <c r="G27" s="51" t="e">
        <f t="shared" si="7"/>
        <v>#N/A</v>
      </c>
      <c r="H27">
        <f t="shared" si="3"/>
        <v>15</v>
      </c>
      <c r="M27" t="s">
        <v>26</v>
      </c>
      <c r="U27" s="17">
        <v>15</v>
      </c>
      <c r="V27">
        <f t="shared" si="8"/>
        <v>5</v>
      </c>
      <c r="W27">
        <f t="shared" si="8"/>
        <v>15</v>
      </c>
      <c r="X27">
        <f t="shared" si="8"/>
        <v>10</v>
      </c>
      <c r="Y27">
        <f t="shared" si="8"/>
        <v>10</v>
      </c>
      <c r="Z27">
        <f t="shared" si="8"/>
        <v>15</v>
      </c>
      <c r="AA27">
        <f t="shared" si="8"/>
        <v>15</v>
      </c>
      <c r="AB27">
        <f t="shared" si="8"/>
        <v>15</v>
      </c>
      <c r="AC27">
        <f t="shared" si="8"/>
        <v>10</v>
      </c>
      <c r="AD27">
        <f t="shared" si="8"/>
        <v>10</v>
      </c>
      <c r="AE27">
        <f t="shared" si="8"/>
        <v>10.000000000000002</v>
      </c>
      <c r="AF27">
        <f t="shared" si="8"/>
        <v>15</v>
      </c>
      <c r="AG27">
        <f t="shared" si="8"/>
        <v>5</v>
      </c>
      <c r="AH27">
        <f t="shared" si="8"/>
        <v>15.000000000000002</v>
      </c>
      <c r="AI27">
        <f t="shared" si="8"/>
        <v>10</v>
      </c>
      <c r="AJ27">
        <f t="shared" si="8"/>
        <v>10</v>
      </c>
    </row>
    <row r="28" spans="1:37">
      <c r="A28" s="1">
        <v>16</v>
      </c>
      <c r="B28" s="25">
        <v>4</v>
      </c>
      <c r="C28" s="4" t="str">
        <f t="shared" si="1"/>
        <v>https://www.parkgeni.us/disney-world/magic-kingdom/dumbo-the-flying-elephant/wait-times/2018-12-18</v>
      </c>
      <c r="D28" s="49" t="e">
        <f t="shared" si="5"/>
        <v>#DIV/0!</v>
      </c>
      <c r="E28" s="38" t="e">
        <f t="shared" si="6"/>
        <v>#DIV/0!</v>
      </c>
      <c r="F28" s="1">
        <f t="shared" si="2"/>
        <v>7.8947368421052627E-2</v>
      </c>
      <c r="G28" s="51" t="e">
        <f t="shared" si="7"/>
        <v>#N/A</v>
      </c>
      <c r="H28">
        <f t="shared" si="3"/>
        <v>45</v>
      </c>
      <c r="M28" t="s">
        <v>22</v>
      </c>
      <c r="U28" s="17">
        <v>16</v>
      </c>
      <c r="V28">
        <f t="shared" si="8"/>
        <v>5</v>
      </c>
      <c r="W28">
        <f t="shared" si="8"/>
        <v>5</v>
      </c>
      <c r="X28">
        <f t="shared" si="8"/>
        <v>20</v>
      </c>
      <c r="Y28">
        <f t="shared" si="8"/>
        <v>45</v>
      </c>
      <c r="Z28">
        <f t="shared" si="8"/>
        <v>75</v>
      </c>
      <c r="AA28">
        <f t="shared" si="8"/>
        <v>90</v>
      </c>
      <c r="AB28">
        <f t="shared" si="8"/>
        <v>70</v>
      </c>
      <c r="AC28">
        <f t="shared" si="8"/>
        <v>65</v>
      </c>
      <c r="AD28">
        <f t="shared" si="8"/>
        <v>49.999999999999993</v>
      </c>
      <c r="AE28">
        <f t="shared" si="8"/>
        <v>50</v>
      </c>
      <c r="AF28">
        <f t="shared" si="8"/>
        <v>75</v>
      </c>
      <c r="AG28">
        <f t="shared" si="8"/>
        <v>60</v>
      </c>
      <c r="AH28">
        <f t="shared" si="8"/>
        <v>55</v>
      </c>
      <c r="AI28">
        <f t="shared" si="8"/>
        <v>65</v>
      </c>
      <c r="AJ28">
        <f t="shared" si="8"/>
        <v>75</v>
      </c>
    </row>
    <row r="29" spans="1:37">
      <c r="A29" s="1">
        <v>17</v>
      </c>
      <c r="B29" s="25">
        <v>13</v>
      </c>
      <c r="C29" s="4" t="str">
        <f t="shared" si="1"/>
        <v>https://www.parkgeni.us/disney-world/magic-kingdom/splash-mountain/wait-times/2018-12-18</v>
      </c>
      <c r="D29" s="49" t="e">
        <f t="shared" si="5"/>
        <v>#DIV/0!</v>
      </c>
      <c r="E29" s="38" t="e">
        <f t="shared" si="6"/>
        <v>#DIV/0!</v>
      </c>
      <c r="F29" s="1">
        <f t="shared" si="2"/>
        <v>7.6271186440677971E-2</v>
      </c>
      <c r="G29" s="51" t="e">
        <f t="shared" si="7"/>
        <v>#N/A</v>
      </c>
      <c r="H29">
        <f t="shared" si="3"/>
        <v>45</v>
      </c>
      <c r="U29" s="17">
        <v>17</v>
      </c>
      <c r="V29">
        <f t="shared" si="8"/>
        <v>10</v>
      </c>
      <c r="W29">
        <f t="shared" si="8"/>
        <v>30</v>
      </c>
      <c r="X29">
        <f t="shared" si="8"/>
        <v>45</v>
      </c>
      <c r="Y29">
        <f t="shared" si="8"/>
        <v>40</v>
      </c>
      <c r="Z29">
        <f t="shared" si="8"/>
        <v>30</v>
      </c>
      <c r="AA29">
        <f t="shared" si="8"/>
        <v>35</v>
      </c>
      <c r="AB29">
        <f t="shared" si="8"/>
        <v>35</v>
      </c>
      <c r="AC29">
        <f t="shared" si="8"/>
        <v>40</v>
      </c>
      <c r="AD29">
        <f t="shared" si="8"/>
        <v>40</v>
      </c>
      <c r="AE29">
        <f t="shared" si="8"/>
        <v>40.000000000000007</v>
      </c>
      <c r="AF29">
        <f t="shared" si="8"/>
        <v>30</v>
      </c>
      <c r="AG29">
        <f t="shared" si="8"/>
        <v>45</v>
      </c>
      <c r="AH29">
        <f t="shared" si="8"/>
        <v>45</v>
      </c>
      <c r="AI29">
        <f t="shared" si="8"/>
        <v>30</v>
      </c>
      <c r="AJ29">
        <f t="shared" si="8"/>
        <v>45</v>
      </c>
    </row>
    <row r="30" spans="1:37">
      <c r="A30" s="1">
        <v>18</v>
      </c>
      <c r="B30" s="23">
        <v>14</v>
      </c>
      <c r="C30" s="24" t="str">
        <f t="shared" si="1"/>
        <v>https://www.parkgeni.us/disney-world/magic-kingdom/the-many-adventures-of-winnie-the-pooh/wait-times/2018-12-18</v>
      </c>
      <c r="D30" s="50" t="e">
        <f t="shared" si="5"/>
        <v>#DIV/0!</v>
      </c>
      <c r="E30" s="41" t="e">
        <f t="shared" si="6"/>
        <v>#DIV/0!</v>
      </c>
      <c r="F30" s="28">
        <f t="shared" si="2"/>
        <v>0.17829457364341086</v>
      </c>
      <c r="G30" s="51" t="e">
        <f t="shared" si="7"/>
        <v>#N/A</v>
      </c>
      <c r="H30">
        <f t="shared" si="3"/>
        <v>115.00000000000001</v>
      </c>
      <c r="U30" s="17">
        <v>18</v>
      </c>
      <c r="V30">
        <f t="shared" si="8"/>
        <v>10</v>
      </c>
      <c r="W30">
        <f t="shared" si="8"/>
        <v>10</v>
      </c>
      <c r="X30">
        <f t="shared" si="8"/>
        <v>60</v>
      </c>
      <c r="Y30">
        <f t="shared" si="8"/>
        <v>90</v>
      </c>
      <c r="Z30">
        <f t="shared" si="8"/>
        <v>75</v>
      </c>
      <c r="AA30">
        <f t="shared" si="8"/>
        <v>75</v>
      </c>
      <c r="AB30">
        <f t="shared" si="8"/>
        <v>95</v>
      </c>
      <c r="AC30">
        <f t="shared" si="8"/>
        <v>115</v>
      </c>
      <c r="AD30">
        <f t="shared" si="8"/>
        <v>130</v>
      </c>
      <c r="AE30">
        <f t="shared" si="8"/>
        <v>110</v>
      </c>
      <c r="AF30">
        <f t="shared" si="8"/>
        <v>85</v>
      </c>
      <c r="AG30">
        <f t="shared" si="8"/>
        <v>105</v>
      </c>
      <c r="AH30">
        <f t="shared" si="8"/>
        <v>85</v>
      </c>
      <c r="AI30">
        <f t="shared" si="8"/>
        <v>115.00000000000001</v>
      </c>
      <c r="AJ30">
        <f t="shared" si="8"/>
        <v>105</v>
      </c>
    </row>
    <row r="31" spans="1:37">
      <c r="A31" s="1">
        <v>19</v>
      </c>
      <c r="B31" s="11">
        <v>1</v>
      </c>
      <c r="C31" s="2" t="str">
        <f t="shared" si="1"/>
        <v>https://www.parkgeni.us/disney-world/magic-kingdom/astro-orbiter/wait-times/2018-12-18</v>
      </c>
      <c r="D31" s="52" t="e">
        <f t="shared" si="5"/>
        <v>#DIV/0!</v>
      </c>
      <c r="E31" s="51" t="e">
        <f t="shared" si="6"/>
        <v>#DIV/0!</v>
      </c>
      <c r="F31">
        <f t="shared" si="2"/>
        <v>0.28000000000000003</v>
      </c>
      <c r="G31" s="51" t="e">
        <f t="shared" si="7"/>
        <v>#N/A</v>
      </c>
      <c r="H31">
        <f t="shared" si="3"/>
        <v>70</v>
      </c>
      <c r="U31" s="17">
        <v>19</v>
      </c>
      <c r="V31">
        <f t="shared" si="8"/>
        <v>70</v>
      </c>
      <c r="W31">
        <f t="shared" si="8"/>
        <v>60</v>
      </c>
      <c r="X31">
        <f t="shared" si="8"/>
        <v>50</v>
      </c>
      <c r="Y31">
        <f t="shared" si="8"/>
        <v>75</v>
      </c>
      <c r="Z31">
        <f t="shared" si="8"/>
        <v>95.000000000000014</v>
      </c>
      <c r="AA31">
        <f t="shared" si="8"/>
        <v>80</v>
      </c>
      <c r="AB31">
        <f t="shared" si="8"/>
        <v>80</v>
      </c>
      <c r="AC31">
        <f t="shared" si="8"/>
        <v>70</v>
      </c>
      <c r="AD31">
        <f t="shared" si="8"/>
        <v>70</v>
      </c>
      <c r="AE31">
        <f t="shared" si="8"/>
        <v>60</v>
      </c>
      <c r="AF31">
        <f t="shared" si="8"/>
        <v>60</v>
      </c>
      <c r="AG31">
        <f t="shared" si="8"/>
        <v>60</v>
      </c>
      <c r="AH31">
        <f t="shared" si="8"/>
        <v>60.000000000000007</v>
      </c>
      <c r="AI31">
        <f t="shared" si="8"/>
        <v>60</v>
      </c>
      <c r="AJ31">
        <f t="shared" si="8"/>
        <v>65</v>
      </c>
    </row>
    <row r="32" spans="1:37">
      <c r="A32" s="1">
        <v>20</v>
      </c>
      <c r="B32" s="11">
        <v>2</v>
      </c>
      <c r="C32" s="2" t="str">
        <f t="shared" si="1"/>
        <v>https://www.parkgeni.us/disney-world/magic-kingdom/big-thunder-mountain-railroad/wait-times/2018-12-18</v>
      </c>
      <c r="D32" s="52" t="e">
        <f t="shared" si="5"/>
        <v>#DIV/0!</v>
      </c>
      <c r="E32" s="51" t="e">
        <f t="shared" si="6"/>
        <v>#DIV/0!</v>
      </c>
      <c r="F32">
        <f t="shared" si="2"/>
        <v>1.3513513513513514E-2</v>
      </c>
      <c r="G32" s="51" t="e">
        <f t="shared" si="7"/>
        <v>#N/A</v>
      </c>
      <c r="H32">
        <f t="shared" si="3"/>
        <v>5</v>
      </c>
      <c r="U32" s="17">
        <v>20</v>
      </c>
      <c r="V32">
        <f t="shared" si="8"/>
        <v>5</v>
      </c>
      <c r="W32">
        <f t="shared" si="8"/>
        <v>5</v>
      </c>
      <c r="X32">
        <f t="shared" si="8"/>
        <v>20</v>
      </c>
      <c r="Y32">
        <f t="shared" si="8"/>
        <v>50</v>
      </c>
      <c r="Z32">
        <f t="shared" si="8"/>
        <v>35</v>
      </c>
      <c r="AA32">
        <f t="shared" si="8"/>
        <v>35</v>
      </c>
      <c r="AB32">
        <f t="shared" si="8"/>
        <v>35</v>
      </c>
      <c r="AC32">
        <f t="shared" si="8"/>
        <v>25</v>
      </c>
      <c r="AD32">
        <f t="shared" si="8"/>
        <v>35</v>
      </c>
      <c r="AE32">
        <f t="shared" si="8"/>
        <v>30</v>
      </c>
      <c r="AF32">
        <f t="shared" si="8"/>
        <v>20</v>
      </c>
      <c r="AG32">
        <f t="shared" si="8"/>
        <v>35</v>
      </c>
      <c r="AH32">
        <f t="shared" si="8"/>
        <v>30.000000000000004</v>
      </c>
      <c r="AI32">
        <f t="shared" si="8"/>
        <v>35</v>
      </c>
      <c r="AJ32">
        <f t="shared" si="8"/>
        <v>20</v>
      </c>
    </row>
    <row r="33" spans="1:36">
      <c r="A33" s="1">
        <v>21</v>
      </c>
      <c r="B33" s="11">
        <v>3</v>
      </c>
      <c r="C33" s="2" t="str">
        <f t="shared" si="1"/>
        <v>https://www.parkgeni.us/disney-world/magic-kingdom/buzz-lightyears-space-ranger-spin/wait-times/2018-12-18</v>
      </c>
      <c r="D33" s="52" t="e">
        <f t="shared" si="5"/>
        <v>#DIV/0!</v>
      </c>
      <c r="E33" s="51" t="e">
        <f t="shared" si="6"/>
        <v>#DIV/0!</v>
      </c>
      <c r="F33">
        <f t="shared" si="2"/>
        <v>2.197802197802198E-2</v>
      </c>
      <c r="G33" s="51" t="e">
        <f t="shared" si="7"/>
        <v>#N/A</v>
      </c>
      <c r="H33">
        <f t="shared" si="3"/>
        <v>10</v>
      </c>
      <c r="U33" s="17">
        <v>21</v>
      </c>
      <c r="V33">
        <f t="shared" si="8"/>
        <v>5</v>
      </c>
      <c r="W33">
        <f t="shared" si="8"/>
        <v>5</v>
      </c>
      <c r="X33">
        <f t="shared" si="8"/>
        <v>10</v>
      </c>
      <c r="Y33">
        <f t="shared" si="8"/>
        <v>20</v>
      </c>
      <c r="Z33">
        <f t="shared" si="8"/>
        <v>30</v>
      </c>
      <c r="AA33">
        <f t="shared" si="8"/>
        <v>35</v>
      </c>
      <c r="AB33">
        <f t="shared" si="8"/>
        <v>25</v>
      </c>
      <c r="AC33">
        <f t="shared" si="8"/>
        <v>40</v>
      </c>
      <c r="AD33">
        <f t="shared" si="8"/>
        <v>35</v>
      </c>
      <c r="AE33">
        <f t="shared" si="8"/>
        <v>50</v>
      </c>
      <c r="AF33">
        <f t="shared" si="8"/>
        <v>30</v>
      </c>
      <c r="AG33">
        <f t="shared" si="8"/>
        <v>35</v>
      </c>
      <c r="AH33">
        <f t="shared" si="8"/>
        <v>35</v>
      </c>
      <c r="AI33">
        <f t="shared" si="8"/>
        <v>25</v>
      </c>
      <c r="AJ33">
        <f t="shared" si="8"/>
        <v>35</v>
      </c>
    </row>
    <row r="34" spans="1:36">
      <c r="A34" s="1">
        <v>22</v>
      </c>
      <c r="B34" s="11">
        <v>15</v>
      </c>
      <c r="C34" s="2" t="str">
        <f t="shared" si="1"/>
        <v>https://www.parkgeni.us/disney-world/magic-kingdom/tomorrowland-speedway/wait-times/2018-12-18</v>
      </c>
      <c r="D34" s="52" t="e">
        <f t="shared" si="5"/>
        <v>#DIV/0!</v>
      </c>
      <c r="E34" s="51" t="e">
        <f t="shared" si="6"/>
        <v>#DIV/0!</v>
      </c>
      <c r="F34">
        <f t="shared" si="2"/>
        <v>3.90625E-2</v>
      </c>
      <c r="G34" s="51" t="e">
        <f t="shared" si="7"/>
        <v>#N/A</v>
      </c>
      <c r="H34">
        <f t="shared" si="3"/>
        <v>25</v>
      </c>
      <c r="U34" s="17">
        <v>22</v>
      </c>
      <c r="V34">
        <f t="shared" si="8"/>
        <v>15</v>
      </c>
      <c r="W34">
        <f t="shared" si="8"/>
        <v>20</v>
      </c>
      <c r="X34">
        <f t="shared" si="8"/>
        <v>20</v>
      </c>
      <c r="Y34">
        <f t="shared" si="8"/>
        <v>25</v>
      </c>
      <c r="Z34">
        <f t="shared" si="8"/>
        <v>20</v>
      </c>
      <c r="AA34">
        <f t="shared" si="8"/>
        <v>20</v>
      </c>
      <c r="AB34">
        <f t="shared" si="8"/>
        <v>20</v>
      </c>
      <c r="AC34">
        <f t="shared" si="8"/>
        <v>25</v>
      </c>
      <c r="AD34">
        <f t="shared" si="8"/>
        <v>24.999999999999996</v>
      </c>
      <c r="AE34">
        <f t="shared" si="8"/>
        <v>25</v>
      </c>
      <c r="AF34">
        <f t="shared" si="8"/>
        <v>20</v>
      </c>
      <c r="AG34">
        <f t="shared" si="8"/>
        <v>24.999999999999996</v>
      </c>
      <c r="AH34">
        <f t="shared" si="8"/>
        <v>40</v>
      </c>
      <c r="AI34">
        <f t="shared" si="8"/>
        <v>30</v>
      </c>
      <c r="AJ34">
        <f t="shared" si="8"/>
        <v>25</v>
      </c>
    </row>
    <row r="35" spans="1:36">
      <c r="A35" s="6">
        <v>23</v>
      </c>
      <c r="B35" s="11">
        <v>17</v>
      </c>
      <c r="C35" s="2" t="str">
        <f t="shared" si="1"/>
        <v>https://www.parkgeni.us/disney-world/magic-kingdom/tomorrowland-speedway/wait-times/2018-12-18</v>
      </c>
      <c r="D35" s="52" t="e">
        <f t="shared" si="5"/>
        <v>#DIV/0!</v>
      </c>
      <c r="E35" s="51" t="e">
        <f t="shared" si="6"/>
        <v>#DIV/0!</v>
      </c>
      <c r="F35" t="e">
        <f t="shared" si="2"/>
        <v>#N/A</v>
      </c>
      <c r="G35" s="51" t="e">
        <f t="shared" si="7"/>
        <v>#N/A</v>
      </c>
      <c r="H35" t="e">
        <f t="shared" si="3"/>
        <v>#N/A</v>
      </c>
      <c r="V35" s="5">
        <f>SUM(V20:V34)</f>
        <v>250</v>
      </c>
      <c r="W35" s="5">
        <f t="shared" ref="W35:AJ35" si="9">SUM(W20:W34)</f>
        <v>370</v>
      </c>
      <c r="X35" s="5">
        <f t="shared" si="9"/>
        <v>455</v>
      </c>
      <c r="Y35" s="5">
        <f t="shared" si="9"/>
        <v>570</v>
      </c>
      <c r="Z35" s="5">
        <f t="shared" si="9"/>
        <v>635</v>
      </c>
      <c r="AA35" s="5">
        <f t="shared" si="9"/>
        <v>660</v>
      </c>
      <c r="AB35" s="5">
        <f t="shared" si="9"/>
        <v>640</v>
      </c>
      <c r="AC35" s="5">
        <f t="shared" si="9"/>
        <v>690</v>
      </c>
      <c r="AD35" s="5">
        <f t="shared" si="9"/>
        <v>670</v>
      </c>
      <c r="AE35" s="5">
        <f t="shared" si="9"/>
        <v>615</v>
      </c>
      <c r="AF35" s="5">
        <f t="shared" si="9"/>
        <v>575</v>
      </c>
      <c r="AG35" s="5">
        <f t="shared" si="9"/>
        <v>610</v>
      </c>
      <c r="AH35" s="5">
        <f t="shared" si="9"/>
        <v>590</v>
      </c>
      <c r="AI35" s="5">
        <f t="shared" si="9"/>
        <v>645</v>
      </c>
      <c r="AJ35" s="5">
        <f t="shared" si="9"/>
        <v>640</v>
      </c>
    </row>
    <row r="36" spans="1:36">
      <c r="A36" s="6">
        <v>24</v>
      </c>
      <c r="B36" s="11">
        <v>16</v>
      </c>
      <c r="C36" s="2" t="str">
        <f t="shared" si="1"/>
        <v>https://www.parkgeni.us/disney-world/magic-kingdom/tomorrowland-speedway/wait-times/2018-12-18</v>
      </c>
      <c r="D36" s="52" t="e">
        <f t="shared" si="5"/>
        <v>#N/A</v>
      </c>
      <c r="E36" s="51" t="e">
        <f t="shared" si="6"/>
        <v>#N/A</v>
      </c>
      <c r="F36" t="e">
        <f t="shared" si="2"/>
        <v>#N/A</v>
      </c>
      <c r="G36" s="51" t="e">
        <f t="shared" si="7"/>
        <v>#N/A</v>
      </c>
      <c r="H36" t="e">
        <f t="shared" si="3"/>
        <v>#N/A</v>
      </c>
      <c r="U36" s="17">
        <v>1</v>
      </c>
      <c r="V36" t="e">
        <f t="shared" ref="V36:V50" si="10">C3*C$18</f>
        <v>#DIV/0!</v>
      </c>
      <c r="W36" t="e">
        <f t="shared" ref="W36:W50" si="11">D3*D$18</f>
        <v>#DIV/0!</v>
      </c>
      <c r="X36" t="e">
        <f t="shared" ref="X36:X50" si="12">E3*E$18</f>
        <v>#DIV/0!</v>
      </c>
      <c r="Y36" t="e">
        <f t="shared" ref="Y36:Y50" si="13">F3*F$18</f>
        <v>#DIV/0!</v>
      </c>
      <c r="Z36" t="e">
        <f t="shared" ref="Z36:Z50" si="14">G3*G$18</f>
        <v>#DIV/0!</v>
      </c>
      <c r="AA36" t="e">
        <f t="shared" ref="AA36:AA50" si="15">H3*H$18</f>
        <v>#DIV/0!</v>
      </c>
      <c r="AB36" t="e">
        <f t="shared" ref="AB36:AB50" si="16">I3*I$18</f>
        <v>#DIV/0!</v>
      </c>
      <c r="AC36" t="e">
        <f t="shared" ref="AC36:AC50" si="17">J3*J$18</f>
        <v>#DIV/0!</v>
      </c>
      <c r="AD36" t="e">
        <f t="shared" ref="AD36:AD50" si="18">K3*K$18</f>
        <v>#DIV/0!</v>
      </c>
      <c r="AE36" t="e">
        <f t="shared" ref="AE36:AE50" si="19">L3*L$18</f>
        <v>#DIV/0!</v>
      </c>
      <c r="AF36" t="e">
        <f t="shared" ref="AF36:AF50" si="20">M3*M$18</f>
        <v>#DIV/0!</v>
      </c>
      <c r="AG36" t="e">
        <f t="shared" ref="AG36:AG50" si="21">N3*N$18</f>
        <v>#DIV/0!</v>
      </c>
      <c r="AH36" t="e">
        <f t="shared" ref="AH36:AH50" si="22">O3*O$18</f>
        <v>#DIV/0!</v>
      </c>
      <c r="AI36" t="e">
        <f t="shared" ref="AI36:AI50" si="23">P3*P$18</f>
        <v>#DIV/0!</v>
      </c>
      <c r="AJ36" t="e">
        <f t="shared" ref="AJ36:AJ50" si="24">Q3*Q$18</f>
        <v>#DIV/0!</v>
      </c>
    </row>
    <row r="37" spans="1:36" ht="15">
      <c r="A37" s="10"/>
      <c r="B37" s="4"/>
      <c r="C37" s="4"/>
      <c r="D37" s="52" t="e">
        <f>SUM(D20:D36)</f>
        <v>#DIV/0!</v>
      </c>
      <c r="F37" t="e">
        <f>SUM(F20:F36)</f>
        <v>#N/A</v>
      </c>
      <c r="G37" s="55" t="e">
        <f>SUM(G21:G36)</f>
        <v>#N/A</v>
      </c>
      <c r="H37" s="56" t="e">
        <f>SUM(H20:H36)</f>
        <v>#N/A</v>
      </c>
      <c r="K37" t="e">
        <f>D37-SUM(D27:D30)</f>
        <v>#DIV/0!</v>
      </c>
      <c r="L37" t="s">
        <v>31</v>
      </c>
      <c r="U37" s="17">
        <v>2</v>
      </c>
      <c r="V37" t="e">
        <f t="shared" si="10"/>
        <v>#DIV/0!</v>
      </c>
      <c r="W37" t="e">
        <f t="shared" si="11"/>
        <v>#DIV/0!</v>
      </c>
      <c r="X37" t="e">
        <f t="shared" si="12"/>
        <v>#DIV/0!</v>
      </c>
      <c r="Y37" t="e">
        <f t="shared" si="13"/>
        <v>#DIV/0!</v>
      </c>
      <c r="Z37" t="e">
        <f t="shared" si="14"/>
        <v>#DIV/0!</v>
      </c>
      <c r="AA37" t="e">
        <f t="shared" si="15"/>
        <v>#DIV/0!</v>
      </c>
      <c r="AB37" t="e">
        <f t="shared" si="16"/>
        <v>#DIV/0!</v>
      </c>
      <c r="AC37" t="e">
        <f t="shared" si="17"/>
        <v>#DIV/0!</v>
      </c>
      <c r="AD37" t="e">
        <f t="shared" si="18"/>
        <v>#DIV/0!</v>
      </c>
      <c r="AE37" t="e">
        <f t="shared" si="19"/>
        <v>#DIV/0!</v>
      </c>
      <c r="AF37" t="e">
        <f t="shared" si="20"/>
        <v>#DIV/0!</v>
      </c>
      <c r="AG37" t="e">
        <f t="shared" si="21"/>
        <v>#DIV/0!</v>
      </c>
      <c r="AH37" t="e">
        <f t="shared" si="22"/>
        <v>#DIV/0!</v>
      </c>
      <c r="AI37" t="e">
        <f t="shared" si="23"/>
        <v>#DIV/0!</v>
      </c>
      <c r="AJ37" t="e">
        <f t="shared" si="24"/>
        <v>#DIV/0!</v>
      </c>
    </row>
    <row r="38" spans="1:36">
      <c r="B38" t="s">
        <v>3</v>
      </c>
      <c r="D38" s="53">
        <v>1</v>
      </c>
      <c r="F38" s="53">
        <v>0</v>
      </c>
      <c r="K38" t="e">
        <f>F37-SUM(F27:F30)</f>
        <v>#N/A</v>
      </c>
      <c r="L38" t="s">
        <v>32</v>
      </c>
      <c r="U38" s="17">
        <v>3</v>
      </c>
      <c r="V38" t="e">
        <f t="shared" si="10"/>
        <v>#DIV/0!</v>
      </c>
      <c r="W38" t="e">
        <f t="shared" si="11"/>
        <v>#DIV/0!</v>
      </c>
      <c r="X38" t="e">
        <f t="shared" si="12"/>
        <v>#DIV/0!</v>
      </c>
      <c r="Y38" t="e">
        <f t="shared" si="13"/>
        <v>#DIV/0!</v>
      </c>
      <c r="Z38" t="e">
        <f t="shared" si="14"/>
        <v>#DIV/0!</v>
      </c>
      <c r="AA38" t="e">
        <f t="shared" si="15"/>
        <v>#DIV/0!</v>
      </c>
      <c r="AB38" t="e">
        <f t="shared" si="16"/>
        <v>#DIV/0!</v>
      </c>
      <c r="AC38" t="e">
        <f t="shared" si="17"/>
        <v>#DIV/0!</v>
      </c>
      <c r="AD38" t="e">
        <f t="shared" si="18"/>
        <v>#DIV/0!</v>
      </c>
      <c r="AE38" t="e">
        <f t="shared" si="19"/>
        <v>#DIV/0!</v>
      </c>
      <c r="AF38" t="e">
        <f t="shared" si="20"/>
        <v>#DIV/0!</v>
      </c>
      <c r="AG38" t="e">
        <f t="shared" si="21"/>
        <v>#DIV/0!</v>
      </c>
      <c r="AH38" t="e">
        <f t="shared" si="22"/>
        <v>#DIV/0!</v>
      </c>
      <c r="AI38" t="e">
        <f t="shared" si="23"/>
        <v>#DIV/0!</v>
      </c>
      <c r="AJ38" t="e">
        <f t="shared" si="24"/>
        <v>#DIV/0!</v>
      </c>
    </row>
    <row r="39" spans="1:36">
      <c r="U39" s="17">
        <v>4</v>
      </c>
      <c r="V39" t="e">
        <f t="shared" si="10"/>
        <v>#DIV/0!</v>
      </c>
      <c r="W39" t="e">
        <f t="shared" si="11"/>
        <v>#DIV/0!</v>
      </c>
      <c r="X39" t="e">
        <f t="shared" si="12"/>
        <v>#DIV/0!</v>
      </c>
      <c r="Y39" t="e">
        <f t="shared" si="13"/>
        <v>#DIV/0!</v>
      </c>
      <c r="Z39" t="e">
        <f t="shared" si="14"/>
        <v>#DIV/0!</v>
      </c>
      <c r="AA39" t="e">
        <f t="shared" si="15"/>
        <v>#DIV/0!</v>
      </c>
      <c r="AB39" t="e">
        <f t="shared" si="16"/>
        <v>#DIV/0!</v>
      </c>
      <c r="AC39" t="e">
        <f t="shared" si="17"/>
        <v>#DIV/0!</v>
      </c>
      <c r="AD39" t="e">
        <f t="shared" si="18"/>
        <v>#DIV/0!</v>
      </c>
      <c r="AE39" t="e">
        <f t="shared" si="19"/>
        <v>#DIV/0!</v>
      </c>
      <c r="AF39" t="e">
        <f t="shared" si="20"/>
        <v>#DIV/0!</v>
      </c>
      <c r="AG39" t="e">
        <f t="shared" si="21"/>
        <v>#DIV/0!</v>
      </c>
      <c r="AH39" t="e">
        <f t="shared" si="22"/>
        <v>#DIV/0!</v>
      </c>
      <c r="AI39" t="e">
        <f t="shared" si="23"/>
        <v>#DIV/0!</v>
      </c>
      <c r="AJ39" t="e">
        <f t="shared" si="24"/>
        <v>#DIV/0!</v>
      </c>
    </row>
    <row r="40" spans="1:36">
      <c r="C40" s="52" t="e">
        <f>D37*D38</f>
        <v>#DIV/0!</v>
      </c>
      <c r="E40" t="e">
        <f>F37*F38</f>
        <v>#N/A</v>
      </c>
      <c r="F40" t="s">
        <v>8</v>
      </c>
      <c r="H40" s="3" t="e">
        <f>E40+C40</f>
        <v>#N/A</v>
      </c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U40" s="17">
        <v>5</v>
      </c>
      <c r="V40" t="e">
        <f t="shared" si="10"/>
        <v>#DIV/0!</v>
      </c>
      <c r="W40" t="e">
        <f t="shared" si="11"/>
        <v>#DIV/0!</v>
      </c>
      <c r="X40" t="e">
        <f t="shared" si="12"/>
        <v>#DIV/0!</v>
      </c>
      <c r="Y40" t="e">
        <f t="shared" si="13"/>
        <v>#DIV/0!</v>
      </c>
      <c r="Z40" t="e">
        <f t="shared" si="14"/>
        <v>#DIV/0!</v>
      </c>
      <c r="AA40" t="e">
        <f t="shared" si="15"/>
        <v>#DIV/0!</v>
      </c>
      <c r="AB40" t="e">
        <f t="shared" si="16"/>
        <v>#DIV/0!</v>
      </c>
      <c r="AC40" t="e">
        <f t="shared" si="17"/>
        <v>#DIV/0!</v>
      </c>
      <c r="AD40" t="e">
        <f t="shared" si="18"/>
        <v>#DIV/0!</v>
      </c>
      <c r="AE40" t="e">
        <f t="shared" si="19"/>
        <v>#DIV/0!</v>
      </c>
      <c r="AF40" t="e">
        <f t="shared" si="20"/>
        <v>#DIV/0!</v>
      </c>
      <c r="AG40" t="e">
        <f t="shared" si="21"/>
        <v>#DIV/0!</v>
      </c>
      <c r="AH40" t="e">
        <f t="shared" si="22"/>
        <v>#DIV/0!</v>
      </c>
      <c r="AI40" t="e">
        <f t="shared" si="23"/>
        <v>#DIV/0!</v>
      </c>
      <c r="AJ40" t="e">
        <f t="shared" si="24"/>
        <v>#DIV/0!</v>
      </c>
    </row>
    <row r="41" spans="1:36">
      <c r="U41" s="17">
        <v>6</v>
      </c>
      <c r="V41" t="e">
        <f t="shared" si="10"/>
        <v>#DIV/0!</v>
      </c>
      <c r="W41" t="e">
        <f t="shared" si="11"/>
        <v>#DIV/0!</v>
      </c>
      <c r="X41" t="e">
        <f t="shared" si="12"/>
        <v>#DIV/0!</v>
      </c>
      <c r="Y41" t="e">
        <f t="shared" si="13"/>
        <v>#DIV/0!</v>
      </c>
      <c r="Z41" t="e">
        <f t="shared" si="14"/>
        <v>#DIV/0!</v>
      </c>
      <c r="AA41" t="e">
        <f t="shared" si="15"/>
        <v>#DIV/0!</v>
      </c>
      <c r="AB41" t="e">
        <f t="shared" si="16"/>
        <v>#DIV/0!</v>
      </c>
      <c r="AC41" t="e">
        <f t="shared" si="17"/>
        <v>#DIV/0!</v>
      </c>
      <c r="AD41" t="e">
        <f t="shared" si="18"/>
        <v>#DIV/0!</v>
      </c>
      <c r="AE41" t="e">
        <f t="shared" si="19"/>
        <v>#DIV/0!</v>
      </c>
      <c r="AF41" t="e">
        <f t="shared" si="20"/>
        <v>#DIV/0!</v>
      </c>
      <c r="AG41" t="e">
        <f t="shared" si="21"/>
        <v>#DIV/0!</v>
      </c>
      <c r="AH41" t="e">
        <f t="shared" si="22"/>
        <v>#DIV/0!</v>
      </c>
      <c r="AI41" t="e">
        <f t="shared" si="23"/>
        <v>#DIV/0!</v>
      </c>
      <c r="AJ41" t="e">
        <f t="shared" si="24"/>
        <v>#DIV/0!</v>
      </c>
    </row>
    <row r="42" spans="1:36">
      <c r="U42" s="17">
        <v>7</v>
      </c>
      <c r="V42" t="e">
        <f t="shared" si="10"/>
        <v>#DIV/0!</v>
      </c>
      <c r="W42" t="e">
        <f t="shared" si="11"/>
        <v>#DIV/0!</v>
      </c>
      <c r="X42" t="e">
        <f t="shared" si="12"/>
        <v>#DIV/0!</v>
      </c>
      <c r="Y42" t="e">
        <f t="shared" si="13"/>
        <v>#DIV/0!</v>
      </c>
      <c r="Z42" t="e">
        <f t="shared" si="14"/>
        <v>#DIV/0!</v>
      </c>
      <c r="AA42" t="e">
        <f t="shared" si="15"/>
        <v>#DIV/0!</v>
      </c>
      <c r="AB42" t="e">
        <f t="shared" si="16"/>
        <v>#DIV/0!</v>
      </c>
      <c r="AC42" t="e">
        <f t="shared" si="17"/>
        <v>#DIV/0!</v>
      </c>
      <c r="AD42" t="e">
        <f t="shared" si="18"/>
        <v>#DIV/0!</v>
      </c>
      <c r="AE42" t="e">
        <f t="shared" si="19"/>
        <v>#DIV/0!</v>
      </c>
      <c r="AF42" t="e">
        <f t="shared" si="20"/>
        <v>#DIV/0!</v>
      </c>
      <c r="AG42" t="e">
        <f t="shared" si="21"/>
        <v>#DIV/0!</v>
      </c>
      <c r="AH42" t="e">
        <f t="shared" si="22"/>
        <v>#DIV/0!</v>
      </c>
      <c r="AI42" t="e">
        <f t="shared" si="23"/>
        <v>#DIV/0!</v>
      </c>
      <c r="AJ42" t="e">
        <f t="shared" si="24"/>
        <v>#DIV/0!</v>
      </c>
    </row>
    <row r="43" spans="1:36">
      <c r="G43" t="e">
        <f>G37*3</f>
        <v>#N/A</v>
      </c>
      <c r="H43" t="e">
        <f>H37/60</f>
        <v>#N/A</v>
      </c>
      <c r="U43" s="17">
        <v>8</v>
      </c>
      <c r="V43" t="e">
        <f t="shared" si="10"/>
        <v>#DIV/0!</v>
      </c>
      <c r="W43" t="e">
        <f t="shared" si="11"/>
        <v>#DIV/0!</v>
      </c>
      <c r="X43" t="e">
        <f t="shared" si="12"/>
        <v>#DIV/0!</v>
      </c>
      <c r="Y43" t="e">
        <f t="shared" si="13"/>
        <v>#DIV/0!</v>
      </c>
      <c r="Z43" t="e">
        <f t="shared" si="14"/>
        <v>#DIV/0!</v>
      </c>
      <c r="AA43" t="e">
        <f t="shared" si="15"/>
        <v>#DIV/0!</v>
      </c>
      <c r="AB43" t="e">
        <f t="shared" si="16"/>
        <v>#DIV/0!</v>
      </c>
      <c r="AC43" t="e">
        <f t="shared" si="17"/>
        <v>#DIV/0!</v>
      </c>
      <c r="AD43" t="e">
        <f t="shared" si="18"/>
        <v>#DIV/0!</v>
      </c>
      <c r="AE43" t="e">
        <f t="shared" si="19"/>
        <v>#DIV/0!</v>
      </c>
      <c r="AF43" t="e">
        <f t="shared" si="20"/>
        <v>#DIV/0!</v>
      </c>
      <c r="AG43" t="e">
        <f t="shared" si="21"/>
        <v>#DIV/0!</v>
      </c>
      <c r="AH43" t="e">
        <f t="shared" si="22"/>
        <v>#DIV/0!</v>
      </c>
      <c r="AI43" t="e">
        <f t="shared" si="23"/>
        <v>#DIV/0!</v>
      </c>
      <c r="AJ43" t="e">
        <f t="shared" si="24"/>
        <v>#DIV/0!</v>
      </c>
    </row>
    <row r="44" spans="1:36">
      <c r="G44" t="e">
        <f>G43/5280</f>
        <v>#N/A</v>
      </c>
      <c r="U44" s="17">
        <v>9</v>
      </c>
      <c r="V44" t="e">
        <f t="shared" si="10"/>
        <v>#DIV/0!</v>
      </c>
      <c r="W44" t="e">
        <f t="shared" si="11"/>
        <v>#DIV/0!</v>
      </c>
      <c r="X44" t="e">
        <f t="shared" si="12"/>
        <v>#DIV/0!</v>
      </c>
      <c r="Y44" t="e">
        <f t="shared" si="13"/>
        <v>#DIV/0!</v>
      </c>
      <c r="Z44" t="e">
        <f t="shared" si="14"/>
        <v>#DIV/0!</v>
      </c>
      <c r="AA44" t="e">
        <f t="shared" si="15"/>
        <v>#DIV/0!</v>
      </c>
      <c r="AB44" t="e">
        <f t="shared" si="16"/>
        <v>#DIV/0!</v>
      </c>
      <c r="AC44" t="e">
        <f t="shared" si="17"/>
        <v>#DIV/0!</v>
      </c>
      <c r="AD44" t="e">
        <f t="shared" si="18"/>
        <v>#DIV/0!</v>
      </c>
      <c r="AE44" t="e">
        <f t="shared" si="19"/>
        <v>#DIV/0!</v>
      </c>
      <c r="AF44" t="e">
        <f t="shared" si="20"/>
        <v>#DIV/0!</v>
      </c>
      <c r="AG44" t="e">
        <f t="shared" si="21"/>
        <v>#DIV/0!</v>
      </c>
      <c r="AH44" t="e">
        <f t="shared" si="22"/>
        <v>#DIV/0!</v>
      </c>
      <c r="AI44" t="e">
        <f t="shared" si="23"/>
        <v>#DIV/0!</v>
      </c>
      <c r="AJ44" t="e">
        <f t="shared" si="24"/>
        <v>#DIV/0!</v>
      </c>
    </row>
    <row r="45" spans="1:36">
      <c r="U45" s="17">
        <v>10</v>
      </c>
      <c r="V45" t="e">
        <f t="shared" si="10"/>
        <v>#DIV/0!</v>
      </c>
      <c r="W45" t="e">
        <f t="shared" si="11"/>
        <v>#DIV/0!</v>
      </c>
      <c r="X45" t="e">
        <f t="shared" si="12"/>
        <v>#DIV/0!</v>
      </c>
      <c r="Y45" t="e">
        <f t="shared" si="13"/>
        <v>#DIV/0!</v>
      </c>
      <c r="Z45" t="e">
        <f t="shared" si="14"/>
        <v>#DIV/0!</v>
      </c>
      <c r="AA45" t="e">
        <f t="shared" si="15"/>
        <v>#DIV/0!</v>
      </c>
      <c r="AB45" t="e">
        <f t="shared" si="16"/>
        <v>#DIV/0!</v>
      </c>
      <c r="AC45" t="e">
        <f t="shared" si="17"/>
        <v>#DIV/0!</v>
      </c>
      <c r="AD45" t="e">
        <f t="shared" si="18"/>
        <v>#DIV/0!</v>
      </c>
      <c r="AE45" t="e">
        <f t="shared" si="19"/>
        <v>#DIV/0!</v>
      </c>
      <c r="AF45" t="e">
        <f t="shared" si="20"/>
        <v>#DIV/0!</v>
      </c>
      <c r="AG45" t="e">
        <f t="shared" si="21"/>
        <v>#DIV/0!</v>
      </c>
      <c r="AH45" t="e">
        <f t="shared" si="22"/>
        <v>#DIV/0!</v>
      </c>
      <c r="AI45" t="e">
        <f t="shared" si="23"/>
        <v>#DIV/0!</v>
      </c>
      <c r="AJ45" t="e">
        <f t="shared" si="24"/>
        <v>#DIV/0!</v>
      </c>
    </row>
    <row r="46" spans="1:36">
      <c r="U46" s="17">
        <v>11</v>
      </c>
      <c r="V46" t="e">
        <f t="shared" si="10"/>
        <v>#DIV/0!</v>
      </c>
      <c r="W46" t="e">
        <f t="shared" si="11"/>
        <v>#DIV/0!</v>
      </c>
      <c r="X46" t="e">
        <f t="shared" si="12"/>
        <v>#DIV/0!</v>
      </c>
      <c r="Y46" t="e">
        <f t="shared" si="13"/>
        <v>#DIV/0!</v>
      </c>
      <c r="Z46" t="e">
        <f t="shared" si="14"/>
        <v>#DIV/0!</v>
      </c>
      <c r="AA46" t="e">
        <f t="shared" si="15"/>
        <v>#DIV/0!</v>
      </c>
      <c r="AB46" t="e">
        <f t="shared" si="16"/>
        <v>#DIV/0!</v>
      </c>
      <c r="AC46" t="e">
        <f t="shared" si="17"/>
        <v>#DIV/0!</v>
      </c>
      <c r="AD46" t="e">
        <f t="shared" si="18"/>
        <v>#DIV/0!</v>
      </c>
      <c r="AE46" t="e">
        <f t="shared" si="19"/>
        <v>#DIV/0!</v>
      </c>
      <c r="AF46" t="e">
        <f t="shared" si="20"/>
        <v>#DIV/0!</v>
      </c>
      <c r="AG46" t="e">
        <f t="shared" si="21"/>
        <v>#DIV/0!</v>
      </c>
      <c r="AH46" t="e">
        <f t="shared" si="22"/>
        <v>#DIV/0!</v>
      </c>
      <c r="AI46" t="e">
        <f t="shared" si="23"/>
        <v>#DIV/0!</v>
      </c>
      <c r="AJ46" t="e">
        <f t="shared" si="24"/>
        <v>#DIV/0!</v>
      </c>
    </row>
    <row r="47" spans="1:36">
      <c r="U47" s="17">
        <v>12</v>
      </c>
      <c r="V47" t="e">
        <f t="shared" si="10"/>
        <v>#DIV/0!</v>
      </c>
      <c r="W47" t="e">
        <f t="shared" si="11"/>
        <v>#DIV/0!</v>
      </c>
      <c r="X47" t="e">
        <f t="shared" si="12"/>
        <v>#DIV/0!</v>
      </c>
      <c r="Y47" t="e">
        <f t="shared" si="13"/>
        <v>#DIV/0!</v>
      </c>
      <c r="Z47" t="e">
        <f t="shared" si="14"/>
        <v>#DIV/0!</v>
      </c>
      <c r="AA47" t="e">
        <f t="shared" si="15"/>
        <v>#DIV/0!</v>
      </c>
      <c r="AB47" t="e">
        <f t="shared" si="16"/>
        <v>#DIV/0!</v>
      </c>
      <c r="AC47" t="e">
        <f t="shared" si="17"/>
        <v>#DIV/0!</v>
      </c>
      <c r="AD47" t="e">
        <f t="shared" si="18"/>
        <v>#DIV/0!</v>
      </c>
      <c r="AE47" t="e">
        <f t="shared" si="19"/>
        <v>#DIV/0!</v>
      </c>
      <c r="AF47" t="e">
        <f t="shared" si="20"/>
        <v>#DIV/0!</v>
      </c>
      <c r="AG47" t="e">
        <f t="shared" si="21"/>
        <v>#DIV/0!</v>
      </c>
      <c r="AH47" t="e">
        <f t="shared" si="22"/>
        <v>#DIV/0!</v>
      </c>
      <c r="AI47" t="e">
        <f t="shared" si="23"/>
        <v>#DIV/0!</v>
      </c>
      <c r="AJ47" t="e">
        <f t="shared" si="24"/>
        <v>#DIV/0!</v>
      </c>
    </row>
    <row r="48" spans="1:36">
      <c r="U48" s="17">
        <v>13</v>
      </c>
      <c r="V48" t="e">
        <f t="shared" si="10"/>
        <v>#DIV/0!</v>
      </c>
      <c r="W48" t="e">
        <f t="shared" si="11"/>
        <v>#DIV/0!</v>
      </c>
      <c r="X48" t="e">
        <f t="shared" si="12"/>
        <v>#DIV/0!</v>
      </c>
      <c r="Y48" t="e">
        <f t="shared" si="13"/>
        <v>#DIV/0!</v>
      </c>
      <c r="Z48" t="e">
        <f t="shared" si="14"/>
        <v>#DIV/0!</v>
      </c>
      <c r="AA48" t="e">
        <f t="shared" si="15"/>
        <v>#DIV/0!</v>
      </c>
      <c r="AB48" t="e">
        <f t="shared" si="16"/>
        <v>#DIV/0!</v>
      </c>
      <c r="AC48" t="e">
        <f t="shared" si="17"/>
        <v>#DIV/0!</v>
      </c>
      <c r="AD48" t="e">
        <f t="shared" si="18"/>
        <v>#DIV/0!</v>
      </c>
      <c r="AE48" t="e">
        <f t="shared" si="19"/>
        <v>#DIV/0!</v>
      </c>
      <c r="AF48" t="e">
        <f t="shared" si="20"/>
        <v>#DIV/0!</v>
      </c>
      <c r="AG48" t="e">
        <f t="shared" si="21"/>
        <v>#DIV/0!</v>
      </c>
      <c r="AH48" t="e">
        <f t="shared" si="22"/>
        <v>#DIV/0!</v>
      </c>
      <c r="AI48" t="e">
        <f t="shared" si="23"/>
        <v>#DIV/0!</v>
      </c>
      <c r="AJ48" t="e">
        <f t="shared" si="24"/>
        <v>#DIV/0!</v>
      </c>
    </row>
    <row r="49" spans="21:36">
      <c r="U49" s="17">
        <v>14</v>
      </c>
      <c r="V49" t="e">
        <f t="shared" si="10"/>
        <v>#DIV/0!</v>
      </c>
      <c r="W49" t="e">
        <f t="shared" si="11"/>
        <v>#DIV/0!</v>
      </c>
      <c r="X49" t="e">
        <f t="shared" si="12"/>
        <v>#DIV/0!</v>
      </c>
      <c r="Y49" t="e">
        <f t="shared" si="13"/>
        <v>#DIV/0!</v>
      </c>
      <c r="Z49" t="e">
        <f t="shared" si="14"/>
        <v>#DIV/0!</v>
      </c>
      <c r="AA49" t="e">
        <f t="shared" si="15"/>
        <v>#DIV/0!</v>
      </c>
      <c r="AB49" t="e">
        <f t="shared" si="16"/>
        <v>#DIV/0!</v>
      </c>
      <c r="AC49" t="e">
        <f t="shared" si="17"/>
        <v>#DIV/0!</v>
      </c>
      <c r="AD49" t="e">
        <f t="shared" si="18"/>
        <v>#DIV/0!</v>
      </c>
      <c r="AE49" t="e">
        <f t="shared" si="19"/>
        <v>#DIV/0!</v>
      </c>
      <c r="AF49" t="e">
        <f t="shared" si="20"/>
        <v>#DIV/0!</v>
      </c>
      <c r="AG49" t="e">
        <f t="shared" si="21"/>
        <v>#DIV/0!</v>
      </c>
      <c r="AH49" t="e">
        <f t="shared" si="22"/>
        <v>#DIV/0!</v>
      </c>
      <c r="AI49" t="e">
        <f t="shared" si="23"/>
        <v>#DIV/0!</v>
      </c>
      <c r="AJ49" t="e">
        <f t="shared" si="24"/>
        <v>#DIV/0!</v>
      </c>
    </row>
    <row r="50" spans="21:36">
      <c r="U50" s="17">
        <v>15</v>
      </c>
      <c r="V50" t="e">
        <f t="shared" si="10"/>
        <v>#DIV/0!</v>
      </c>
      <c r="W50" t="e">
        <f t="shared" si="11"/>
        <v>#DIV/0!</v>
      </c>
      <c r="X50" t="e">
        <f t="shared" si="12"/>
        <v>#DIV/0!</v>
      </c>
      <c r="Y50" t="e">
        <f t="shared" si="13"/>
        <v>#DIV/0!</v>
      </c>
      <c r="Z50" t="e">
        <f t="shared" si="14"/>
        <v>#DIV/0!</v>
      </c>
      <c r="AA50" t="e">
        <f t="shared" si="15"/>
        <v>#DIV/0!</v>
      </c>
      <c r="AB50" t="e">
        <f t="shared" si="16"/>
        <v>#DIV/0!</v>
      </c>
      <c r="AC50" t="e">
        <f t="shared" si="17"/>
        <v>#DIV/0!</v>
      </c>
      <c r="AD50" t="e">
        <f t="shared" si="18"/>
        <v>#DIV/0!</v>
      </c>
      <c r="AE50" t="e">
        <f t="shared" si="19"/>
        <v>#DIV/0!</v>
      </c>
      <c r="AF50" t="e">
        <f t="shared" si="20"/>
        <v>#DIV/0!</v>
      </c>
      <c r="AG50" t="e">
        <f t="shared" si="21"/>
        <v>#DIV/0!</v>
      </c>
      <c r="AH50" t="e">
        <f t="shared" si="22"/>
        <v>#DIV/0!</v>
      </c>
      <c r="AI50" t="e">
        <f t="shared" si="23"/>
        <v>#DIV/0!</v>
      </c>
      <c r="AJ50" t="e">
        <f t="shared" si="24"/>
        <v>#DIV/0!</v>
      </c>
    </row>
  </sheetData>
  <conditionalFormatting sqref="C20:C36">
    <cfRule type="expression" dxfId="4" priority="1">
      <formula>MATCH(C20,$M$20:$M$28,0)</formula>
    </cfRule>
  </conditionalFormatting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75C569-7788-4340-9EDA-AA22AB712484}">
  <dimension ref="A1"/>
  <sheetViews>
    <sheetView workbookViewId="0"/>
  </sheetViews>
  <sheetFormatPr defaultRowHeight="14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34C60A-91D2-493B-90BF-A2681997FC8A}">
  <dimension ref="A1:AM56"/>
  <sheetViews>
    <sheetView tabSelected="1" topLeftCell="A15" workbookViewId="0">
      <selection activeCell="G48" sqref="G48"/>
    </sheetView>
  </sheetViews>
  <sheetFormatPr defaultRowHeight="14.25"/>
  <cols>
    <col min="1" max="1" width="9.5" bestFit="1" customWidth="1"/>
    <col min="2" max="2" width="14.75" bestFit="1" customWidth="1"/>
    <col min="3" max="3" width="16.875" customWidth="1"/>
    <col min="4" max="4" width="12.5" bestFit="1" customWidth="1"/>
    <col min="5" max="5" width="7.75" bestFit="1" customWidth="1"/>
    <col min="6" max="6" width="8.375" bestFit="1" customWidth="1"/>
    <col min="7" max="7" width="7.375" bestFit="1" customWidth="1"/>
    <col min="8" max="8" width="8" customWidth="1"/>
    <col min="9" max="19" width="6.75" customWidth="1"/>
    <col min="20" max="20" width="18.25" customWidth="1"/>
    <col min="21" max="21" width="12.75" bestFit="1" customWidth="1"/>
    <col min="22" max="38" width="5.5" customWidth="1"/>
    <col min="39" max="39" width="15.75" bestFit="1" customWidth="1"/>
  </cols>
  <sheetData>
    <row r="1" spans="1:39" ht="48.75" customHeight="1" thickBot="1">
      <c r="B1" s="32" t="s">
        <v>41</v>
      </c>
      <c r="C1" s="33" t="s">
        <v>5</v>
      </c>
      <c r="D1" s="33"/>
      <c r="E1" s="33"/>
      <c r="F1" s="33"/>
      <c r="G1" s="33"/>
      <c r="H1" s="33"/>
      <c r="I1" s="33"/>
      <c r="J1" s="33"/>
      <c r="K1" s="33"/>
      <c r="L1" s="33"/>
      <c r="M1" s="33"/>
      <c r="N1" s="33"/>
      <c r="O1" s="33"/>
      <c r="P1" s="33"/>
      <c r="Q1" s="33"/>
      <c r="R1" s="33"/>
      <c r="S1" s="34"/>
      <c r="T1" s="13" t="s">
        <v>40</v>
      </c>
      <c r="U1" s="13" t="s">
        <v>11</v>
      </c>
      <c r="V1" s="14" t="s">
        <v>6</v>
      </c>
      <c r="W1" s="14"/>
      <c r="X1" s="14"/>
      <c r="Y1" s="14"/>
      <c r="Z1" s="14"/>
      <c r="AA1" s="14"/>
      <c r="AB1" s="14"/>
      <c r="AC1" s="14"/>
      <c r="AD1" s="14"/>
      <c r="AE1" s="14"/>
      <c r="AF1" s="14"/>
      <c r="AG1" s="14"/>
      <c r="AH1" s="14"/>
      <c r="AI1" s="14"/>
      <c r="AJ1" s="14"/>
      <c r="AK1" s="14"/>
      <c r="AL1" s="15"/>
    </row>
    <row r="2" spans="1:39">
      <c r="B2" s="16" t="s">
        <v>5</v>
      </c>
      <c r="C2" s="5">
        <v>1</v>
      </c>
      <c r="D2" s="5">
        <v>2</v>
      </c>
      <c r="E2" s="5">
        <v>3</v>
      </c>
      <c r="F2" s="5">
        <v>4</v>
      </c>
      <c r="G2" s="5">
        <v>5</v>
      </c>
      <c r="H2" s="5">
        <v>6</v>
      </c>
      <c r="I2" s="5">
        <v>7</v>
      </c>
      <c r="J2" s="5">
        <v>8</v>
      </c>
      <c r="K2" s="5">
        <v>9</v>
      </c>
      <c r="L2" s="5">
        <v>10</v>
      </c>
      <c r="M2" s="5">
        <v>11</v>
      </c>
      <c r="N2" s="5">
        <v>12</v>
      </c>
      <c r="O2" s="5">
        <v>13</v>
      </c>
      <c r="P2" s="5">
        <v>14</v>
      </c>
      <c r="Q2" s="5">
        <v>15</v>
      </c>
      <c r="R2" s="5">
        <v>16</v>
      </c>
      <c r="S2" s="22">
        <v>17</v>
      </c>
      <c r="U2" s="16" t="s">
        <v>12</v>
      </c>
      <c r="V2" s="5">
        <v>1</v>
      </c>
      <c r="W2" s="5">
        <v>2</v>
      </c>
      <c r="X2" s="5">
        <v>3</v>
      </c>
      <c r="Y2" s="5">
        <v>4</v>
      </c>
      <c r="Z2" s="5">
        <v>5</v>
      </c>
      <c r="AA2" s="5">
        <v>6</v>
      </c>
      <c r="AB2" s="5">
        <v>7</v>
      </c>
      <c r="AC2" s="5">
        <v>8</v>
      </c>
      <c r="AD2" s="5">
        <v>9</v>
      </c>
      <c r="AE2" s="5">
        <v>10</v>
      </c>
      <c r="AF2" s="5">
        <v>11</v>
      </c>
      <c r="AG2" s="5">
        <v>12</v>
      </c>
      <c r="AH2" s="5">
        <v>13</v>
      </c>
      <c r="AI2" s="5">
        <v>14</v>
      </c>
      <c r="AJ2" s="5">
        <v>15</v>
      </c>
      <c r="AK2" s="5">
        <v>16</v>
      </c>
      <c r="AL2" s="22">
        <v>17</v>
      </c>
      <c r="AM2" s="9" t="s">
        <v>13</v>
      </c>
    </row>
    <row r="3" spans="1:39" ht="15">
      <c r="A3" s="12"/>
      <c r="B3" s="17">
        <v>1</v>
      </c>
      <c r="C3" s="43">
        <f>(getDistance(coord!C1,coord!D1,coord!$C$1,coord!$D$1)*1000)/$C$20</f>
        <v>0</v>
      </c>
      <c r="D3" s="44">
        <f>(getDistance(coord!C1,coord!D1,coord!$C$2,coord!$D$2)*1000)/$D$20</f>
        <v>9.7939859857844019E-3</v>
      </c>
      <c r="E3" s="44">
        <f>(getDistance(coord!$C1,coord!$D1,coord!$C$3,coord!$D$3)*1000)/$E$20</f>
        <v>2.2698884083943889E-2</v>
      </c>
      <c r="F3" s="44">
        <f>(getDistance(coord!$C1,coord!$D1,coord!$C$4,coord!$D$4)*1000)/$F$20</f>
        <v>4.1041595442076105E-2</v>
      </c>
      <c r="G3" s="44">
        <f>(getDistance(coord!$C1,coord!$D1,coord!$C$5,coord!$D$5)*1000)/$G$20</f>
        <v>8.9692706304415254E-2</v>
      </c>
      <c r="H3" s="44">
        <f>(getDistance(coord!$C1,coord!$D1,coord!$C$6,coord!$D$6)*1000)/$H$20</f>
        <v>8.6451824708535505E-2</v>
      </c>
      <c r="I3" s="44">
        <f>(getDistance(coord!$C1,coord!$D1,coord!$C$7,coord!$D$7)*1000)/$I$20</f>
        <v>8.9811228695136011E-2</v>
      </c>
      <c r="J3" s="44">
        <f>(getDistance(coord!$C1,coord!$D1,coord!$C$8,coord!$D$8)*1000)/$J$20</f>
        <v>9.1240820893187149E-2</v>
      </c>
      <c r="K3" s="44">
        <f>(getDistance(coord!$C1,coord!$D1,coord!$C$9,coord!$D$9)*1000)/$K$20</f>
        <v>8.7047462622908689E-2</v>
      </c>
      <c r="L3" s="44">
        <f>(getDistance(coord!$C1,coord!$D1,coord!$C$10,coord!$D$10)*1000)/$L$20</f>
        <v>8.0740347669411905E-2</v>
      </c>
      <c r="M3" s="44">
        <f>(getDistance(coord!$C1,coord!$D1,coord!$C$11,coord!$D$11)*1000)/$M$20</f>
        <v>5.5422256969853041E-2</v>
      </c>
      <c r="N3" s="44">
        <f>(getDistance(coord!$C1,coord!$D1,coord!$C$12,coord!$D$12)*1000)/$N$20</f>
        <v>8.5548369994808526E-2</v>
      </c>
      <c r="O3" s="44">
        <f>(getDistance(coord!$C1,coord!$D1,coord!$C$13,coord!$D$13)*1000)/$O$20</f>
        <v>3.1776523621703266E-2</v>
      </c>
      <c r="P3" s="44">
        <f>(getDistance(coord!$C1,coord!$D1,coord!$C$14,coord!$D$14)*1000)/$P$20</f>
        <v>1.0336778634729865E-2</v>
      </c>
      <c r="Q3" s="44">
        <f>(getDistance(coord!$C1,coord!$D1,coord!$C$15,coord!$D$15)*1000)/$Q$20</f>
        <v>6.8833375128825133E-2</v>
      </c>
      <c r="R3" s="44">
        <f>(getDistance(coord!$C1,coord!$D1,coord!$C$16,coord!$D$16)*1000)/$R$20</f>
        <v>6.1611762184374974E-2</v>
      </c>
      <c r="S3" s="44">
        <f>(getDistance(coord!$C1,coord!$D1,coord!$C$17,coord!$D$17)*1000)/$S$20</f>
        <v>6.3560494570447018E-2</v>
      </c>
      <c r="T3" s="8" t="s">
        <v>39</v>
      </c>
      <c r="U3" s="17">
        <v>8</v>
      </c>
      <c r="V3" s="12">
        <v>1.3793103448275862E-2</v>
      </c>
      <c r="W3" s="12">
        <v>1.9607843137254902E-2</v>
      </c>
      <c r="X3" s="12">
        <v>6.0606060606060608E-2</v>
      </c>
      <c r="Y3" s="12">
        <v>9.5238095238095247E-3</v>
      </c>
      <c r="Z3" s="12">
        <v>2.6315789473684209E-2</v>
      </c>
      <c r="AA3" s="12">
        <v>1.3192612137203167E-2</v>
      </c>
      <c r="AB3" s="12">
        <v>2.1739130434782608E-2</v>
      </c>
      <c r="AC3" s="12">
        <v>1.8181818181818181E-2</v>
      </c>
      <c r="AD3" s="12">
        <v>8.0000000000000002E-3</v>
      </c>
      <c r="AE3" s="12">
        <v>4.9295774647887321E-2</v>
      </c>
      <c r="AF3" s="12">
        <v>1.2048192771084338E-2</v>
      </c>
      <c r="AG3" s="12">
        <v>1.1764705882352941E-2</v>
      </c>
      <c r="AH3" s="12">
        <v>1.2345679012345678E-2</v>
      </c>
      <c r="AI3" s="12">
        <v>1.3157894736842105E-2</v>
      </c>
      <c r="AJ3" s="12">
        <v>1.3513513513513514E-2</v>
      </c>
      <c r="AK3" s="12">
        <v>1.8292682926829267E-2</v>
      </c>
      <c r="AL3" s="18">
        <v>9.1743119266055051E-3</v>
      </c>
      <c r="AM3">
        <f>AVERAGE(V3:AL3)</f>
        <v>1.9444289550608812E-2</v>
      </c>
    </row>
    <row r="4" spans="1:39" ht="15">
      <c r="A4" s="12"/>
      <c r="B4" s="17">
        <v>2</v>
      </c>
      <c r="C4" s="45">
        <f>(getDistance(coord!C2,coord!D2,coord!$C$1,coord!$D$1)*1000)/$C$20</f>
        <v>9.2469745750658385E-3</v>
      </c>
      <c r="D4" s="46">
        <f>(getDistance(coord!C2,coord!D2,coord!$C$2,coord!$D$2)*1000)/$D$20</f>
        <v>0</v>
      </c>
      <c r="E4" s="45">
        <f>(getDistance(coord!$C2,coord!$D2,coord!$C$3,coord!$D$3)*1000)/$E$20</f>
        <v>1.3406673571440857E-2</v>
      </c>
      <c r="F4" s="45">
        <f>(getDistance(coord!$C2,coord!$D2,coord!$C$4,coord!$D$4)*1000)/$F$20</f>
        <v>4.6106558172381198E-2</v>
      </c>
      <c r="G4" s="45">
        <f>(getDistance(coord!$C2,coord!$D2,coord!$C$5,coord!$D$5)*1000)/$G$20</f>
        <v>8.1067478863828216E-2</v>
      </c>
      <c r="H4" s="45">
        <f>(getDistance(coord!$C2,coord!$D2,coord!$C$6,coord!$D$6)*1000)/$H$20</f>
        <v>8.0175462212965953E-2</v>
      </c>
      <c r="I4" s="45">
        <f>(getDistance(coord!$C2,coord!$D2,coord!$C$7,coord!$D$7)*1000)/$I$20</f>
        <v>8.468635184258988E-2</v>
      </c>
      <c r="J4" s="45">
        <f>(getDistance(coord!$C2,coord!$D2,coord!$C$8,coord!$D$8)*1000)/$J$20</f>
        <v>8.3290509632205356E-2</v>
      </c>
      <c r="K4" s="45">
        <f>(getDistance(coord!$C2,coord!$D2,coord!$C$9,coord!$D$9)*1000)/$K$20</f>
        <v>7.7949945055034039E-2</v>
      </c>
      <c r="L4" s="45">
        <f>(getDistance(coord!$C2,coord!$D2,coord!$C$10,coord!$D$10)*1000)/$L$20</f>
        <v>7.2766203954019684E-2</v>
      </c>
      <c r="M4" s="45">
        <f>(getDistance(coord!$C2,coord!$D2,coord!$C$11,coord!$D$11)*1000)/$M$20</f>
        <v>5.4633200319977884E-2</v>
      </c>
      <c r="N4" s="45">
        <f>(getDistance(coord!$C2,coord!$D2,coord!$C$12,coord!$D$12)*1000)/$N$20</f>
        <v>8.1881962218171789E-2</v>
      </c>
      <c r="O4" s="45">
        <f>(getDistance(coord!$C2,coord!$D2,coord!$C$13,coord!$D$13)*1000)/$O$20</f>
        <v>3.8078436406743466E-2</v>
      </c>
      <c r="P4" s="45">
        <f>(getDistance(coord!$C2,coord!$D2,coord!$C$14,coord!$D$14)*1000)/$P$20</f>
        <v>1.8726762682311E-2</v>
      </c>
      <c r="Q4" s="45">
        <f>(getDistance(coord!$C2,coord!$D2,coord!$C$15,coord!$D$15)*1000)/$Q$20</f>
        <v>5.8687830639966236E-2</v>
      </c>
      <c r="R4" s="45">
        <f>(getDistance(coord!$C2,coord!$D2,coord!$C$16,coord!$D$16)*1000)/$R$20</f>
        <v>5.4144568419983552E-2</v>
      </c>
      <c r="S4" s="45">
        <f>(getDistance(coord!$C2,coord!$D2,coord!$C$17,coord!$D$17)*1000)/$S$20</f>
        <v>5.3842463364049263E-2</v>
      </c>
      <c r="T4" s="8" t="s">
        <v>15</v>
      </c>
      <c r="U4" s="17">
        <v>9</v>
      </c>
      <c r="V4" s="12">
        <v>3.4482758620689655E-2</v>
      </c>
      <c r="W4" s="12">
        <v>1.9607843137254902E-2</v>
      </c>
      <c r="X4" s="12">
        <v>6.0606060606060608E-2</v>
      </c>
      <c r="Y4" s="12">
        <v>9.5238095238095247E-3</v>
      </c>
      <c r="Z4" s="12">
        <v>4.3859649122807015E-2</v>
      </c>
      <c r="AA4" s="12">
        <v>1.3192612137203167E-2</v>
      </c>
      <c r="AB4" s="12">
        <v>2.1739130434782608E-2</v>
      </c>
      <c r="AC4" s="12">
        <v>1.8181818181818181E-2</v>
      </c>
      <c r="AD4" s="12">
        <v>1.6E-2</v>
      </c>
      <c r="AE4" s="12">
        <v>5.6338028169014086E-2</v>
      </c>
      <c r="AF4" s="12">
        <v>2.4096385542168676E-2</v>
      </c>
      <c r="AG4" s="12">
        <v>2.3529411764705882E-2</v>
      </c>
      <c r="AH4" s="12">
        <v>2.4691358024691357E-2</v>
      </c>
      <c r="AI4" s="12">
        <v>3.9473684210526314E-2</v>
      </c>
      <c r="AJ4" s="12">
        <v>4.0540540540540543E-2</v>
      </c>
      <c r="AK4" s="12">
        <v>2.4390243902439025E-2</v>
      </c>
      <c r="AL4" s="18">
        <v>3.669724770642202E-2</v>
      </c>
      <c r="AM4">
        <f t="shared" ref="AM4:AM19" si="0">AVERAGE(V4:AL4)</f>
        <v>2.982062244852551E-2</v>
      </c>
    </row>
    <row r="5" spans="1:39" ht="15">
      <c r="A5" s="12"/>
      <c r="B5" s="17">
        <v>3</v>
      </c>
      <c r="C5" s="45">
        <f>(getDistance(coord!C3,coord!D3,coord!$C$1,coord!$D$1)*1000)/$C$20</f>
        <v>1.9643791909343934E-2</v>
      </c>
      <c r="D5" s="45">
        <f>(getDistance(coord!C3,coord!D3,coord!$C$2,coord!$D$2)*1000)/$D$20</f>
        <v>1.2288579056995987E-2</v>
      </c>
      <c r="E5" s="46">
        <f>(getDistance(coord!$C3,coord!$D3,coord!$C$3,coord!$D$3)*1000)/$E$20</f>
        <v>0</v>
      </c>
      <c r="F5" s="45">
        <f>(getDistance(coord!$C3,coord!$D3,coord!$C$4,coord!$D$4)*1000)/$F$20</f>
        <v>4.9239744032680575E-2</v>
      </c>
      <c r="G5" s="45">
        <f>(getDistance(coord!$C3,coord!$D3,coord!$C$5,coord!$D$5)*1000)/$G$20</f>
        <v>6.7114307356976877E-2</v>
      </c>
      <c r="H5" s="45">
        <f>(getDistance(coord!$C3,coord!$D3,coord!$C$6,coord!$D$6)*1000)/$H$20</f>
        <v>6.7600548215057135E-2</v>
      </c>
      <c r="I5" s="45">
        <f>(getDistance(coord!$C3,coord!$D3,coord!$C$7,coord!$D$7)*1000)/$I$20</f>
        <v>7.5382023485248112E-2</v>
      </c>
      <c r="J5" s="45">
        <f>(getDistance(coord!$C3,coord!$D3,coord!$C$8,coord!$D$8)*1000)/$J$20</f>
        <v>6.9817238172495161E-2</v>
      </c>
      <c r="K5" s="45">
        <f>(getDistance(coord!$C3,coord!$D3,coord!$C$9,coord!$D$9)*1000)/$K$20</f>
        <v>6.4957190869945655E-2</v>
      </c>
      <c r="L5" s="45">
        <f>(getDistance(coord!$C3,coord!$D3,coord!$C$10,coord!$D$10)*1000)/$L$20</f>
        <v>5.8381558747137567E-2</v>
      </c>
      <c r="M5" s="45">
        <f>(getDistance(coord!$C3,coord!$D3,coord!$C$11,coord!$D$11)*1000)/$M$20</f>
        <v>4.7923791064915143E-2</v>
      </c>
      <c r="N5" s="45">
        <f>(getDistance(coord!$C3,coord!$D3,coord!$C$12,coord!$D$12)*1000)/$N$20</f>
        <v>7.4297179559466797E-2</v>
      </c>
      <c r="O5" s="45">
        <f>(getDistance(coord!$C3,coord!$D3,coord!$C$13,coord!$D$13)*1000)/$O$20</f>
        <v>4.3084773468247912E-2</v>
      </c>
      <c r="P5" s="45">
        <f>(getDistance(coord!$C3,coord!$D3,coord!$C$14,coord!$D$14)*1000)/$P$20</f>
        <v>2.7735254089680056E-2</v>
      </c>
      <c r="Q5" s="45">
        <f>(getDistance(coord!$C3,coord!$D3,coord!$C$15,coord!$D$15)*1000)/$Q$20</f>
        <v>4.7574861205438287E-2</v>
      </c>
      <c r="R5" s="45">
        <f>(getDistance(coord!$C3,coord!$D3,coord!$C$16,coord!$D$16)*1000)/$R$20</f>
        <v>4.891291394410003E-2</v>
      </c>
      <c r="S5" s="45">
        <f>(getDistance(coord!$C3,coord!$D3,coord!$C$17,coord!$D$17)*1000)/$S$20</f>
        <v>4.4698705395085934E-2</v>
      </c>
      <c r="T5" s="8" t="s">
        <v>16</v>
      </c>
      <c r="U5" s="17">
        <v>10</v>
      </c>
      <c r="V5" s="12">
        <v>4.8275862068965517E-2</v>
      </c>
      <c r="W5" s="12">
        <v>3.9215686274509803E-2</v>
      </c>
      <c r="X5" s="12">
        <v>6.0606060606060608E-2</v>
      </c>
      <c r="Y5" s="12">
        <v>1.9047619047619049E-2</v>
      </c>
      <c r="Z5" s="12">
        <v>6.1403508771929821E-2</v>
      </c>
      <c r="AA5" s="12">
        <v>2.6385224274406333E-2</v>
      </c>
      <c r="AB5" s="12">
        <v>4.3478260869565216E-2</v>
      </c>
      <c r="AC5" s="12">
        <v>3.6363636363636362E-2</v>
      </c>
      <c r="AD5" s="12">
        <v>2.4E-2</v>
      </c>
      <c r="AE5" s="12">
        <v>6.3380281690140844E-2</v>
      </c>
      <c r="AF5" s="12">
        <v>3.614457831325301E-2</v>
      </c>
      <c r="AG5" s="12">
        <v>3.5294117647058823E-2</v>
      </c>
      <c r="AH5" s="12">
        <v>3.7037037037037035E-2</v>
      </c>
      <c r="AI5" s="12">
        <v>6.5789473684210523E-2</v>
      </c>
      <c r="AJ5" s="12">
        <v>6.7567567567567571E-2</v>
      </c>
      <c r="AK5" s="12">
        <v>3.048780487804878E-2</v>
      </c>
      <c r="AL5" s="18">
        <v>6.4220183486238536E-2</v>
      </c>
      <c r="AM5">
        <f t="shared" si="0"/>
        <v>4.4629229563543996E-2</v>
      </c>
    </row>
    <row r="6" spans="1:39" ht="15">
      <c r="A6" s="12"/>
      <c r="B6" s="17">
        <v>4</v>
      </c>
      <c r="C6" s="45">
        <f>(getDistance(coord!C4,coord!D4,coord!$C$1,coord!$D$1)*1000)/$C$20</f>
        <v>6.3479240244314714E-2</v>
      </c>
      <c r="D6" s="45">
        <f>(getDistance(coord!C4,coord!D4,coord!$C$2,coord!$D$2)*1000)/$D$20</f>
        <v>7.5531829384877472E-2</v>
      </c>
      <c r="E6" s="45">
        <f>(getDistance(coord!$C4,coord!$D4,coord!$C$3,coord!$D$3)*1000)/$E$20</f>
        <v>8.800400841849014E-2</v>
      </c>
      <c r="F6" s="46">
        <f>(getDistance(coord!$C4,coord!$D4,coord!$C$4,coord!$D$4)*1000)/$F$20</f>
        <v>0</v>
      </c>
      <c r="G6" s="45">
        <f>(getDistance(coord!$C4,coord!$D4,coord!$C$5,coord!$D$5)*1000)/$G$20</f>
        <v>0.13532669589065421</v>
      </c>
      <c r="H6" s="45">
        <f>(getDistance(coord!$C4,coord!$D4,coord!$C$6,coord!$D$6)*1000)/$H$20</f>
        <v>0.11768627586774991</v>
      </c>
      <c r="I6" s="45">
        <f>(getDistance(coord!$C4,coord!$D4,coord!$C$7,coord!$D$7)*1000)/$I$20</f>
        <v>0.11144001891511569</v>
      </c>
      <c r="J6" s="45">
        <f>(getDistance(coord!$C4,coord!$D4,coord!$C$8,coord!$D$8)*1000)/$J$20</f>
        <v>0.13205624405448768</v>
      </c>
      <c r="K6" s="45">
        <f>(getDistance(coord!$C4,coord!$D4,coord!$C$9,coord!$D$9)*1000)/$K$20</f>
        <v>0.13633197020169702</v>
      </c>
      <c r="L6" s="45">
        <f>(getDistance(coord!$C4,coord!$D4,coord!$C$10,coord!$D$10)*1000)/$L$20</f>
        <v>0.12509114644578523</v>
      </c>
      <c r="M6" s="45">
        <f>(getDistance(coord!$C4,coord!$D4,coord!$C$11,coord!$D$11)*1000)/$M$20</f>
        <v>6.6478851750094006E-2</v>
      </c>
      <c r="N6" s="45">
        <f>(getDistance(coord!$C4,coord!$D4,coord!$C$12,coord!$D$12)*1000)/$N$20</f>
        <v>9.7873585979555255E-2</v>
      </c>
      <c r="O6" s="45">
        <f>(getDistance(coord!$C4,coord!$D4,coord!$C$13,coord!$D$13)*1000)/$O$20</f>
        <v>1.6348341587255268E-2</v>
      </c>
      <c r="P6" s="45">
        <f>(getDistance(coord!$C4,coord!$D4,coord!$C$14,coord!$D$14)*1000)/$P$20</f>
        <v>4.9557575034467172E-2</v>
      </c>
      <c r="Q6" s="45">
        <f>(getDistance(coord!$C4,coord!$D4,coord!$C$15,coord!$D$15)*1000)/$Q$20</f>
        <v>0.1294425679412515</v>
      </c>
      <c r="R6" s="45">
        <f>(getDistance(coord!$C4,coord!$D4,coord!$C$16,coord!$D$16)*1000)/$R$20</f>
        <v>0.11186301713772151</v>
      </c>
      <c r="S6" s="45">
        <f>(getDistance(coord!$C4,coord!$D4,coord!$C$17,coord!$D$17)*1000)/$S$20</f>
        <v>0.12383620205405937</v>
      </c>
      <c r="T6" s="8" t="s">
        <v>17</v>
      </c>
      <c r="U6" s="17">
        <v>11</v>
      </c>
      <c r="V6" s="12">
        <v>5.5172413793103448E-2</v>
      </c>
      <c r="W6" s="12">
        <v>5.8823529411764705E-2</v>
      </c>
      <c r="X6" s="12">
        <v>6.0606060606060608E-2</v>
      </c>
      <c r="Y6" s="12">
        <v>2.8571428571428571E-2</v>
      </c>
      <c r="Z6" s="12">
        <v>7.0175438596491224E-2</v>
      </c>
      <c r="AA6" s="12">
        <v>3.9577836411609502E-2</v>
      </c>
      <c r="AB6" s="12">
        <v>6.5217391304347824E-2</v>
      </c>
      <c r="AC6" s="12">
        <v>3.6363636363636362E-2</v>
      </c>
      <c r="AD6" s="12">
        <v>3.2000000000000001E-2</v>
      </c>
      <c r="AE6" s="12">
        <v>6.3380281690140844E-2</v>
      </c>
      <c r="AF6" s="12">
        <v>4.8192771084337352E-2</v>
      </c>
      <c r="AG6" s="12">
        <v>4.7058823529411764E-2</v>
      </c>
      <c r="AH6" s="12">
        <v>6.1728395061728392E-2</v>
      </c>
      <c r="AI6" s="12">
        <v>7.8947368421052627E-2</v>
      </c>
      <c r="AJ6" s="12">
        <v>8.1081081081081086E-2</v>
      </c>
      <c r="AK6" s="12">
        <v>3.6585365853658534E-2</v>
      </c>
      <c r="AL6" s="18">
        <v>9.1743119266055051E-2</v>
      </c>
      <c r="AM6">
        <f t="shared" si="0"/>
        <v>5.6189702414465192E-2</v>
      </c>
    </row>
    <row r="7" spans="1:39" ht="15">
      <c r="A7" s="12"/>
      <c r="B7" s="17">
        <v>5</v>
      </c>
      <c r="C7" s="45">
        <f>(getDistance(coord!C5,coord!D5,coord!$C$1,coord!$D$1)*1000)/$C$20</f>
        <v>7.4513747663746827E-2</v>
      </c>
      <c r="D7" s="45">
        <f>(getDistance(coord!C5,coord!D5,coord!$C$2,coord!$D$2)*1000)/$D$20</f>
        <v>7.1332223275925158E-2</v>
      </c>
      <c r="E7" s="45">
        <f>(getDistance(coord!$C5,coord!$D5,coord!$C$3,coord!$D$3)*1000)/$E$20</f>
        <v>6.4427840249098367E-2</v>
      </c>
      <c r="F7" s="45">
        <f>(getDistance(coord!$C5,coord!$D5,coord!$C$4,coord!$D$4)*1000)/$F$20</f>
        <v>7.2686753478064511E-2</v>
      </c>
      <c r="G7" s="46">
        <f>(getDistance(coord!$C5,coord!$D5,coord!$C$5,coord!$D$5)*1000)/$G$20</f>
        <v>0</v>
      </c>
      <c r="H7" s="45">
        <f>(getDistance(coord!$C5,coord!$D5,coord!$C$6,coord!$D$6)*1000)/$H$20</f>
        <v>2.0764064813478561E-2</v>
      </c>
      <c r="I7" s="45">
        <f>(getDistance(coord!$C5,coord!$D5,coord!$C$7,coord!$D$7)*1000)/$I$20</f>
        <v>3.1073475364880684E-2</v>
      </c>
      <c r="J7" s="45">
        <f>(getDistance(coord!$C5,coord!$D5,coord!$C$8,coord!$D$8)*1000)/$J$20</f>
        <v>6.6997057360049812E-3</v>
      </c>
      <c r="K7" s="45">
        <f>(getDistance(coord!$C5,coord!$D5,coord!$C$9,coord!$D$9)*1000)/$K$20</f>
        <v>1.3639234596297669E-2</v>
      </c>
      <c r="L7" s="45">
        <f>(getDistance(coord!$C5,coord!$D5,coord!$C$10,coord!$D$10)*1000)/$L$20</f>
        <v>1.7651267526811714E-2</v>
      </c>
      <c r="M7" s="45">
        <f>(getDistance(coord!$C5,coord!$D5,coord!$C$11,coord!$D$11)*1000)/$M$20</f>
        <v>5.3560851603546879E-2</v>
      </c>
      <c r="N7" s="45">
        <f>(getDistance(coord!$C5,coord!$D5,coord!$C$12,coord!$D$12)*1000)/$N$20</f>
        <v>3.9018607255554762E-2</v>
      </c>
      <c r="O7" s="45">
        <f>(getDistance(coord!$C5,coord!$D5,coord!$C$13,coord!$D$13)*1000)/$O$20</f>
        <v>7.5467560403881626E-2</v>
      </c>
      <c r="P7" s="45">
        <f>(getDistance(coord!$C5,coord!$D5,coord!$C$14,coord!$D$14)*1000)/$P$20</f>
        <v>7.6258866569330716E-2</v>
      </c>
      <c r="Q7" s="45">
        <f>(getDistance(coord!$C5,coord!$D5,coord!$C$15,coord!$D$15)*1000)/$Q$20</f>
        <v>3.7959046248182332E-2</v>
      </c>
      <c r="R7" s="45">
        <f>(getDistance(coord!$C5,coord!$D5,coord!$C$16,coord!$D$16)*1000)/$R$20</f>
        <v>5.0538031267408988E-2</v>
      </c>
      <c r="S7" s="45">
        <f>(getDistance(coord!$C5,coord!$D5,coord!$C$17,coord!$D$17)*1000)/$S$20</f>
        <v>4.4755301363570019E-2</v>
      </c>
      <c r="T7" s="8" t="s">
        <v>18</v>
      </c>
      <c r="U7" s="17">
        <v>12</v>
      </c>
      <c r="V7" s="12">
        <v>6.2068965517241378E-2</v>
      </c>
      <c r="W7" s="12">
        <v>5.8823529411764705E-2</v>
      </c>
      <c r="X7" s="12">
        <v>6.0606060606060608E-2</v>
      </c>
      <c r="Y7" s="12">
        <v>4.7619047619047616E-2</v>
      </c>
      <c r="Z7" s="12">
        <v>7.0175438596491224E-2</v>
      </c>
      <c r="AA7" s="12">
        <v>6.3324538258575203E-2</v>
      </c>
      <c r="AB7" s="12">
        <v>6.5217391304347824E-2</v>
      </c>
      <c r="AC7" s="12">
        <v>5.4545454545454543E-2</v>
      </c>
      <c r="AD7" s="12">
        <v>0.04</v>
      </c>
      <c r="AE7" s="12">
        <v>6.3380281690140844E-2</v>
      </c>
      <c r="AF7" s="12">
        <v>6.0240963855421686E-2</v>
      </c>
      <c r="AG7" s="12">
        <v>5.8823529411764705E-2</v>
      </c>
      <c r="AH7" s="12">
        <v>8.6419753086419748E-2</v>
      </c>
      <c r="AI7" s="12">
        <v>9.2105263157894732E-2</v>
      </c>
      <c r="AJ7" s="12">
        <v>8.1081081081081086E-2</v>
      </c>
      <c r="AK7" s="12">
        <v>4.2682926829268296E-2</v>
      </c>
      <c r="AL7" s="18">
        <v>9.1743119266055051E-2</v>
      </c>
      <c r="AM7">
        <f t="shared" si="0"/>
        <v>6.4638667308060546E-2</v>
      </c>
    </row>
    <row r="8" spans="1:39" ht="15">
      <c r="A8" s="12"/>
      <c r="B8" s="17">
        <v>6</v>
      </c>
      <c r="C8" s="45">
        <f>(getDistance(coord!C6,coord!D6,coord!$C$1,coord!$D$1)*1000)/$C$20</f>
        <v>7.5503956165217129E-2</v>
      </c>
      <c r="D8" s="45">
        <f>(getDistance(coord!C6,coord!D6,coord!$C$2,coord!$D$2)*1000)/$D$20</f>
        <v>7.416462936716553E-2</v>
      </c>
      <c r="E8" s="45">
        <f>(getDistance(coord!$C6,coord!$D6,coord!$C$3,coord!$D$3)*1000)/$E$20</f>
        <v>6.8222078018574397E-2</v>
      </c>
      <c r="F8" s="45">
        <f>(getDistance(coord!$C6,coord!$D6,coord!$C$4,coord!$D$4)*1000)/$F$20</f>
        <v>6.6452890858092556E-2</v>
      </c>
      <c r="G8" s="45">
        <f>(getDistance(coord!$C6,coord!$D6,coord!$C$5,coord!$D$5)*1000)/$G$20</f>
        <v>2.1828738636758608E-2</v>
      </c>
      <c r="H8" s="46">
        <f>(getDistance(coord!$C6,coord!$D6,coord!$C$6,coord!$D$6)*1000)/$H$20</f>
        <v>0</v>
      </c>
      <c r="I8" s="45">
        <f>(getDistance(coord!$C6,coord!$D6,coord!$C$7,coord!$D$7)*1000)/$I$20</f>
        <v>2.9162206687823905E-2</v>
      </c>
      <c r="J8" s="45">
        <f>(getDistance(coord!$C6,coord!$D6,coord!$C$8,coord!$D$8)*1000)/$J$20</f>
        <v>1.6717233691112079E-2</v>
      </c>
      <c r="K8" s="45">
        <f>(getDistance(coord!$C6,coord!$D6,coord!$C$9,coord!$D$9)*1000)/$K$20</f>
        <v>3.4169011585670317E-2</v>
      </c>
      <c r="L8" s="45">
        <f>(getDistance(coord!$C6,coord!$D6,coord!$C$10,coord!$D$10)*1000)/$L$20</f>
        <v>1.8268829617316084E-2</v>
      </c>
      <c r="M8" s="45">
        <f>(getDistance(coord!$C6,coord!$D6,coord!$C$11,coord!$D$11)*1000)/$M$20</f>
        <v>4.1130588610241409E-2</v>
      </c>
      <c r="N8" s="45">
        <f>(getDistance(coord!$C6,coord!$D6,coord!$C$12,coord!$D$12)*1000)/$N$20</f>
        <v>3.3737409043053328E-2</v>
      </c>
      <c r="O8" s="45">
        <f>(getDistance(coord!$C6,coord!$D6,coord!$C$13,coord!$D$13)*1000)/$O$20</f>
        <v>7.0816044670883788E-2</v>
      </c>
      <c r="P8" s="45">
        <f>(getDistance(coord!$C6,coord!$D6,coord!$C$14,coord!$D$14)*1000)/$P$20</f>
        <v>7.5641428358044008E-2</v>
      </c>
      <c r="Q8" s="45">
        <f>(getDistance(coord!$C6,coord!$D6,coord!$C$15,coord!$D$15)*1000)/$Q$20</f>
        <v>5.5210243961729924E-2</v>
      </c>
      <c r="R8" s="45">
        <f>(getDistance(coord!$C6,coord!$D6,coord!$C$16,coord!$D$16)*1000)/$R$20</f>
        <v>6.4157895195982612E-2</v>
      </c>
      <c r="S8" s="45">
        <f>(getDistance(coord!$C6,coord!$D6,coord!$C$17,coord!$D$17)*1000)/$S$20</f>
        <v>6.067538526253205E-2</v>
      </c>
      <c r="T8" s="8" t="s">
        <v>19</v>
      </c>
      <c r="U8" s="17">
        <v>13</v>
      </c>
      <c r="V8" s="10">
        <v>7.586206896551724E-2</v>
      </c>
      <c r="W8" s="10">
        <v>7.8431372549019607E-2</v>
      </c>
      <c r="X8" s="12">
        <v>6.0606060606060608E-2</v>
      </c>
      <c r="Y8" s="12">
        <v>6.6666666666666666E-2</v>
      </c>
      <c r="Z8" s="12">
        <v>7.0175438596491224E-2</v>
      </c>
      <c r="AA8" s="12">
        <v>7.9155672823219003E-2</v>
      </c>
      <c r="AB8" s="12">
        <v>8.6956521739130432E-2</v>
      </c>
      <c r="AC8" s="12">
        <v>5.4545454545454543E-2</v>
      </c>
      <c r="AD8" s="12">
        <v>5.6000000000000001E-2</v>
      </c>
      <c r="AE8" s="12">
        <v>6.3380281690140844E-2</v>
      </c>
      <c r="AF8" s="12">
        <v>7.2289156626506021E-2</v>
      </c>
      <c r="AG8" s="12">
        <v>7.0588235294117646E-2</v>
      </c>
      <c r="AH8" s="12">
        <v>9.8765432098765427E-2</v>
      </c>
      <c r="AI8" s="12">
        <v>9.2105263157894732E-2</v>
      </c>
      <c r="AJ8" s="12">
        <v>8.1081081081081086E-2</v>
      </c>
      <c r="AK8" s="12">
        <v>5.4878048780487805E-2</v>
      </c>
      <c r="AL8" s="18">
        <v>9.1743119266055051E-2</v>
      </c>
      <c r="AM8">
        <f t="shared" si="0"/>
        <v>7.3719404381565184E-2</v>
      </c>
    </row>
    <row r="9" spans="1:39" ht="15">
      <c r="A9" s="12"/>
      <c r="B9" s="17">
        <v>7</v>
      </c>
      <c r="C9" s="45">
        <f>(getDistance(coord!C7,coord!D7,coord!$C$1,coord!$D$1)*1000)/$C$20</f>
        <v>0.11024602044878865</v>
      </c>
      <c r="D9" s="45">
        <f>(getDistance(coord!C7,coord!D7,coord!$C$2,coord!$D$2)*1000)/$D$20</f>
        <v>0.11010461508476854</v>
      </c>
      <c r="E9" s="45">
        <f>(getDistance(coord!$C7,coord!$D7,coord!$C$3,coord!$D$3)*1000)/$E$20</f>
        <v>0.10692499951284801</v>
      </c>
      <c r="F9" s="45">
        <f>(getDistance(coord!$C7,coord!$D7,coord!$C$4,coord!$D$4)*1000)/$F$20</f>
        <v>8.8443511207543263E-2</v>
      </c>
      <c r="G9" s="45">
        <f>(getDistance(coord!$C7,coord!$D7,coord!$C$5,coord!$D$5)*1000)/$G$20</f>
        <v>4.5913757294255543E-2</v>
      </c>
      <c r="H9" s="45">
        <f>(getDistance(coord!$C7,coord!$D7,coord!$C$6,coord!$D$6)*1000)/$H$20</f>
        <v>4.0988037398308211E-2</v>
      </c>
      <c r="I9" s="46">
        <f>(getDistance(coord!$C7,coord!$D7,coord!$C$7,coord!$D$7)*1000)/$I$20</f>
        <v>0</v>
      </c>
      <c r="J9" s="45">
        <f>(getDistance(coord!$C7,coord!$D7,coord!$C$8,coord!$D$8)*1000)/$J$20</f>
        <v>3.8743657867997619E-2</v>
      </c>
      <c r="K9" s="45">
        <f>(getDistance(coord!$C7,coord!$D7,coord!$C$9,coord!$D$9)*1000)/$K$20</f>
        <v>4.9244496620776908E-2</v>
      </c>
      <c r="L9" s="45">
        <f>(getDistance(coord!$C7,coord!$D7,coord!$C$10,coord!$D$10)*1000)/$L$20</f>
        <v>5.9262873544274626E-2</v>
      </c>
      <c r="M9" s="45">
        <f>(getDistance(coord!$C7,coord!$D7,coord!$C$11,coord!$D$11)*1000)/$M$20</f>
        <v>7.6742677255341979E-2</v>
      </c>
      <c r="N9" s="45">
        <f>(getDistance(coord!$C7,coord!$D7,coord!$C$12,coord!$D$12)*1000)/$N$20</f>
        <v>1.4538514946681543E-2</v>
      </c>
      <c r="O9" s="45">
        <f>(getDistance(coord!$C7,coord!$D7,coord!$C$13,coord!$D$13)*1000)/$O$20</f>
        <v>9.6802630564305797E-2</v>
      </c>
      <c r="P9" s="45">
        <f>(getDistance(coord!$C7,coord!$D7,coord!$C$14,coord!$D$14)*1000)/$P$20</f>
        <v>0.10771118170244345</v>
      </c>
      <c r="Q9" s="45">
        <f>(getDistance(coord!$C7,coord!$D7,coord!$C$15,coord!$D$15)*1000)/$Q$20</f>
        <v>7.7887990092287598E-2</v>
      </c>
      <c r="R9" s="45">
        <f>(getDistance(coord!$C7,coord!$D7,coord!$C$16,coord!$D$16)*1000)/$R$20</f>
        <v>7.7230351239655826E-2</v>
      </c>
      <c r="S9" s="45">
        <f>(getDistance(coord!$C7,coord!$D7,coord!$C$17,coord!$D$17)*1000)/$S$20</f>
        <v>8.2165573782386259E-2</v>
      </c>
      <c r="T9" s="8" t="s">
        <v>20</v>
      </c>
      <c r="U9" s="17">
        <v>14</v>
      </c>
      <c r="V9" s="10">
        <v>7.586206896551724E-2</v>
      </c>
      <c r="W9" s="10">
        <v>7.8431372549019607E-2</v>
      </c>
      <c r="X9" s="12">
        <v>6.0606060606060608E-2</v>
      </c>
      <c r="Y9" s="12">
        <v>8.5714285714285715E-2</v>
      </c>
      <c r="Z9" s="12">
        <v>7.0175438596491224E-2</v>
      </c>
      <c r="AA9" s="12">
        <v>7.9155672823219003E-2</v>
      </c>
      <c r="AB9" s="12">
        <v>8.6956521739130432E-2</v>
      </c>
      <c r="AC9" s="12">
        <v>7.2727272727272724E-2</v>
      </c>
      <c r="AD9" s="12">
        <v>7.1999999999999995E-2</v>
      </c>
      <c r="AE9" s="12">
        <v>6.3380281690140844E-2</v>
      </c>
      <c r="AF9" s="12">
        <v>8.4337349397590355E-2</v>
      </c>
      <c r="AG9" s="12">
        <v>8.2352941176470587E-2</v>
      </c>
      <c r="AH9" s="12">
        <v>9.8765432098765427E-2</v>
      </c>
      <c r="AI9" s="12">
        <v>9.2105263157894732E-2</v>
      </c>
      <c r="AJ9" s="12">
        <v>8.1081081081081086E-2</v>
      </c>
      <c r="AK9" s="12">
        <v>6.7073170731707321E-2</v>
      </c>
      <c r="AL9" s="18">
        <v>8.2568807339449546E-2</v>
      </c>
      <c r="AM9">
        <f t="shared" si="0"/>
        <v>7.8429001199652737E-2</v>
      </c>
    </row>
    <row r="10" spans="1:39" ht="15">
      <c r="A10" s="12"/>
      <c r="B10" s="17">
        <v>8</v>
      </c>
      <c r="C10" s="45">
        <f>(getDistance(coord!C8,coord!D8,coord!$C$1,coord!$D$1)*1000)/$C$20</f>
        <v>7.8116539205215205E-2</v>
      </c>
      <c r="D10" s="45">
        <f>(getDistance(coord!C8,coord!D8,coord!$C$2,coord!$D$2)*1000)/$D$20</f>
        <v>7.5528201747367199E-2</v>
      </c>
      <c r="E10" s="45">
        <f>(getDistance(coord!$C8,coord!$D8,coord!$C$3,coord!$D$3)*1000)/$E$20</f>
        <v>6.9070986320844893E-2</v>
      </c>
      <c r="F10" s="45">
        <f>(getDistance(coord!$C8,coord!$D8,coord!$C$4,coord!$D$4)*1000)/$F$20</f>
        <v>7.3097961577115442E-2</v>
      </c>
      <c r="G10" s="45">
        <f>(getDistance(coord!$C8,coord!$D8,coord!$C$5,coord!$D$5)*1000)/$G$20</f>
        <v>6.9044686187920493E-3</v>
      </c>
      <c r="H10" s="45">
        <f>(getDistance(coord!$C8,coord!$D8,coord!$C$6,coord!$D$6)*1000)/$H$20</f>
        <v>1.6387876424078383E-2</v>
      </c>
      <c r="I10" s="45">
        <f>(getDistance(coord!$C8,coord!$D8,coord!$C$7,coord!$D$7)*1000)/$I$20</f>
        <v>2.7022289830822523E-2</v>
      </c>
      <c r="J10" s="46">
        <f>(getDistance(coord!$C8,coord!$D8,coord!$C$8,coord!$D$8)*1000)/$J$20</f>
        <v>0</v>
      </c>
      <c r="K10" s="45">
        <f>(getDistance(coord!$C8,coord!$D8,coord!$C$9,coord!$D$9)*1000)/$K$20</f>
        <v>1.8865925894248264E-2</v>
      </c>
      <c r="L10" s="45">
        <f>(getDistance(coord!$C8,coord!$D8,coord!$C$10,coord!$D$10)*1000)/$L$20</f>
        <v>1.9370649843554015E-2</v>
      </c>
      <c r="M10" s="45">
        <f>(getDistance(coord!$C8,coord!$D8,coord!$C$11,coord!$D$11)*1000)/$M$20</f>
        <v>5.3047541420967771E-2</v>
      </c>
      <c r="N10" s="45">
        <f>(getDistance(coord!$C8,coord!$D8,coord!$C$12,coord!$D$12)*1000)/$N$20</f>
        <v>3.5229351517956919E-2</v>
      </c>
      <c r="O10" s="45">
        <f>(getDistance(coord!$C8,coord!$D8,coord!$C$13,coord!$D$13)*1000)/$O$20</f>
        <v>7.6712397791357037E-2</v>
      </c>
      <c r="P10" s="45">
        <f>(getDistance(coord!$C8,coord!$D8,coord!$C$14,coord!$D$14)*1000)/$P$20</f>
        <v>7.9191169760593288E-2</v>
      </c>
      <c r="Q10" s="45">
        <f>(getDistance(coord!$C8,coord!$D8,coord!$C$15,coord!$D$15)*1000)/$Q$20</f>
        <v>4.4365082357417922E-2</v>
      </c>
      <c r="R10" s="45">
        <f>(getDistance(coord!$C8,coord!$D8,coord!$C$16,coord!$D$16)*1000)/$R$20</f>
        <v>5.516766485577608E-2</v>
      </c>
      <c r="S10" s="45">
        <f>(getDistance(coord!$C8,coord!$D8,coord!$C$17,coord!$D$17)*1000)/$S$20</f>
        <v>5.0786616553483946E-2</v>
      </c>
      <c r="T10" s="8" t="s">
        <v>21</v>
      </c>
      <c r="U10" s="17">
        <v>15</v>
      </c>
      <c r="V10" s="10">
        <v>8.2758620689655171E-2</v>
      </c>
      <c r="W10" s="10">
        <v>9.8039215686274508E-2</v>
      </c>
      <c r="X10" s="12">
        <v>6.0606060606060608E-2</v>
      </c>
      <c r="Y10" s="12">
        <v>0.11428571428571428</v>
      </c>
      <c r="Z10" s="12">
        <v>7.0175438596491224E-2</v>
      </c>
      <c r="AA10" s="12">
        <v>7.9155672823219003E-2</v>
      </c>
      <c r="AB10" s="12">
        <v>8.6956521739130432E-2</v>
      </c>
      <c r="AC10" s="12">
        <v>7.2727272727272724E-2</v>
      </c>
      <c r="AD10" s="12">
        <v>9.6000000000000002E-2</v>
      </c>
      <c r="AE10" s="12">
        <v>6.3380281690140844E-2</v>
      </c>
      <c r="AF10" s="12">
        <v>9.6385542168674704E-2</v>
      </c>
      <c r="AG10" s="12">
        <v>9.4117647058823528E-2</v>
      </c>
      <c r="AH10" s="12">
        <v>9.8765432098765427E-2</v>
      </c>
      <c r="AI10" s="12">
        <v>9.2105263157894732E-2</v>
      </c>
      <c r="AJ10" s="12">
        <v>8.1081081081081086E-2</v>
      </c>
      <c r="AK10" s="12">
        <v>7.926829268292683E-2</v>
      </c>
      <c r="AL10" s="18">
        <v>8.2568807339449546E-2</v>
      </c>
      <c r="AM10">
        <f t="shared" si="0"/>
        <v>8.519863908421027E-2</v>
      </c>
    </row>
    <row r="11" spans="1:39" ht="15">
      <c r="A11" s="12"/>
      <c r="B11" s="17">
        <v>9</v>
      </c>
      <c r="C11" s="45">
        <f>(getDistance(coord!C9,coord!D9,coord!$C$1,coord!$D$1)*1000)/$C$20</f>
        <v>7.6853360723040068E-2</v>
      </c>
      <c r="D11" s="45">
        <f>(getDistance(coord!C9,coord!D9,coord!$C$2,coord!$D$2)*1000)/$D$20</f>
        <v>7.2892421099228111E-2</v>
      </c>
      <c r="E11" s="45">
        <f>(getDistance(coord!$C9,coord!$D9,coord!$C$3,coord!$D$3)*1000)/$E$20</f>
        <v>6.6269419242501834E-2</v>
      </c>
      <c r="F11" s="45">
        <f>(getDistance(coord!$C9,coord!$D9,coord!$C$4,coord!$D$4)*1000)/$F$20</f>
        <v>7.7821029734533517E-2</v>
      </c>
      <c r="G11" s="45">
        <f>(getDistance(coord!$C9,coord!$D9,coord!$C$5,coord!$D$5)*1000)/$G$20</f>
        <v>1.4494974915072205E-2</v>
      </c>
      <c r="H11" s="45">
        <f>(getDistance(coord!$C9,coord!$D9,coord!$C$6,coord!$D$6)*1000)/$H$20</f>
        <v>3.4541692980885677E-2</v>
      </c>
      <c r="I11" s="45">
        <f>(getDistance(coord!$C9,coord!$D9,coord!$C$7,coord!$D$7)*1000)/$I$20</f>
        <v>3.5418663225925767E-2</v>
      </c>
      <c r="J11" s="45">
        <f>(getDistance(coord!$C9,coord!$D9,coord!$C$8,coord!$D$8)*1000)/$J$20</f>
        <v>1.9454992196515256E-2</v>
      </c>
      <c r="K11" s="46">
        <f>(getDistance(coord!$C9,coord!$D9,coord!$C$9,coord!$D$9)*1000)/$K$20</f>
        <v>0</v>
      </c>
      <c r="L11" s="45">
        <f>(getDistance(coord!$C9,coord!$D9,coord!$C$10,coord!$D$10)*1000)/$L$20</f>
        <v>3.0051966035264915E-2</v>
      </c>
      <c r="M11" s="45">
        <f>(getDistance(coord!$C9,coord!$D9,coord!$C$11,coord!$D$11)*1000)/$M$20</f>
        <v>6.3956981472842303E-2</v>
      </c>
      <c r="N11" s="45">
        <f>(getDistance(coord!$C9,coord!$D9,coord!$C$12,coord!$D$12)*1000)/$N$20</f>
        <v>4.3841191653188123E-2</v>
      </c>
      <c r="O11" s="45">
        <f>(getDistance(coord!$C9,coord!$D9,coord!$C$13,coord!$D$13)*1000)/$O$20</f>
        <v>8.0008565439865093E-2</v>
      </c>
      <c r="P11" s="45">
        <f>(getDistance(coord!$C9,coord!$D9,coord!$C$14,coord!$D$14)*1000)/$P$20</f>
        <v>7.9114399096281499E-2</v>
      </c>
      <c r="Q11" s="45">
        <f>(getDistance(coord!$C9,coord!$D9,coord!$C$15,coord!$D$15)*1000)/$Q$20</f>
        <v>2.9333697451410307E-2</v>
      </c>
      <c r="R11" s="45">
        <f>(getDistance(coord!$C9,coord!$D9,coord!$C$16,coord!$D$16)*1000)/$R$20</f>
        <v>4.2305951765213359E-2</v>
      </c>
      <c r="S11" s="45">
        <f>(getDistance(coord!$C9,coord!$D9,coord!$C$17,coord!$D$17)*1000)/$S$20</f>
        <v>3.6437900182833403E-2</v>
      </c>
      <c r="T11" s="8" t="s">
        <v>22</v>
      </c>
      <c r="U11" s="17">
        <v>16</v>
      </c>
      <c r="V11" s="10">
        <v>8.2758620689655171E-2</v>
      </c>
      <c r="W11" s="10">
        <v>9.8039215686274508E-2</v>
      </c>
      <c r="X11" s="12">
        <v>6.0606060606060608E-2</v>
      </c>
      <c r="Y11" s="12">
        <v>0.11428571428571428</v>
      </c>
      <c r="Z11" s="12">
        <v>7.0175438596491224E-2</v>
      </c>
      <c r="AA11" s="12">
        <v>7.9155672823219003E-2</v>
      </c>
      <c r="AB11" s="12">
        <v>8.6956521739130432E-2</v>
      </c>
      <c r="AC11" s="12">
        <v>7.2727272727272724E-2</v>
      </c>
      <c r="AD11" s="12">
        <v>9.6000000000000002E-2</v>
      </c>
      <c r="AE11" s="12">
        <v>6.3380281690140844E-2</v>
      </c>
      <c r="AF11" s="12">
        <v>9.6385542168674704E-2</v>
      </c>
      <c r="AG11" s="12">
        <v>9.4117647058823528E-2</v>
      </c>
      <c r="AH11" s="12">
        <v>9.8765432098765427E-2</v>
      </c>
      <c r="AI11" s="12">
        <v>9.2105263157894732E-2</v>
      </c>
      <c r="AJ11" s="12">
        <v>8.1081081081081086E-2</v>
      </c>
      <c r="AK11" s="12">
        <v>9.1463414634146339E-2</v>
      </c>
      <c r="AL11" s="18">
        <v>7.3394495412844041E-2</v>
      </c>
      <c r="AM11">
        <f t="shared" si="0"/>
        <v>8.5376333791540512E-2</v>
      </c>
    </row>
    <row r="12" spans="1:39" ht="15">
      <c r="A12" s="12"/>
      <c r="B12" s="17">
        <v>10</v>
      </c>
      <c r="C12" s="45">
        <f>(getDistance(coord!C10,coord!D10,coord!$C$1,coord!$D$1)*1000)/$C$20</f>
        <v>6.3600540027924646E-2</v>
      </c>
      <c r="D12" s="45">
        <f>(getDistance(coord!C10,coord!D10,coord!$C$2,coord!$D$2)*1000)/$D$20</f>
        <v>6.0709928608488055E-2</v>
      </c>
      <c r="E12" s="45">
        <f>(getDistance(coord!$C10,coord!$D10,coord!$C$3,coord!$D$3)*1000)/$E$20</f>
        <v>5.3140429031264647E-2</v>
      </c>
      <c r="F12" s="45">
        <f>(getDistance(coord!$C10,coord!$D10,coord!$C$4,coord!$D$4)*1000)/$F$20</f>
        <v>6.3707311184292334E-2</v>
      </c>
      <c r="G12" s="45">
        <f>(getDistance(coord!$C10,coord!$D10,coord!$C$5,coord!$D$5)*1000)/$G$20</f>
        <v>1.6736583430925735E-2</v>
      </c>
      <c r="H12" s="45">
        <f>(getDistance(coord!$C10,coord!$D10,coord!$C$6,coord!$D$6)*1000)/$H$20</f>
        <v>1.6477274234803704E-2</v>
      </c>
      <c r="I12" s="45">
        <f>(getDistance(coord!$C10,coord!$D10,coord!$C$7,coord!$D$7)*1000)/$I$20</f>
        <v>3.8029499528976364E-2</v>
      </c>
      <c r="J12" s="45">
        <f>(getDistance(coord!$C10,coord!$D10,coord!$C$8,coord!$D$8)*1000)/$J$20</f>
        <v>1.7822169433337764E-2</v>
      </c>
      <c r="K12" s="45">
        <f>(getDistance(coord!$C10,coord!$D10,coord!$C$9,coord!$D$9)*1000)/$K$20</f>
        <v>2.6812439532441078E-2</v>
      </c>
      <c r="L12" s="46">
        <f>(getDistance(coord!$C10,coord!$D10,coord!$C$10,coord!$D$10)*1000)/$L$20</f>
        <v>0</v>
      </c>
      <c r="M12" s="45">
        <f>(getDistance(coord!$C10,coord!$D10,coord!$C$11,coord!$D$11)*1000)/$M$20</f>
        <v>3.9354063672278637E-2</v>
      </c>
      <c r="N12" s="45">
        <f>(getDistance(coord!$C10,coord!$D10,coord!$C$12,coord!$D$12)*1000)/$N$20</f>
        <v>4.2894568213011769E-2</v>
      </c>
      <c r="O12" s="45">
        <f>(getDistance(coord!$C10,coord!$D10,coord!$C$13,coord!$D$13)*1000)/$O$20</f>
        <v>6.5606399204571786E-2</v>
      </c>
      <c r="P12" s="45">
        <f>(getDistance(coord!$C10,coord!$D10,coord!$C$14,coord!$D$14)*1000)/$P$20</f>
        <v>6.5676574494798801E-2</v>
      </c>
      <c r="Q12" s="45">
        <f>(getDistance(coord!$C10,coord!$D10,coord!$C$15,coord!$D$15)*1000)/$Q$20</f>
        <v>4.0948212204785242E-2</v>
      </c>
      <c r="R12" s="45">
        <f>(getDistance(coord!$C10,coord!$D10,coord!$C$16,coord!$D$16)*1000)/$R$20</f>
        <v>5.3859370950850576E-2</v>
      </c>
      <c r="S12" s="45">
        <f>(getDistance(coord!$C10,coord!$D10,coord!$C$17,coord!$D$17)*1000)/$S$20</f>
        <v>4.684761894464741E-2</v>
      </c>
      <c r="T12" s="8" t="s">
        <v>23</v>
      </c>
      <c r="U12" s="17">
        <v>17</v>
      </c>
      <c r="V12" s="10">
        <v>8.2758620689655171E-2</v>
      </c>
      <c r="W12" s="10">
        <v>9.8039215686274508E-2</v>
      </c>
      <c r="X12" s="12">
        <v>6.0606060606060608E-2</v>
      </c>
      <c r="Y12" s="12">
        <v>0.11428571428571428</v>
      </c>
      <c r="Z12" s="12">
        <v>7.0175438596491224E-2</v>
      </c>
      <c r="AA12" s="12">
        <v>7.9155672823219003E-2</v>
      </c>
      <c r="AB12" s="12">
        <v>8.6956521739130432E-2</v>
      </c>
      <c r="AC12" s="12">
        <v>7.2727272727272724E-2</v>
      </c>
      <c r="AD12" s="12">
        <v>9.6000000000000002E-2</v>
      </c>
      <c r="AE12" s="12">
        <v>5.6338028169014086E-2</v>
      </c>
      <c r="AF12" s="12">
        <v>9.6385542168674704E-2</v>
      </c>
      <c r="AG12" s="12">
        <v>9.4117647058823528E-2</v>
      </c>
      <c r="AH12" s="12">
        <v>8.6419753086419748E-2</v>
      </c>
      <c r="AI12" s="12">
        <v>7.8947368421052627E-2</v>
      </c>
      <c r="AJ12" s="12">
        <v>8.1081081081081086E-2</v>
      </c>
      <c r="AK12" s="12">
        <v>9.7560975609756101E-2</v>
      </c>
      <c r="AL12" s="18">
        <v>7.3394495412844041E-2</v>
      </c>
      <c r="AM12">
        <f t="shared" si="0"/>
        <v>8.3820553421263766E-2</v>
      </c>
    </row>
    <row r="13" spans="1:39" ht="15">
      <c r="A13" s="12"/>
      <c r="B13" s="17">
        <v>11</v>
      </c>
      <c r="C13" s="45">
        <f>(getDistance(coord!C11,coord!D11,coord!$C$1,coord!$D$1)*1000)/$C$20</f>
        <v>5.3003930552678102E-2</v>
      </c>
      <c r="D13" s="45">
        <f>(getDistance(coord!C11,coord!D11,coord!$C$2,coord!$D$2)*1000)/$D$20</f>
        <v>5.5340149093294128E-2</v>
      </c>
      <c r="E13" s="45">
        <f>(getDistance(coord!$C11,coord!$D11,coord!$C$3,coord!$D$3)*1000)/$E$20</f>
        <v>5.2960760993775863E-2</v>
      </c>
      <c r="F13" s="45">
        <f>(getDistance(coord!$C11,coord!$D11,coord!$C$4,coord!$D$4)*1000)/$F$20</f>
        <v>4.1105496003302211E-2</v>
      </c>
      <c r="G13" s="45">
        <f>(getDistance(coord!$C11,coord!$D11,coord!$C$5,coord!$D$5)*1000)/$G$20</f>
        <v>6.1658373422498379E-2</v>
      </c>
      <c r="H13" s="45">
        <f>(getDistance(coord!$C11,coord!$D11,coord!$C$6,coord!$D$6)*1000)/$H$20</f>
        <v>4.5039467747617051E-2</v>
      </c>
      <c r="I13" s="45">
        <f>(getDistance(coord!$C11,coord!$D11,coord!$C$7,coord!$D$7)*1000)/$I$20</f>
        <v>5.9789996895561061E-2</v>
      </c>
      <c r="J13" s="45">
        <f>(getDistance(coord!$C11,coord!$D11,coord!$C$8,coord!$D$8)*1000)/$J$20</f>
        <v>5.9256407557506004E-2</v>
      </c>
      <c r="K13" s="45">
        <f>(getDistance(coord!$C11,coord!$D11,coord!$C$9,coord!$D$9)*1000)/$K$20</f>
        <v>6.9279553469114658E-2</v>
      </c>
      <c r="L13" s="45">
        <f>(getDistance(coord!$C11,coord!$D11,coord!$C$10,coord!$D$10)*1000)/$L$20</f>
        <v>4.7779683050346779E-2</v>
      </c>
      <c r="M13" s="46">
        <f>(getDistance(coord!$C11,coord!$D11,coord!$C$11,coord!$D$11)*1000)/$M$20</f>
        <v>0</v>
      </c>
      <c r="N13" s="45">
        <f>(getDistance(coord!$C11,coord!$D11,coord!$C$12,coord!$D$12)*1000)/$N$20</f>
        <v>5.572497415185388E-2</v>
      </c>
      <c r="O13" s="45">
        <f>(getDistance(coord!$C11,coord!$D11,coord!$C$13,coord!$D$13)*1000)/$O$20</f>
        <v>4.3871153743780165E-2</v>
      </c>
      <c r="P13" s="45">
        <f>(getDistance(coord!$C11,coord!$D11,coord!$C$14,coord!$D$14)*1000)/$P$20</f>
        <v>5.1083997047246268E-2</v>
      </c>
      <c r="Q13" s="45">
        <f>(getDistance(coord!$C11,coord!$D11,coord!$C$15,coord!$D$15)*1000)/$Q$20</f>
        <v>7.4081405748092202E-2</v>
      </c>
      <c r="R13" s="45">
        <f>(getDistance(coord!$C11,coord!$D11,coord!$C$16,coord!$D$16)*1000)/$R$20</f>
        <v>7.6744460092839653E-2</v>
      </c>
      <c r="S13" s="45">
        <f>(getDistance(coord!$C11,coord!$D11,coord!$C$17,coord!$D$17)*1000)/$S$20</f>
        <v>7.5515635864192812E-2</v>
      </c>
      <c r="T13" s="8" t="s">
        <v>24</v>
      </c>
      <c r="U13" s="17">
        <v>18</v>
      </c>
      <c r="V13" s="10">
        <v>8.2758620689655171E-2</v>
      </c>
      <c r="W13" s="10">
        <v>9.8039215686274508E-2</v>
      </c>
      <c r="X13" s="12">
        <v>6.0606060606060608E-2</v>
      </c>
      <c r="Y13" s="12">
        <v>0.11428571428571428</v>
      </c>
      <c r="Z13" s="12">
        <v>7.0175438596491224E-2</v>
      </c>
      <c r="AA13" s="12">
        <v>7.9155672823219003E-2</v>
      </c>
      <c r="AB13" s="12">
        <v>6.5217391304347824E-2</v>
      </c>
      <c r="AC13" s="12">
        <v>7.2727272727272724E-2</v>
      </c>
      <c r="AD13" s="12">
        <v>9.6000000000000002E-2</v>
      </c>
      <c r="AE13" s="12">
        <v>5.6338028169014086E-2</v>
      </c>
      <c r="AF13" s="12">
        <v>8.4337349397590355E-2</v>
      </c>
      <c r="AG13" s="12">
        <v>9.4117647058823528E-2</v>
      </c>
      <c r="AH13" s="12">
        <v>7.407407407407407E-2</v>
      </c>
      <c r="AI13" s="12">
        <v>6.5789473684210523E-2</v>
      </c>
      <c r="AJ13" s="12">
        <v>6.7567567567567571E-2</v>
      </c>
      <c r="AK13" s="12">
        <v>9.7560975609756101E-2</v>
      </c>
      <c r="AL13" s="18">
        <v>6.4220183486238536E-2</v>
      </c>
      <c r="AM13">
        <f t="shared" si="0"/>
        <v>7.8998275633312381E-2</v>
      </c>
    </row>
    <row r="14" spans="1:39" ht="15">
      <c r="A14" s="12"/>
      <c r="B14" s="17">
        <v>12</v>
      </c>
      <c r="C14" s="45">
        <f>(getDistance(coord!C12,coord!D12,coord!$C$1,coord!$D$1)*1000)/$C$20</f>
        <v>0.12442312897060948</v>
      </c>
      <c r="D14" s="45">
        <f>(getDistance(coord!C12,coord!D12,coord!$C$2,coord!$D$2)*1000)/$D$20</f>
        <v>0.12613552986261042</v>
      </c>
      <c r="E14" s="45">
        <f>(getDistance(coord!$C12,coord!$D12,coord!$C$3,coord!$D$3)*1000)/$E$20</f>
        <v>0.12486504824989027</v>
      </c>
      <c r="F14" s="45">
        <f>(getDistance(coord!$C12,coord!$D12,coord!$C$4,coord!$D$4)*1000)/$F$20</f>
        <v>9.2033808712977699E-2</v>
      </c>
      <c r="G14" s="45">
        <f>(getDistance(coord!$C12,coord!$D12,coord!$C$5,coord!$D$5)*1000)/$G$20</f>
        <v>6.8309619236441591E-2</v>
      </c>
      <c r="H14" s="45">
        <f>(getDistance(coord!$C12,coord!$D12,coord!$C$6,coord!$D$6)*1000)/$H$20</f>
        <v>5.6183082430647978E-2</v>
      </c>
      <c r="I14" s="45">
        <f>(getDistance(coord!$C12,coord!$D12,coord!$C$7,coord!$D$7)*1000)/$I$20</f>
        <v>1.722571046413977E-2</v>
      </c>
      <c r="J14" s="45">
        <f>(getDistance(coord!$C12,coord!$D12,coord!$C$8,coord!$D$8)*1000)/$J$20</f>
        <v>5.9846701388051766E-2</v>
      </c>
      <c r="K14" s="45">
        <f>(getDistance(coord!$C12,coord!$D12,coord!$C$9,coord!$D$9)*1000)/$K$20</f>
        <v>7.2221246955502236E-2</v>
      </c>
      <c r="L14" s="45">
        <f>(getDistance(coord!$C12,coord!$D12,coord!$C$10,coord!$D$10)*1000)/$L$20</f>
        <v>7.919932715662388E-2</v>
      </c>
      <c r="M14" s="45">
        <f>(getDistance(coord!$C12,coord!$D12,coord!$C$11,coord!$D$11)*1000)/$M$20</f>
        <v>8.4745254194830075E-2</v>
      </c>
      <c r="N14" s="46">
        <f>(getDistance(coord!$C12,coord!$D12,coord!$C$12,coord!$D$12)*1000)/$N$20</f>
        <v>0</v>
      </c>
      <c r="O14" s="45">
        <f>(getDistance(coord!$C12,coord!$D12,coord!$C$13,coord!$D$13)*1000)/$O$20</f>
        <v>0.10320279985749732</v>
      </c>
      <c r="P14" s="45">
        <f>(getDistance(coord!$C12,coord!$D12,coord!$C$14,coord!$D$14)*1000)/$P$20</f>
        <v>0.11958450576045555</v>
      </c>
      <c r="Q14" s="45">
        <f>(getDistance(coord!$C12,coord!$D12,coord!$C$15,coord!$D$15)*1000)/$Q$20</f>
        <v>0.10028480156895668</v>
      </c>
      <c r="R14" s="45">
        <f>(getDistance(coord!$C12,coord!$D12,coord!$C$16,coord!$D$16)*1000)/$R$20</f>
        <v>9.4494373602843837E-2</v>
      </c>
      <c r="S14" s="45">
        <f>(getDistance(coord!$C12,coord!$D12,coord!$C$17,coord!$D$17)*1000)/$S$20</f>
        <v>0.10336144240353058</v>
      </c>
      <c r="T14" s="8" t="s">
        <v>25</v>
      </c>
      <c r="U14" s="17">
        <v>19</v>
      </c>
      <c r="V14" s="10">
        <v>8.2758620689655171E-2</v>
      </c>
      <c r="W14" s="10">
        <v>9.8039215686274508E-2</v>
      </c>
      <c r="X14" s="12">
        <v>6.0606060606060608E-2</v>
      </c>
      <c r="Y14" s="12">
        <v>9.5238095238095233E-2</v>
      </c>
      <c r="Z14" s="12">
        <v>7.0175438596491224E-2</v>
      </c>
      <c r="AA14" s="12">
        <v>7.9155672823219003E-2</v>
      </c>
      <c r="AB14" s="12">
        <v>6.5217391304347824E-2</v>
      </c>
      <c r="AC14" s="12">
        <v>7.2727272727272724E-2</v>
      </c>
      <c r="AD14" s="12">
        <v>9.6000000000000002E-2</v>
      </c>
      <c r="AE14" s="12">
        <v>6.3380281690140844E-2</v>
      </c>
      <c r="AF14" s="12">
        <v>7.2289156626506021E-2</v>
      </c>
      <c r="AG14" s="12">
        <v>8.2352941176470587E-2</v>
      </c>
      <c r="AH14" s="12">
        <v>6.1728395061728392E-2</v>
      </c>
      <c r="AI14" s="12">
        <v>5.2631578947368418E-2</v>
      </c>
      <c r="AJ14" s="12">
        <v>5.4054054054054057E-2</v>
      </c>
      <c r="AK14" s="12">
        <v>8.5365853658536592E-2</v>
      </c>
      <c r="AL14" s="18">
        <v>5.5045871559633031E-2</v>
      </c>
      <c r="AM14">
        <f t="shared" si="0"/>
        <v>7.3339170614462018E-2</v>
      </c>
    </row>
    <row r="15" spans="1:39" ht="15">
      <c r="A15" s="12"/>
      <c r="B15" s="17">
        <v>13</v>
      </c>
      <c r="C15" s="45">
        <f>(getDistance(coord!C13,coord!D13,coord!$C$1,coord!$D$1)*1000)/$C$20</f>
        <v>4.3406939779412235E-2</v>
      </c>
      <c r="D15" s="45">
        <f>(getDistance(coord!C13,coord!D13,coord!$C$2,coord!$D$2)*1000)/$D$20</f>
        <v>5.5092401920754E-2</v>
      </c>
      <c r="E15" s="45">
        <f>(getDistance(coord!$C13,coord!$D13,coord!$C$3,coord!$D$3)*1000)/$E$20</f>
        <v>6.8007338920972327E-2</v>
      </c>
      <c r="F15" s="45">
        <f>(getDistance(coord!$C13,coord!$D13,coord!$C$4,coord!$D$4)*1000)/$F$20</f>
        <v>1.4438397823923838E-2</v>
      </c>
      <c r="G15" s="45">
        <f>(getDistance(coord!$C13,coord!$D13,coord!$C$5,coord!$D$5)*1000)/$G$20</f>
        <v>0.1240891523847116</v>
      </c>
      <c r="H15" s="45">
        <f>(getDistance(coord!$C13,coord!$D13,coord!$C$6,coord!$D$6)*1000)/$H$20</f>
        <v>0.11076152027668346</v>
      </c>
      <c r="I15" s="45">
        <f>(getDistance(coord!$C13,coord!$D13,coord!$C$7,coord!$D$7)*1000)/$I$20</f>
        <v>0.10772280686510681</v>
      </c>
      <c r="J15" s="45">
        <f>(getDistance(coord!$C13,coord!$D13,coord!$C$8,coord!$D$8)*1000)/$J$20</f>
        <v>0.12239524124525568</v>
      </c>
      <c r="K15" s="45">
        <f>(getDistance(coord!$C13,coord!$D13,coord!$C$9,coord!$D$9)*1000)/$K$20</f>
        <v>0.12378913316752277</v>
      </c>
      <c r="L15" s="45">
        <f>(getDistance(coord!$C13,coord!$D13,coord!$C$10,coord!$D$10)*1000)/$L$20</f>
        <v>0.11377027287175775</v>
      </c>
      <c r="M15" s="45">
        <f>(getDistance(coord!$C13,coord!$D13,coord!$C$11,coord!$D$11)*1000)/$M$20</f>
        <v>6.2662536812475564E-2</v>
      </c>
      <c r="N15" s="45">
        <f>(getDistance(coord!$C13,coord!$D13,coord!$C$12,coord!$D$12)*1000)/$N$20</f>
        <v>9.6929257430178856E-2</v>
      </c>
      <c r="O15" s="46">
        <f>(getDistance(coord!$C13,coord!$D13,coord!$C$13,coord!$D$13)*1000)/$O$20</f>
        <v>0</v>
      </c>
      <c r="P15" s="45">
        <f>(getDistance(coord!$C13,coord!$D13,coord!$C$14,coord!$D$14)*1000)/$P$20</f>
        <v>3.0320827121779963E-2</v>
      </c>
      <c r="Q15" s="45">
        <f>(getDistance(coord!$C13,coord!$D13,coord!$C$15,coord!$D$15)*1000)/$Q$20</f>
        <v>0.11247572642383664</v>
      </c>
      <c r="R15" s="45">
        <f>(getDistance(coord!$C13,coord!$D13,coord!$C$16,coord!$D$16)*1000)/$R$20</f>
        <v>9.6992800532127305E-2</v>
      </c>
      <c r="S15" s="45">
        <f>(getDistance(coord!$C13,coord!$D13,coord!$C$17,coord!$D$17)*1000)/$S$20</f>
        <v>0.10656888739771539</v>
      </c>
      <c r="T15" s="8" t="s">
        <v>26</v>
      </c>
      <c r="U15" s="17">
        <v>20</v>
      </c>
      <c r="V15" s="10">
        <v>6.2068965517241378E-2</v>
      </c>
      <c r="W15" s="10">
        <v>5.8823529411764705E-2</v>
      </c>
      <c r="X15" s="12">
        <v>6.0606060606060608E-2</v>
      </c>
      <c r="Y15" s="12">
        <v>6.6666666666666666E-2</v>
      </c>
      <c r="Z15" s="12">
        <v>6.1403508771929821E-2</v>
      </c>
      <c r="AA15" s="12">
        <v>7.9155672823219003E-2</v>
      </c>
      <c r="AB15" s="12">
        <v>4.3478260869565216E-2</v>
      </c>
      <c r="AC15" s="12">
        <v>0.16363636363636364</v>
      </c>
      <c r="AD15" s="12">
        <v>7.1999999999999995E-2</v>
      </c>
      <c r="AE15" s="12">
        <v>6.3380281690140844E-2</v>
      </c>
      <c r="AF15" s="12">
        <v>6.0240963855421686E-2</v>
      </c>
      <c r="AG15" s="12">
        <v>7.0588235294117646E-2</v>
      </c>
      <c r="AH15" s="12">
        <v>4.9382716049382713E-2</v>
      </c>
      <c r="AI15" s="12">
        <v>3.9473684210526314E-2</v>
      </c>
      <c r="AJ15" s="12">
        <v>5.4054054054054057E-2</v>
      </c>
      <c r="AK15" s="12">
        <v>7.926829268292683E-2</v>
      </c>
      <c r="AL15" s="18">
        <v>4.5871559633027525E-2</v>
      </c>
      <c r="AM15">
        <f t="shared" si="0"/>
        <v>6.647640092778874E-2</v>
      </c>
    </row>
    <row r="16" spans="1:39" ht="15">
      <c r="A16" s="12"/>
      <c r="B16" s="17">
        <v>14</v>
      </c>
      <c r="C16" s="45">
        <f>(getDistance(coord!C14,coord!D14,coord!$C$1,coord!$D$1)*1000)/$C$20</f>
        <v>1.1391037810811092E-2</v>
      </c>
      <c r="D16" s="45">
        <f>(getDistance(coord!C14,coord!D14,coord!$C$2,coord!$D$2)*1000)/$D$20</f>
        <v>2.1857505644037514E-2</v>
      </c>
      <c r="E16" s="45">
        <f>(getDistance(coord!$C14,coord!$D14,coord!$C$3,coord!$D$3)*1000)/$E$20</f>
        <v>3.5317455666289209E-2</v>
      </c>
      <c r="F16" s="45">
        <f>(getDistance(coord!$C14,coord!$D14,coord!$C$4,coord!$D$4)*1000)/$F$20</f>
        <v>3.5308611522660197E-2</v>
      </c>
      <c r="G16" s="45">
        <f>(getDistance(coord!$C14,coord!$D14,coord!$C$5,coord!$D$5)*1000)/$G$20</f>
        <v>0.10115541709631623</v>
      </c>
      <c r="H16" s="45">
        <f>(getDistance(coord!$C14,coord!$D14,coord!$C$6,coord!$D$6)*1000)/$H$20</f>
        <v>9.5442598560997072E-2</v>
      </c>
      <c r="I16" s="45">
        <f>(getDistance(coord!$C14,coord!$D14,coord!$C$7,coord!$D$7)*1000)/$I$20</f>
        <v>9.6695571475339706E-2</v>
      </c>
      <c r="J16" s="45">
        <f>(getDistance(coord!$C14,coord!$D14,coord!$C$8,coord!$D$8)*1000)/$J$20</f>
        <v>0.10192976553023066</v>
      </c>
      <c r="K16" s="45">
        <f>(getDistance(coord!$C14,coord!$D14,coord!$C$9,coord!$D$9)*1000)/$K$20</f>
        <v>9.8747671612708338E-2</v>
      </c>
      <c r="L16" s="45">
        <f>(getDistance(coord!$C14,coord!$D14,coord!$C$10,coord!$D$10)*1000)/$L$20</f>
        <v>9.1879449125607152E-2</v>
      </c>
      <c r="M16" s="45">
        <f>(getDistance(coord!$C14,coord!$D14,coord!$C$11,coord!$D$11)*1000)/$M$20</f>
        <v>5.8862551050327262E-2</v>
      </c>
      <c r="N16" s="45">
        <f>(getDistance(coord!$C14,coord!$D14,coord!$C$12,coord!$D$12)*1000)/$N$20</f>
        <v>9.0607388008584963E-2</v>
      </c>
      <c r="O16" s="45">
        <f>(getDistance(coord!$C14,coord!$D14,coord!$C$13,coord!$D$13)*1000)/$O$20</f>
        <v>2.4460556662748552E-2</v>
      </c>
      <c r="P16" s="46">
        <f>(getDistance(coord!$C14,coord!$D14,coord!$C$14,coord!$D$14)*1000)/$P$20</f>
        <v>0</v>
      </c>
      <c r="Q16" s="45">
        <f>(getDistance(coord!$C14,coord!$D14,coord!$C$15,coord!$D$15)*1000)/$Q$20</f>
        <v>8.1435855710390165E-2</v>
      </c>
      <c r="R16" s="45">
        <f>(getDistance(coord!$C14,coord!$D14,coord!$C$16,coord!$D$16)*1000)/$R$20</f>
        <v>7.0823158857472049E-2</v>
      </c>
      <c r="S16" s="45">
        <f>(getDistance(coord!$C14,coord!$D14,coord!$C$17,coord!$D$17)*1000)/$S$20</f>
        <v>7.5540162362182181E-2</v>
      </c>
      <c r="T16" s="8" t="s">
        <v>27</v>
      </c>
      <c r="U16" s="17">
        <v>21</v>
      </c>
      <c r="V16" s="10">
        <v>5.5172413793103448E-2</v>
      </c>
      <c r="W16" s="10">
        <v>3.9215686274509803E-2</v>
      </c>
      <c r="X16" s="12">
        <v>6.0606060606060608E-2</v>
      </c>
      <c r="Y16" s="12">
        <v>4.7619047619047616E-2</v>
      </c>
      <c r="Z16" s="12">
        <v>5.2631578947368418E-2</v>
      </c>
      <c r="AA16" s="12">
        <v>6.5963060686015831E-2</v>
      </c>
      <c r="AB16" s="12">
        <v>4.3478260869565216E-2</v>
      </c>
      <c r="AC16" s="12">
        <v>5.4545454545454543E-2</v>
      </c>
      <c r="AD16" s="12">
        <v>5.6000000000000001E-2</v>
      </c>
      <c r="AE16" s="12">
        <v>5.6338028169014086E-2</v>
      </c>
      <c r="AF16" s="12">
        <v>4.8192771084337352E-2</v>
      </c>
      <c r="AG16" s="12">
        <v>5.8823529411764705E-2</v>
      </c>
      <c r="AH16" s="12">
        <v>3.7037037037037035E-2</v>
      </c>
      <c r="AI16" s="12">
        <v>2.6315789473684209E-2</v>
      </c>
      <c r="AJ16" s="12">
        <v>4.0540540540540543E-2</v>
      </c>
      <c r="AK16" s="12">
        <v>7.3170731707317069E-2</v>
      </c>
      <c r="AL16" s="18">
        <v>3.669724770642202E-2</v>
      </c>
      <c r="AM16">
        <f t="shared" si="0"/>
        <v>5.0138072851249556E-2</v>
      </c>
    </row>
    <row r="17" spans="1:39" ht="15">
      <c r="A17" s="12"/>
      <c r="B17" s="17">
        <v>15</v>
      </c>
      <c r="C17" s="45">
        <f>(getDistance(coord!C15,coord!D15,coord!$C$1,coord!$D$1)*1000)/$C$20</f>
        <v>6.159839731125575E-2</v>
      </c>
      <c r="D17" s="45">
        <f>(getDistance(coord!C15,coord!D15,coord!$C$2,coord!$D$2)*1000)/$D$20</f>
        <v>5.5626049614270444E-2</v>
      </c>
      <c r="E17" s="45">
        <f>(getDistance(coord!$C15,coord!$D15,coord!$C$3,coord!$D$3)*1000)/$E$20</f>
        <v>4.9195690408532458E-2</v>
      </c>
      <c r="F17" s="45">
        <f>(getDistance(coord!$C15,coord!$D15,coord!$C$4,coord!$D$4)*1000)/$F$20</f>
        <v>7.4892785326375819E-2</v>
      </c>
      <c r="G17" s="45">
        <f>(getDistance(coord!$C15,coord!$D15,coord!$C$5,coord!$D$5)*1000)/$G$20</f>
        <v>4.088898791800083E-2</v>
      </c>
      <c r="H17" s="45">
        <f>(getDistance(coord!$C15,coord!$D15,coord!$C$6,coord!$D$6)*1000)/$H$20</f>
        <v>5.6571080039354259E-2</v>
      </c>
      <c r="I17" s="45">
        <f>(getDistance(coord!$C15,coord!$D15,coord!$C$7,coord!$D$7)*1000)/$I$20</f>
        <v>5.6781722241748413E-2</v>
      </c>
      <c r="J17" s="45">
        <f>(getDistance(coord!$C15,coord!$D15,coord!$C$8,coord!$D$8)*1000)/$J$20</f>
        <v>4.6372213769185183E-2</v>
      </c>
      <c r="K17" s="45">
        <f>(getDistance(coord!$C15,coord!$D15,coord!$C$9,coord!$D$9)*1000)/$K$20</f>
        <v>2.9732430251815069E-2</v>
      </c>
      <c r="L17" s="45">
        <f>(getDistance(coord!$C15,coord!$D15,coord!$C$10,coord!$D$10)*1000)/$L$20</f>
        <v>4.6519507142997685E-2</v>
      </c>
      <c r="M17" s="45">
        <f>(getDistance(coord!$C15,coord!$D15,coord!$C$11,coord!$D$11)*1000)/$M$20</f>
        <v>6.931954347696262E-2</v>
      </c>
      <c r="N17" s="45">
        <f>(getDistance(coord!$C15,coord!$D15,coord!$C$12,coord!$D$12)*1000)/$N$20</f>
        <v>6.1704393451557905E-2</v>
      </c>
      <c r="O17" s="45">
        <f>(getDistance(coord!$C15,coord!$D15,coord!$C$13,coord!$D$13)*1000)/$O$20</f>
        <v>7.3684538685649656E-2</v>
      </c>
      <c r="P17" s="45">
        <f>(getDistance(coord!$C15,coord!$D15,coord!$C$14,coord!$D$14)*1000)/$P$20</f>
        <v>6.6131433119642771E-2</v>
      </c>
      <c r="Q17" s="46">
        <f>(getDistance(coord!$C15,coord!$D15,coord!$C$15,coord!$D$15)*1000)/$Q$20</f>
        <v>0</v>
      </c>
      <c r="R17" s="45">
        <f>(getDistance(coord!$C15,coord!$D15,coord!$C$16,coord!$D$16)*1000)/$R$20</f>
        <v>2.3576226428328278E-2</v>
      </c>
      <c r="S17" s="45">
        <f>(getDistance(coord!$C15,coord!$D15,coord!$C$17,coord!$D$17)*1000)/$S$20</f>
        <v>9.0411429457393569E-3</v>
      </c>
      <c r="T17" s="8" t="s">
        <v>28</v>
      </c>
      <c r="U17" s="17">
        <v>22</v>
      </c>
      <c r="V17" s="10">
        <v>4.8275862068965517E-2</v>
      </c>
      <c r="W17" s="10">
        <v>1.9607843137254902E-2</v>
      </c>
      <c r="X17" s="12">
        <v>6.0606060606060608E-2</v>
      </c>
      <c r="Y17" s="12">
        <v>2.8571428571428571E-2</v>
      </c>
      <c r="Z17" s="12">
        <v>5.2631578947368418E-2</v>
      </c>
      <c r="AA17" s="12">
        <v>6.5963060686015831E-2</v>
      </c>
      <c r="AB17" s="12">
        <v>4.3478260869565216E-2</v>
      </c>
      <c r="AC17" s="12">
        <v>5.4545454545454543E-2</v>
      </c>
      <c r="AD17" s="12">
        <v>4.8000000000000001E-2</v>
      </c>
      <c r="AE17" s="12">
        <v>5.6338028169014086E-2</v>
      </c>
      <c r="AF17" s="12">
        <v>3.614457831325301E-2</v>
      </c>
      <c r="AG17" s="12">
        <v>4.7058823529411764E-2</v>
      </c>
      <c r="AH17" s="12">
        <v>3.7037037037037035E-2</v>
      </c>
      <c r="AI17" s="12">
        <v>2.6315789473684209E-2</v>
      </c>
      <c r="AJ17" s="12">
        <v>4.0540540540540543E-2</v>
      </c>
      <c r="AK17" s="12">
        <v>4.2682926829268296E-2</v>
      </c>
      <c r="AL17" s="18">
        <v>3.669724770642202E-2</v>
      </c>
      <c r="AM17">
        <f t="shared" si="0"/>
        <v>4.3793795354749684E-2</v>
      </c>
    </row>
    <row r="18" spans="1:39" ht="15">
      <c r="A18" s="10"/>
      <c r="B18" s="17">
        <v>16</v>
      </c>
      <c r="C18" s="45">
        <f>(getDistance(coord!C16,coord!D16,coord!$C$1,coord!$D$1)*1000)/$C$20</f>
        <v>7.4539863090210934E-2</v>
      </c>
      <c r="D18" s="45">
        <f>(getDistance(coord!C16,coord!D16,coord!$C$2,coord!$D$2)*1000)/$D$20</f>
        <v>6.9380858823358496E-2</v>
      </c>
      <c r="E18" s="45">
        <f>(getDistance(coord!$C16,coord!$D16,coord!$C$3,coord!$D$3)*1000)/$E$20</f>
        <v>6.8379776783968532E-2</v>
      </c>
      <c r="F18" s="45">
        <f>(getDistance(coord!$C16,coord!$D16,coord!$C$4,coord!$D$4)*1000)/$F$20</f>
        <v>8.7499184224573673E-2</v>
      </c>
      <c r="G18" s="45">
        <f>(getDistance(coord!$C16,coord!$D16,coord!$C$5,coord!$D$5)*1000)/$G$20</f>
        <v>7.3597659179639202E-2</v>
      </c>
      <c r="H18" s="45">
        <f>(getDistance(coord!$C16,coord!$D16,coord!$C$6,coord!$D$6)*1000)/$H$20</f>
        <v>8.8874981726127858E-2</v>
      </c>
      <c r="I18" s="45">
        <f>(getDistance(coord!$C16,coord!$D16,coord!$C$7,coord!$D$7)*1000)/$I$20</f>
        <v>7.6116828848675294E-2</v>
      </c>
      <c r="J18" s="45">
        <f>(getDistance(coord!$C16,coord!$D16,coord!$C$8,coord!$D$8)*1000)/$J$20</f>
        <v>7.7957113685623414E-2</v>
      </c>
      <c r="K18" s="45">
        <f>(getDistance(coord!$C16,coord!$D16,coord!$C$9,coord!$D$9)*1000)/$K$20</f>
        <v>5.7972186799735002E-2</v>
      </c>
      <c r="L18" s="45">
        <f>(getDistance(coord!$C16,coord!$D16,coord!$C$10,coord!$D$10)*1000)/$L$20</f>
        <v>8.2721052024025188E-2</v>
      </c>
      <c r="M18" s="45">
        <f>(getDistance(coord!$C16,coord!$D16,coord!$C$11,coord!$D$11)*1000)/$M$20</f>
        <v>9.708410399984746E-2</v>
      </c>
      <c r="N18" s="45">
        <f>(getDistance(coord!$C16,coord!$D16,coord!$C$12,coord!$D$12)*1000)/$N$20</f>
        <v>7.8603436061609189E-2</v>
      </c>
      <c r="O18" s="45">
        <f>(getDistance(coord!$C16,coord!$D16,coord!$C$13,coord!$D$13)*1000)/$O$20</f>
        <v>8.5903661228574124E-2</v>
      </c>
      <c r="P18" s="45">
        <f>(getDistance(coord!$C16,coord!$D16,coord!$C$14,coord!$D$14)*1000)/$P$20</f>
        <v>7.7753898977035094E-2</v>
      </c>
      <c r="Q18" s="45">
        <f>(getDistance(coord!$C16,coord!$D16,coord!$C$15,coord!$D$15)*1000)/$Q$20</f>
        <v>3.1873437683884037E-2</v>
      </c>
      <c r="R18" s="46">
        <f>(getDistance(coord!$C16,coord!$D16,coord!$C$16,coord!$D$16)*1000)/$R$20</f>
        <v>0</v>
      </c>
      <c r="S18" s="45">
        <f>(getDistance(coord!$C16,coord!$D16,coord!$C$17,coord!$D$17)*1000)/$S$20</f>
        <v>2.2366467553544888E-2</v>
      </c>
      <c r="T18" s="8" t="s">
        <v>29</v>
      </c>
      <c r="U18" s="17">
        <v>23</v>
      </c>
      <c r="V18" s="12">
        <v>2.7586206896551724E-2</v>
      </c>
      <c r="W18" s="12">
        <v>1.9607843137254902E-2</v>
      </c>
      <c r="X18" s="12">
        <v>6.0606060606060608E-2</v>
      </c>
      <c r="Y18" s="12">
        <v>1.9047619047619049E-2</v>
      </c>
      <c r="Z18" s="12">
        <v>3.5087719298245612E-2</v>
      </c>
      <c r="AA18" s="12">
        <v>3.9577836411609502E-2</v>
      </c>
      <c r="AB18" s="12">
        <v>4.3478260869565216E-2</v>
      </c>
      <c r="AC18" s="12">
        <v>3.6363636363636362E-2</v>
      </c>
      <c r="AD18" s="12">
        <v>4.8000000000000001E-2</v>
      </c>
      <c r="AE18" s="12">
        <v>4.9295774647887321E-2</v>
      </c>
      <c r="AF18" s="12">
        <v>3.614457831325301E-2</v>
      </c>
      <c r="AG18" s="12">
        <v>2.3529411764705882E-2</v>
      </c>
      <c r="AH18" s="12">
        <v>2.4691358024691357E-2</v>
      </c>
      <c r="AI18" s="12">
        <v>2.6315789473684209E-2</v>
      </c>
      <c r="AJ18" s="12">
        <v>2.7027027027027029E-2</v>
      </c>
      <c r="AK18" s="12">
        <v>4.2682926829268296E-2</v>
      </c>
      <c r="AL18" s="18">
        <v>3.669724770642202E-2</v>
      </c>
      <c r="AM18">
        <f t="shared" si="0"/>
        <v>3.504348802455777E-2</v>
      </c>
    </row>
    <row r="19" spans="1:39" ht="15.75" thickBot="1">
      <c r="A19" s="10"/>
      <c r="B19" s="19">
        <v>17</v>
      </c>
      <c r="C19" s="47">
        <f>(getDistance(coord!C17,coord!D17,coord!$C$1,coord!$D$1)*1000)/$C$20</f>
        <v>6.0432531522365308E-2</v>
      </c>
      <c r="D19" s="47">
        <f>(getDistance(coord!C17,coord!D17,coord!$C$2,coord!$D$2)*1000)/$D$20</f>
        <v>5.4221091431074626E-2</v>
      </c>
      <c r="E19" s="47">
        <f>(getDistance(coord!$C17,coord!$D17,coord!$C$3,coord!$D$3)*1000)/$E$20</f>
        <v>4.9108610527564232E-2</v>
      </c>
      <c r="F19" s="47">
        <f>(getDistance(coord!$C17,coord!$D17,coord!$C$4,coord!$D$4)*1000)/$F$20</f>
        <v>7.6124360699406909E-2</v>
      </c>
      <c r="G19" s="47">
        <f>(getDistance(coord!$C17,coord!$D17,coord!$C$5,coord!$D$5)*1000)/$G$20</f>
        <v>5.1221079450713469E-2</v>
      </c>
      <c r="H19" s="47">
        <f>(getDistance(coord!$C17,coord!$D17,coord!$C$6,coord!$D$6)*1000)/$H$20</f>
        <v>6.6054212362709239E-2</v>
      </c>
      <c r="I19" s="47">
        <f>(getDistance(coord!$C17,coord!$D17,coord!$C$7,coord!$D$7)*1000)/$I$20</f>
        <v>6.3641605632909978E-2</v>
      </c>
      <c r="J19" s="47">
        <f>(getDistance(coord!$C17,coord!$D17,coord!$C$8,coord!$D$8)*1000)/$J$20</f>
        <v>5.6399985146804513E-2</v>
      </c>
      <c r="K19" s="47">
        <f>(getDistance(coord!$C17,coord!$D17,coord!$C$9,coord!$D$9)*1000)/$K$20</f>
        <v>3.9240100764582453E-2</v>
      </c>
      <c r="L19" s="47">
        <f>(getDistance(coord!$C17,coord!$D17,coord!$C$10,coord!$D$10)*1000)/$L$20</f>
        <v>5.6545865245065975E-2</v>
      </c>
      <c r="M19" s="47">
        <f>(getDistance(coord!$C17,coord!$D17,coord!$C$11,coord!$D$11)*1000)/$M$20</f>
        <v>7.5075206325497953E-2</v>
      </c>
      <c r="N19" s="47">
        <f>(getDistance(coord!$C17,coord!$D17,coord!$C$12,coord!$D$12)*1000)/$N$20</f>
        <v>6.7569810514766349E-2</v>
      </c>
      <c r="O19" s="47">
        <f>(getDistance(coord!$C17,coord!$D17,coord!$C$13,coord!$D$13)*1000)/$O$20</f>
        <v>7.4175616662935109E-2</v>
      </c>
      <c r="P19" s="47">
        <f>(getDistance(coord!$C17,coord!$D17,coord!$C$14,coord!$D$14)*1000)/$P$20</f>
        <v>6.5175347551160764E-2</v>
      </c>
      <c r="Q19" s="47">
        <f>(getDistance(coord!$C17,coord!$D17,coord!$C$15,coord!$D$15)*1000)/$Q$20</f>
        <v>9.6058656335458042E-3</v>
      </c>
      <c r="R19" s="47">
        <f>(getDistance(coord!$C17,coord!$D17,coord!$C$16,coord!$D$16)*1000)/$R$20</f>
        <v>1.757745352532147E-2</v>
      </c>
      <c r="S19" s="54">
        <f>(getDistance(coord!$C17,coord!$D17,coord!$C$17,coord!$D$17)*1000)/$S$20</f>
        <v>0</v>
      </c>
      <c r="T19" s="8" t="s">
        <v>30</v>
      </c>
      <c r="U19" s="19">
        <v>24</v>
      </c>
      <c r="V19" s="20">
        <v>2.7586206896551724E-2</v>
      </c>
      <c r="W19" s="20">
        <v>1.9607843137254902E-2</v>
      </c>
      <c r="X19" s="20">
        <v>3.0303030303030304E-2</v>
      </c>
      <c r="Y19" s="20">
        <v>1.9047619047619049E-2</v>
      </c>
      <c r="Z19" s="20">
        <v>3.5087719298245612E-2</v>
      </c>
      <c r="AA19" s="20">
        <v>3.9577836411609502E-2</v>
      </c>
      <c r="AB19" s="20">
        <v>4.3478260869565216E-2</v>
      </c>
      <c r="AC19" s="20">
        <v>3.6363636363636362E-2</v>
      </c>
      <c r="AD19" s="20">
        <v>4.8000000000000001E-2</v>
      </c>
      <c r="AE19" s="20">
        <v>4.9295774647887321E-2</v>
      </c>
      <c r="AF19" s="20">
        <v>3.614457831325301E-2</v>
      </c>
      <c r="AG19" s="20">
        <v>1.1764705882352941E-2</v>
      </c>
      <c r="AH19" s="20">
        <v>1.2345679012345678E-2</v>
      </c>
      <c r="AI19" s="20">
        <v>2.6315789473684209E-2</v>
      </c>
      <c r="AJ19" s="20">
        <v>2.7027027027027029E-2</v>
      </c>
      <c r="AK19" s="20">
        <v>3.6585365853658534E-2</v>
      </c>
      <c r="AL19" s="21">
        <v>2.7522935779816515E-2</v>
      </c>
      <c r="AM19">
        <f t="shared" si="0"/>
        <v>3.0944353430443401E-2</v>
      </c>
    </row>
    <row r="20" spans="1:39" ht="15" thickBot="1">
      <c r="B20" s="8"/>
      <c r="C20" s="51">
        <v>3829.978895979646</v>
      </c>
      <c r="D20" s="51">
        <v>3616.0678119784002</v>
      </c>
      <c r="E20" s="51">
        <v>3314.493706896405</v>
      </c>
      <c r="F20" s="51">
        <v>5923.847449148986</v>
      </c>
      <c r="G20" s="51">
        <v>3181.8203817365966</v>
      </c>
      <c r="H20" s="51">
        <v>3344.9676701526337</v>
      </c>
      <c r="I20" s="51">
        <v>4701.4158231582978</v>
      </c>
      <c r="J20" s="51">
        <v>3279.0662518609661</v>
      </c>
      <c r="K20" s="51">
        <v>3381.4512311458216</v>
      </c>
      <c r="L20" s="51">
        <v>3016.9392764720842</v>
      </c>
      <c r="M20" s="51">
        <v>3662.8594091928085</v>
      </c>
      <c r="N20" s="51">
        <v>5570.3920268510847</v>
      </c>
      <c r="O20" s="51">
        <v>5231.7763035809749</v>
      </c>
      <c r="P20" s="51">
        <v>4220.6025649162793</v>
      </c>
      <c r="Q20" s="51">
        <v>3427.4152805487406</v>
      </c>
      <c r="R20" s="51">
        <v>4633.6298853195376</v>
      </c>
      <c r="S20" s="51">
        <v>3641.4965290232485</v>
      </c>
      <c r="V20">
        <v>725</v>
      </c>
      <c r="W20">
        <v>255</v>
      </c>
      <c r="X20">
        <v>165</v>
      </c>
      <c r="Y20">
        <v>525</v>
      </c>
      <c r="Z20">
        <v>570</v>
      </c>
      <c r="AA20">
        <v>379</v>
      </c>
      <c r="AB20">
        <v>230</v>
      </c>
      <c r="AC20">
        <v>275</v>
      </c>
      <c r="AD20">
        <v>625</v>
      </c>
      <c r="AE20">
        <v>710</v>
      </c>
      <c r="AF20">
        <v>415</v>
      </c>
      <c r="AG20">
        <v>425</v>
      </c>
      <c r="AH20">
        <v>405</v>
      </c>
      <c r="AI20">
        <v>380</v>
      </c>
      <c r="AJ20">
        <v>370</v>
      </c>
      <c r="AK20">
        <v>820</v>
      </c>
      <c r="AL20">
        <v>545</v>
      </c>
    </row>
    <row r="21" spans="1:39">
      <c r="A21" s="67" t="s">
        <v>4</v>
      </c>
      <c r="B21" s="14" t="s">
        <v>7</v>
      </c>
      <c r="C21" s="61" t="s">
        <v>9</v>
      </c>
      <c r="D21" s="61" t="s">
        <v>2</v>
      </c>
      <c r="E21" s="61" t="s">
        <v>1</v>
      </c>
      <c r="F21" s="61" t="s">
        <v>0</v>
      </c>
      <c r="G21" s="61"/>
      <c r="H21" s="62"/>
      <c r="U21" s="16" t="s">
        <v>12</v>
      </c>
      <c r="V21" s="5">
        <v>1</v>
      </c>
      <c r="W21" s="5">
        <v>2</v>
      </c>
      <c r="X21" s="5">
        <v>3</v>
      </c>
      <c r="Y21" s="5">
        <v>4</v>
      </c>
      <c r="Z21" s="5">
        <v>5</v>
      </c>
      <c r="AA21" s="5">
        <v>6</v>
      </c>
      <c r="AB21" s="5">
        <v>7</v>
      </c>
      <c r="AC21" s="5">
        <v>8</v>
      </c>
      <c r="AD21" s="5">
        <v>9</v>
      </c>
      <c r="AE21" s="5">
        <v>10</v>
      </c>
      <c r="AF21" s="5">
        <v>11</v>
      </c>
      <c r="AG21" s="5">
        <v>12</v>
      </c>
      <c r="AH21" s="5">
        <v>13</v>
      </c>
      <c r="AI21" s="5">
        <v>14</v>
      </c>
      <c r="AJ21" s="5">
        <v>15</v>
      </c>
      <c r="AK21" s="5">
        <v>16</v>
      </c>
      <c r="AL21" s="22">
        <v>17</v>
      </c>
    </row>
    <row r="22" spans="1:39">
      <c r="A22" s="17">
        <v>8</v>
      </c>
      <c r="B22" s="17">
        <v>11</v>
      </c>
      <c r="C22" s="4" t="str">
        <f>VLOOKUP(B22,$B$3:$T$19,19,1)</f>
        <v>Thunder Mtn</v>
      </c>
      <c r="D22" s="49">
        <f>ABS(E22)</f>
        <v>0</v>
      </c>
      <c r="E22" s="12"/>
      <c r="F22" s="12">
        <f>INDEX($U$2:$AL$19,MATCH(A22,$U$2:$U$19,0),MATCH(B22,$U$2:$AL$2,0))</f>
        <v>1.2048192771084338E-2</v>
      </c>
      <c r="G22" s="12"/>
      <c r="H22" s="18">
        <f>INDEX($U$21:$AL$38,MATCH(A22,$U$21:$U$38,0),MATCH(B22,$U$21:$AL$21,0))</f>
        <v>5</v>
      </c>
      <c r="M22" t="s">
        <v>17</v>
      </c>
      <c r="U22" s="17">
        <v>8</v>
      </c>
      <c r="V22">
        <f t="shared" ref="V22:AL36" si="1">V3*V$20</f>
        <v>10</v>
      </c>
      <c r="W22">
        <f t="shared" si="1"/>
        <v>5</v>
      </c>
      <c r="X22">
        <f t="shared" si="1"/>
        <v>10</v>
      </c>
      <c r="Y22">
        <f t="shared" si="1"/>
        <v>5.0000000000000009</v>
      </c>
      <c r="Z22">
        <f t="shared" si="1"/>
        <v>15</v>
      </c>
      <c r="AA22">
        <f t="shared" si="1"/>
        <v>5</v>
      </c>
      <c r="AB22">
        <f t="shared" si="1"/>
        <v>5</v>
      </c>
      <c r="AC22">
        <f t="shared" si="1"/>
        <v>5</v>
      </c>
      <c r="AD22">
        <f t="shared" si="1"/>
        <v>5</v>
      </c>
      <c r="AE22">
        <f t="shared" si="1"/>
        <v>35</v>
      </c>
      <c r="AF22">
        <f t="shared" si="1"/>
        <v>5</v>
      </c>
      <c r="AG22">
        <f t="shared" si="1"/>
        <v>5</v>
      </c>
      <c r="AH22">
        <f t="shared" si="1"/>
        <v>5</v>
      </c>
      <c r="AI22">
        <f t="shared" si="1"/>
        <v>5</v>
      </c>
      <c r="AJ22">
        <f t="shared" si="1"/>
        <v>5</v>
      </c>
      <c r="AK22">
        <f t="shared" si="1"/>
        <v>14.999999999999998</v>
      </c>
      <c r="AL22">
        <f t="shared" si="1"/>
        <v>5</v>
      </c>
    </row>
    <row r="23" spans="1:39">
      <c r="A23" s="17">
        <v>9</v>
      </c>
      <c r="B23" s="17">
        <v>12</v>
      </c>
      <c r="C23" s="4" t="str">
        <f t="shared" ref="C23:C38" si="2">VLOOKUP(B23,$B$3:$T$19,19,1)</f>
        <v>Toon Spin</v>
      </c>
      <c r="D23" s="49">
        <f t="shared" ref="D23:D38" si="3">ABS(E23)</f>
        <v>5.572497415185388E-2</v>
      </c>
      <c r="E23" s="38">
        <f t="shared" ref="E23:E38" si="4">INDEX($B$2:$S$19,MATCH(B22,$B$2:$B$19,0),MATCH(B23,$B$2:$S$2,0))</f>
        <v>5.572497415185388E-2</v>
      </c>
      <c r="F23" s="12">
        <f t="shared" ref="F23:F38" si="5">INDEX($U$2:$AL$19,MATCH(A23,$U$2:$U$19,0),MATCH(B23,$U$2:$AL$2,0))</f>
        <v>2.3529411764705882E-2</v>
      </c>
      <c r="G23" s="38">
        <f>INDEX($U$39:$AL$56,MATCH(B22,$U$39:$U$56,0),MATCH(B23,$U$39:$AL$39,0))</f>
        <v>310.40995171196965</v>
      </c>
      <c r="H23" s="18">
        <f t="shared" ref="H23:H38" si="6">INDEX($U$21:$AL$38,MATCH(A23,$U$21:$U$38,0),MATCH(B23,$U$21:$AL$21,0))</f>
        <v>10</v>
      </c>
      <c r="M23" t="s">
        <v>14</v>
      </c>
      <c r="U23" s="17">
        <v>9</v>
      </c>
      <c r="V23">
        <f t="shared" si="1"/>
        <v>25</v>
      </c>
      <c r="W23">
        <f t="shared" si="1"/>
        <v>5</v>
      </c>
      <c r="X23">
        <f t="shared" si="1"/>
        <v>10</v>
      </c>
      <c r="Y23">
        <f t="shared" si="1"/>
        <v>5.0000000000000009</v>
      </c>
      <c r="Z23">
        <f t="shared" si="1"/>
        <v>25</v>
      </c>
      <c r="AA23">
        <f t="shared" si="1"/>
        <v>5</v>
      </c>
      <c r="AB23">
        <f t="shared" si="1"/>
        <v>5</v>
      </c>
      <c r="AC23">
        <f t="shared" si="1"/>
        <v>5</v>
      </c>
      <c r="AD23">
        <f t="shared" si="1"/>
        <v>10</v>
      </c>
      <c r="AE23">
        <f t="shared" si="1"/>
        <v>40</v>
      </c>
      <c r="AF23">
        <f t="shared" si="1"/>
        <v>10</v>
      </c>
      <c r="AG23">
        <f t="shared" si="1"/>
        <v>10</v>
      </c>
      <c r="AH23">
        <f t="shared" si="1"/>
        <v>10</v>
      </c>
      <c r="AI23">
        <f t="shared" si="1"/>
        <v>15</v>
      </c>
      <c r="AJ23">
        <f t="shared" si="1"/>
        <v>15</v>
      </c>
      <c r="AK23">
        <f t="shared" si="1"/>
        <v>20</v>
      </c>
      <c r="AL23">
        <f t="shared" si="1"/>
        <v>20</v>
      </c>
    </row>
    <row r="24" spans="1:39">
      <c r="A24" s="17">
        <v>10</v>
      </c>
      <c r="B24" s="17">
        <v>7</v>
      </c>
      <c r="C24" s="4" t="str">
        <f t="shared" si="2"/>
        <v>Small World</v>
      </c>
      <c r="D24" s="49">
        <f t="shared" si="3"/>
        <v>1.722571046413977E-2</v>
      </c>
      <c r="E24" s="38">
        <f t="shared" si="4"/>
        <v>1.722571046413977E-2</v>
      </c>
      <c r="F24" s="12">
        <f t="shared" si="5"/>
        <v>4.3478260869565216E-2</v>
      </c>
      <c r="G24" s="38">
        <f t="shared" ref="G24:G38" si="7">INDEX($U$39:$AL$56,MATCH(B23,$U$39:$U$56,0),MATCH(B24,$U$39:$AL$39,0))</f>
        <v>80.985227741250185</v>
      </c>
      <c r="H24" s="18">
        <f t="shared" si="6"/>
        <v>10</v>
      </c>
      <c r="M24" t="s">
        <v>25</v>
      </c>
      <c r="U24" s="17">
        <v>10</v>
      </c>
      <c r="V24">
        <f t="shared" si="1"/>
        <v>35</v>
      </c>
      <c r="W24">
        <f t="shared" si="1"/>
        <v>10</v>
      </c>
      <c r="X24">
        <f t="shared" si="1"/>
        <v>10</v>
      </c>
      <c r="Y24">
        <f t="shared" si="1"/>
        <v>10.000000000000002</v>
      </c>
      <c r="Z24">
        <f t="shared" si="1"/>
        <v>35</v>
      </c>
      <c r="AA24">
        <f t="shared" si="1"/>
        <v>10</v>
      </c>
      <c r="AB24">
        <f t="shared" si="1"/>
        <v>10</v>
      </c>
      <c r="AC24">
        <f t="shared" si="1"/>
        <v>10</v>
      </c>
      <c r="AD24">
        <f t="shared" si="1"/>
        <v>15</v>
      </c>
      <c r="AE24">
        <f t="shared" si="1"/>
        <v>45</v>
      </c>
      <c r="AF24">
        <f t="shared" si="1"/>
        <v>15</v>
      </c>
      <c r="AG24">
        <f t="shared" si="1"/>
        <v>15</v>
      </c>
      <c r="AH24">
        <f t="shared" si="1"/>
        <v>15</v>
      </c>
      <c r="AI24">
        <f t="shared" si="1"/>
        <v>25</v>
      </c>
      <c r="AJ24">
        <f t="shared" si="1"/>
        <v>25</v>
      </c>
      <c r="AK24">
        <f t="shared" si="1"/>
        <v>25</v>
      </c>
      <c r="AL24">
        <f t="shared" si="1"/>
        <v>35</v>
      </c>
    </row>
    <row r="25" spans="1:39">
      <c r="A25" s="17">
        <v>11</v>
      </c>
      <c r="B25" s="17">
        <v>6</v>
      </c>
      <c r="C25" s="4" t="str">
        <f t="shared" si="2"/>
        <v>Dumbo</v>
      </c>
      <c r="D25" s="49">
        <f t="shared" si="3"/>
        <v>4.0988037398308211E-2</v>
      </c>
      <c r="E25" s="38">
        <f t="shared" si="4"/>
        <v>4.0988037398308211E-2</v>
      </c>
      <c r="F25" s="12">
        <f t="shared" si="5"/>
        <v>3.9577836411609502E-2</v>
      </c>
      <c r="G25" s="38">
        <f t="shared" si="7"/>
        <v>137.10365996034804</v>
      </c>
      <c r="H25" s="18">
        <f t="shared" si="6"/>
        <v>15.000000000000002</v>
      </c>
      <c r="M25" t="s">
        <v>29</v>
      </c>
      <c r="U25" s="17">
        <v>11</v>
      </c>
      <c r="V25">
        <f t="shared" si="1"/>
        <v>40</v>
      </c>
      <c r="W25">
        <f t="shared" si="1"/>
        <v>15</v>
      </c>
      <c r="X25">
        <f t="shared" si="1"/>
        <v>10</v>
      </c>
      <c r="Y25">
        <f t="shared" si="1"/>
        <v>15</v>
      </c>
      <c r="Z25">
        <f t="shared" si="1"/>
        <v>40</v>
      </c>
      <c r="AA25">
        <f t="shared" si="1"/>
        <v>15.000000000000002</v>
      </c>
      <c r="AB25">
        <f t="shared" si="1"/>
        <v>15</v>
      </c>
      <c r="AC25">
        <f t="shared" si="1"/>
        <v>10</v>
      </c>
      <c r="AD25">
        <f t="shared" si="1"/>
        <v>20</v>
      </c>
      <c r="AE25">
        <f t="shared" si="1"/>
        <v>45</v>
      </c>
      <c r="AF25">
        <f t="shared" si="1"/>
        <v>20</v>
      </c>
      <c r="AG25">
        <f t="shared" si="1"/>
        <v>20</v>
      </c>
      <c r="AH25">
        <f t="shared" si="1"/>
        <v>25</v>
      </c>
      <c r="AI25">
        <f t="shared" si="1"/>
        <v>30</v>
      </c>
      <c r="AJ25">
        <f t="shared" si="1"/>
        <v>30</v>
      </c>
      <c r="AK25">
        <f t="shared" si="1"/>
        <v>29.999999999999996</v>
      </c>
      <c r="AL25">
        <f t="shared" si="1"/>
        <v>50</v>
      </c>
    </row>
    <row r="26" spans="1:39">
      <c r="A26" s="17">
        <v>12</v>
      </c>
      <c r="B26" s="17">
        <v>9</v>
      </c>
      <c r="C26" s="4" t="str">
        <f t="shared" si="2"/>
        <v>Matterhorn</v>
      </c>
      <c r="D26" s="49">
        <f t="shared" si="3"/>
        <v>3.4169011585670317E-2</v>
      </c>
      <c r="E26" s="38">
        <f t="shared" si="4"/>
        <v>3.4169011585670317E-2</v>
      </c>
      <c r="F26" s="12">
        <f t="shared" si="5"/>
        <v>0.04</v>
      </c>
      <c r="G26" s="38">
        <f t="shared" si="7"/>
        <v>115.54084629340073</v>
      </c>
      <c r="H26" s="18">
        <f t="shared" si="6"/>
        <v>25</v>
      </c>
      <c r="M26" t="s">
        <v>28</v>
      </c>
      <c r="U26" s="17">
        <v>12</v>
      </c>
      <c r="V26">
        <f t="shared" si="1"/>
        <v>45</v>
      </c>
      <c r="W26">
        <f t="shared" si="1"/>
        <v>15</v>
      </c>
      <c r="X26">
        <f t="shared" si="1"/>
        <v>10</v>
      </c>
      <c r="Y26">
        <f t="shared" si="1"/>
        <v>25</v>
      </c>
      <c r="Z26">
        <f t="shared" si="1"/>
        <v>40</v>
      </c>
      <c r="AA26">
        <f t="shared" si="1"/>
        <v>24</v>
      </c>
      <c r="AB26">
        <f t="shared" si="1"/>
        <v>15</v>
      </c>
      <c r="AC26">
        <f t="shared" si="1"/>
        <v>15</v>
      </c>
      <c r="AD26">
        <f t="shared" si="1"/>
        <v>25</v>
      </c>
      <c r="AE26">
        <f t="shared" si="1"/>
        <v>45</v>
      </c>
      <c r="AF26">
        <f t="shared" si="1"/>
        <v>25</v>
      </c>
      <c r="AG26">
        <f t="shared" si="1"/>
        <v>25</v>
      </c>
      <c r="AH26">
        <f t="shared" si="1"/>
        <v>35</v>
      </c>
      <c r="AI26">
        <f t="shared" si="1"/>
        <v>35</v>
      </c>
      <c r="AJ26">
        <f t="shared" si="1"/>
        <v>30</v>
      </c>
      <c r="AK26">
        <f t="shared" si="1"/>
        <v>35</v>
      </c>
      <c r="AL26">
        <f t="shared" si="1"/>
        <v>50</v>
      </c>
    </row>
    <row r="27" spans="1:39">
      <c r="A27" s="17">
        <v>13</v>
      </c>
      <c r="B27" s="17">
        <v>8</v>
      </c>
      <c r="C27" s="4" t="str">
        <f t="shared" si="2"/>
        <v>Mad Tea</v>
      </c>
      <c r="D27" s="49">
        <f t="shared" si="3"/>
        <v>1.9454992196515256E-2</v>
      </c>
      <c r="E27" s="38">
        <f t="shared" si="4"/>
        <v>1.9454992196515256E-2</v>
      </c>
      <c r="F27" s="12">
        <f t="shared" si="5"/>
        <v>5.4545454545454543E-2</v>
      </c>
      <c r="G27" s="38">
        <f t="shared" si="7"/>
        <v>63.794208341811625</v>
      </c>
      <c r="H27" s="18">
        <f t="shared" si="6"/>
        <v>15</v>
      </c>
      <c r="M27" t="s">
        <v>30</v>
      </c>
      <c r="U27" s="17">
        <v>13</v>
      </c>
      <c r="V27">
        <f t="shared" si="1"/>
        <v>55</v>
      </c>
      <c r="W27">
        <f t="shared" si="1"/>
        <v>20</v>
      </c>
      <c r="X27">
        <f t="shared" si="1"/>
        <v>10</v>
      </c>
      <c r="Y27">
        <f t="shared" si="1"/>
        <v>35</v>
      </c>
      <c r="Z27">
        <f t="shared" si="1"/>
        <v>40</v>
      </c>
      <c r="AA27">
        <f t="shared" si="1"/>
        <v>30.000000000000004</v>
      </c>
      <c r="AB27">
        <f t="shared" si="1"/>
        <v>20</v>
      </c>
      <c r="AC27">
        <f t="shared" si="1"/>
        <v>15</v>
      </c>
      <c r="AD27">
        <f t="shared" si="1"/>
        <v>35</v>
      </c>
      <c r="AE27">
        <f t="shared" si="1"/>
        <v>45</v>
      </c>
      <c r="AF27">
        <f t="shared" si="1"/>
        <v>30</v>
      </c>
      <c r="AG27">
        <f t="shared" si="1"/>
        <v>30</v>
      </c>
      <c r="AH27">
        <f t="shared" si="1"/>
        <v>40</v>
      </c>
      <c r="AI27">
        <f t="shared" si="1"/>
        <v>35</v>
      </c>
      <c r="AJ27">
        <f t="shared" si="1"/>
        <v>30</v>
      </c>
      <c r="AK27">
        <f t="shared" si="1"/>
        <v>45</v>
      </c>
      <c r="AL27">
        <f t="shared" si="1"/>
        <v>50</v>
      </c>
    </row>
    <row r="28" spans="1:39">
      <c r="A28" s="17">
        <v>14</v>
      </c>
      <c r="B28" s="17">
        <v>5</v>
      </c>
      <c r="C28" s="4" t="str">
        <f t="shared" si="2"/>
        <v>Alice in Wonderland</v>
      </c>
      <c r="D28" s="49">
        <f t="shared" si="3"/>
        <v>6.9044686187920493E-3</v>
      </c>
      <c r="E28" s="38">
        <f t="shared" si="4"/>
        <v>6.9044686187920493E-3</v>
      </c>
      <c r="F28" s="12">
        <f t="shared" si="5"/>
        <v>7.0175438596491224E-2</v>
      </c>
      <c r="G28" s="38">
        <f t="shared" si="7"/>
        <v>21.968778976333269</v>
      </c>
      <c r="H28" s="18">
        <f t="shared" si="6"/>
        <v>40</v>
      </c>
      <c r="M28" t="s">
        <v>24</v>
      </c>
      <c r="U28" s="17">
        <v>14</v>
      </c>
      <c r="V28">
        <f t="shared" si="1"/>
        <v>55</v>
      </c>
      <c r="W28">
        <f t="shared" si="1"/>
        <v>20</v>
      </c>
      <c r="X28">
        <f t="shared" si="1"/>
        <v>10</v>
      </c>
      <c r="Y28">
        <f t="shared" si="1"/>
        <v>45</v>
      </c>
      <c r="Z28">
        <f t="shared" si="1"/>
        <v>40</v>
      </c>
      <c r="AA28">
        <f t="shared" si="1"/>
        <v>30.000000000000004</v>
      </c>
      <c r="AB28">
        <f t="shared" si="1"/>
        <v>20</v>
      </c>
      <c r="AC28">
        <f t="shared" si="1"/>
        <v>20</v>
      </c>
      <c r="AD28">
        <f t="shared" si="1"/>
        <v>45</v>
      </c>
      <c r="AE28">
        <f t="shared" si="1"/>
        <v>45</v>
      </c>
      <c r="AF28">
        <f t="shared" si="1"/>
        <v>35</v>
      </c>
      <c r="AG28">
        <f t="shared" si="1"/>
        <v>35</v>
      </c>
      <c r="AH28">
        <f t="shared" si="1"/>
        <v>40</v>
      </c>
      <c r="AI28">
        <f t="shared" si="1"/>
        <v>35</v>
      </c>
      <c r="AJ28">
        <f t="shared" si="1"/>
        <v>30</v>
      </c>
      <c r="AK28">
        <f t="shared" si="1"/>
        <v>55</v>
      </c>
      <c r="AL28">
        <f t="shared" si="1"/>
        <v>45</v>
      </c>
    </row>
    <row r="29" spans="1:39">
      <c r="A29" s="17">
        <v>15</v>
      </c>
      <c r="B29" s="17">
        <v>10</v>
      </c>
      <c r="C29" s="29" t="str">
        <f t="shared" si="2"/>
        <v>Peter Pan</v>
      </c>
      <c r="D29" s="48">
        <f t="shared" si="3"/>
        <v>1.7651267526811714E-2</v>
      </c>
      <c r="E29" s="36">
        <f t="shared" si="4"/>
        <v>1.7651267526811714E-2</v>
      </c>
      <c r="F29" s="27">
        <f t="shared" si="5"/>
        <v>6.3380281690140844E-2</v>
      </c>
      <c r="G29" s="38">
        <f t="shared" si="7"/>
        <v>53.25280228115453</v>
      </c>
      <c r="H29" s="18">
        <f t="shared" si="6"/>
        <v>45</v>
      </c>
      <c r="M29" t="s">
        <v>26</v>
      </c>
      <c r="U29" s="17">
        <v>15</v>
      </c>
      <c r="V29">
        <f t="shared" si="1"/>
        <v>60</v>
      </c>
      <c r="W29">
        <f t="shared" si="1"/>
        <v>25</v>
      </c>
      <c r="X29">
        <f t="shared" si="1"/>
        <v>10</v>
      </c>
      <c r="Y29">
        <f t="shared" si="1"/>
        <v>60</v>
      </c>
      <c r="Z29">
        <f t="shared" si="1"/>
        <v>40</v>
      </c>
      <c r="AA29">
        <f t="shared" si="1"/>
        <v>30.000000000000004</v>
      </c>
      <c r="AB29">
        <f t="shared" si="1"/>
        <v>20</v>
      </c>
      <c r="AC29">
        <f t="shared" si="1"/>
        <v>20</v>
      </c>
      <c r="AD29">
        <f t="shared" si="1"/>
        <v>60</v>
      </c>
      <c r="AE29">
        <f t="shared" si="1"/>
        <v>45</v>
      </c>
      <c r="AF29">
        <f t="shared" si="1"/>
        <v>40</v>
      </c>
      <c r="AG29">
        <f t="shared" si="1"/>
        <v>40</v>
      </c>
      <c r="AH29">
        <f t="shared" si="1"/>
        <v>40</v>
      </c>
      <c r="AI29">
        <f t="shared" si="1"/>
        <v>35</v>
      </c>
      <c r="AJ29">
        <f t="shared" si="1"/>
        <v>30</v>
      </c>
      <c r="AK29">
        <f t="shared" si="1"/>
        <v>65</v>
      </c>
      <c r="AL29">
        <f t="shared" si="1"/>
        <v>45</v>
      </c>
    </row>
    <row r="30" spans="1:39">
      <c r="A30" s="17">
        <v>16</v>
      </c>
      <c r="B30" s="17">
        <v>16</v>
      </c>
      <c r="C30" s="4" t="str">
        <f t="shared" si="2"/>
        <v>Space Mtn</v>
      </c>
      <c r="D30" s="49">
        <f t="shared" si="3"/>
        <v>5.3859370950850576E-2</v>
      </c>
      <c r="E30" s="38">
        <f t="shared" si="4"/>
        <v>5.3859370950850576E-2</v>
      </c>
      <c r="F30" s="1">
        <f t="shared" si="5"/>
        <v>9.1463414634146339E-2</v>
      </c>
      <c r="G30" s="38">
        <f t="shared" si="7"/>
        <v>249.56439084237218</v>
      </c>
      <c r="H30" s="18">
        <f t="shared" si="6"/>
        <v>75</v>
      </c>
      <c r="M30" t="s">
        <v>22</v>
      </c>
      <c r="U30" s="17">
        <v>16</v>
      </c>
      <c r="V30">
        <f t="shared" si="1"/>
        <v>60</v>
      </c>
      <c r="W30">
        <f t="shared" si="1"/>
        <v>25</v>
      </c>
      <c r="X30">
        <f t="shared" si="1"/>
        <v>10</v>
      </c>
      <c r="Y30">
        <f t="shared" si="1"/>
        <v>60</v>
      </c>
      <c r="Z30">
        <f t="shared" si="1"/>
        <v>40</v>
      </c>
      <c r="AA30">
        <f t="shared" si="1"/>
        <v>30.000000000000004</v>
      </c>
      <c r="AB30">
        <f t="shared" si="1"/>
        <v>20</v>
      </c>
      <c r="AC30">
        <f t="shared" si="1"/>
        <v>20</v>
      </c>
      <c r="AD30">
        <f t="shared" si="1"/>
        <v>60</v>
      </c>
      <c r="AE30">
        <f t="shared" si="1"/>
        <v>45</v>
      </c>
      <c r="AF30">
        <f t="shared" si="1"/>
        <v>40</v>
      </c>
      <c r="AG30">
        <f t="shared" si="1"/>
        <v>40</v>
      </c>
      <c r="AH30">
        <f t="shared" si="1"/>
        <v>40</v>
      </c>
      <c r="AI30">
        <f t="shared" si="1"/>
        <v>35</v>
      </c>
      <c r="AJ30">
        <f t="shared" si="1"/>
        <v>30</v>
      </c>
      <c r="AK30">
        <f t="shared" si="1"/>
        <v>75</v>
      </c>
      <c r="AL30">
        <f t="shared" si="1"/>
        <v>40</v>
      </c>
    </row>
    <row r="31" spans="1:39">
      <c r="A31" s="17">
        <v>17</v>
      </c>
      <c r="B31" s="17">
        <v>17</v>
      </c>
      <c r="C31" s="4" t="str">
        <f t="shared" si="2"/>
        <v>Star Tours</v>
      </c>
      <c r="D31" s="49">
        <f t="shared" si="3"/>
        <v>2.2366467553544888E-2</v>
      </c>
      <c r="E31" s="38">
        <f t="shared" si="4"/>
        <v>2.2366467553544888E-2</v>
      </c>
      <c r="F31" s="1">
        <f t="shared" si="5"/>
        <v>7.3394495412844041E-2</v>
      </c>
      <c r="G31" s="38">
        <f t="shared" si="7"/>
        <v>81.447413962744818</v>
      </c>
      <c r="H31" s="18">
        <f t="shared" si="6"/>
        <v>40</v>
      </c>
      <c r="U31" s="17">
        <v>17</v>
      </c>
      <c r="V31">
        <f t="shared" si="1"/>
        <v>60</v>
      </c>
      <c r="W31">
        <f t="shared" si="1"/>
        <v>25</v>
      </c>
      <c r="X31">
        <f t="shared" si="1"/>
        <v>10</v>
      </c>
      <c r="Y31">
        <f t="shared" si="1"/>
        <v>60</v>
      </c>
      <c r="Z31">
        <f t="shared" si="1"/>
        <v>40</v>
      </c>
      <c r="AA31">
        <f t="shared" si="1"/>
        <v>30.000000000000004</v>
      </c>
      <c r="AB31">
        <f t="shared" si="1"/>
        <v>20</v>
      </c>
      <c r="AC31">
        <f t="shared" si="1"/>
        <v>20</v>
      </c>
      <c r="AD31">
        <f t="shared" si="1"/>
        <v>60</v>
      </c>
      <c r="AE31">
        <f t="shared" si="1"/>
        <v>40</v>
      </c>
      <c r="AF31">
        <f t="shared" si="1"/>
        <v>40</v>
      </c>
      <c r="AG31">
        <f t="shared" si="1"/>
        <v>40</v>
      </c>
      <c r="AH31">
        <f t="shared" si="1"/>
        <v>35</v>
      </c>
      <c r="AI31">
        <f t="shared" si="1"/>
        <v>30</v>
      </c>
      <c r="AJ31">
        <f t="shared" si="1"/>
        <v>30</v>
      </c>
      <c r="AK31">
        <f t="shared" si="1"/>
        <v>80</v>
      </c>
      <c r="AL31">
        <f t="shared" si="1"/>
        <v>40</v>
      </c>
    </row>
    <row r="32" spans="1:39">
      <c r="A32" s="17">
        <v>18</v>
      </c>
      <c r="B32" s="17">
        <v>15</v>
      </c>
      <c r="C32" s="24" t="str">
        <f t="shared" si="2"/>
        <v>Buzz Lightyear</v>
      </c>
      <c r="D32" s="50">
        <f t="shared" si="3"/>
        <v>9.6058656335458042E-3</v>
      </c>
      <c r="E32" s="41">
        <f t="shared" si="4"/>
        <v>9.6058656335458042E-3</v>
      </c>
      <c r="F32" s="28">
        <f t="shared" si="5"/>
        <v>6.7567567567567571E-2</v>
      </c>
      <c r="G32" s="38">
        <f t="shared" si="7"/>
        <v>32.923290655312897</v>
      </c>
      <c r="H32" s="18">
        <f t="shared" si="6"/>
        <v>25</v>
      </c>
      <c r="U32" s="17">
        <v>18</v>
      </c>
      <c r="V32">
        <f t="shared" si="1"/>
        <v>60</v>
      </c>
      <c r="W32">
        <f t="shared" si="1"/>
        <v>25</v>
      </c>
      <c r="X32">
        <f t="shared" si="1"/>
        <v>10</v>
      </c>
      <c r="Y32">
        <f t="shared" si="1"/>
        <v>60</v>
      </c>
      <c r="Z32">
        <f t="shared" si="1"/>
        <v>40</v>
      </c>
      <c r="AA32">
        <f t="shared" si="1"/>
        <v>30.000000000000004</v>
      </c>
      <c r="AB32">
        <f t="shared" si="1"/>
        <v>15</v>
      </c>
      <c r="AC32">
        <f t="shared" si="1"/>
        <v>20</v>
      </c>
      <c r="AD32">
        <f t="shared" si="1"/>
        <v>60</v>
      </c>
      <c r="AE32">
        <f t="shared" si="1"/>
        <v>40</v>
      </c>
      <c r="AF32">
        <f t="shared" si="1"/>
        <v>35</v>
      </c>
      <c r="AG32">
        <f t="shared" si="1"/>
        <v>40</v>
      </c>
      <c r="AH32">
        <f t="shared" si="1"/>
        <v>30</v>
      </c>
      <c r="AI32">
        <f t="shared" si="1"/>
        <v>25</v>
      </c>
      <c r="AJ32">
        <f t="shared" si="1"/>
        <v>25</v>
      </c>
      <c r="AK32">
        <f t="shared" si="1"/>
        <v>80</v>
      </c>
      <c r="AL32">
        <f t="shared" si="1"/>
        <v>35</v>
      </c>
    </row>
    <row r="33" spans="1:38">
      <c r="A33" s="17">
        <v>19</v>
      </c>
      <c r="B33" s="17">
        <v>3</v>
      </c>
      <c r="C33" s="4" t="str">
        <f t="shared" si="2"/>
        <v>Tiki room</v>
      </c>
      <c r="D33" s="49">
        <f t="shared" si="3"/>
        <v>4.9195690408532458E-2</v>
      </c>
      <c r="E33" s="38">
        <f t="shared" si="4"/>
        <v>4.9195690408532458E-2</v>
      </c>
      <c r="F33" s="12">
        <f t="shared" si="5"/>
        <v>6.0606060606060608E-2</v>
      </c>
      <c r="G33" s="38">
        <f t="shared" si="7"/>
        <v>163.05880626550467</v>
      </c>
      <c r="H33" s="18">
        <f t="shared" si="6"/>
        <v>10</v>
      </c>
      <c r="U33" s="17">
        <v>19</v>
      </c>
      <c r="V33">
        <f t="shared" si="1"/>
        <v>60</v>
      </c>
      <c r="W33">
        <f t="shared" si="1"/>
        <v>25</v>
      </c>
      <c r="X33">
        <f t="shared" si="1"/>
        <v>10</v>
      </c>
      <c r="Y33">
        <f t="shared" si="1"/>
        <v>50</v>
      </c>
      <c r="Z33">
        <f t="shared" si="1"/>
        <v>40</v>
      </c>
      <c r="AA33">
        <f t="shared" si="1"/>
        <v>30.000000000000004</v>
      </c>
      <c r="AB33">
        <f t="shared" si="1"/>
        <v>15</v>
      </c>
      <c r="AC33">
        <f t="shared" si="1"/>
        <v>20</v>
      </c>
      <c r="AD33">
        <f t="shared" si="1"/>
        <v>60</v>
      </c>
      <c r="AE33">
        <f t="shared" si="1"/>
        <v>45</v>
      </c>
      <c r="AF33">
        <f t="shared" si="1"/>
        <v>30</v>
      </c>
      <c r="AG33">
        <f t="shared" si="1"/>
        <v>35</v>
      </c>
      <c r="AH33">
        <f t="shared" si="1"/>
        <v>25</v>
      </c>
      <c r="AI33">
        <f t="shared" si="1"/>
        <v>20</v>
      </c>
      <c r="AJ33">
        <f t="shared" si="1"/>
        <v>20</v>
      </c>
      <c r="AK33">
        <f t="shared" si="1"/>
        <v>70</v>
      </c>
      <c r="AL33">
        <f t="shared" si="1"/>
        <v>30</v>
      </c>
    </row>
    <row r="34" spans="1:38">
      <c r="A34" s="17">
        <v>20</v>
      </c>
      <c r="B34" s="17">
        <v>1</v>
      </c>
      <c r="C34" s="4" t="str">
        <f t="shared" si="2"/>
        <v>Indiana Jones</v>
      </c>
      <c r="D34" s="49">
        <f t="shared" si="3"/>
        <v>1.9643791909343934E-2</v>
      </c>
      <c r="E34" s="38">
        <f t="shared" si="4"/>
        <v>1.9643791909343934E-2</v>
      </c>
      <c r="F34" s="12">
        <f t="shared" si="5"/>
        <v>6.2068965517241378E-2</v>
      </c>
      <c r="G34" s="38">
        <f t="shared" si="7"/>
        <v>75.235308449802986</v>
      </c>
      <c r="H34" s="18">
        <f t="shared" si="6"/>
        <v>45</v>
      </c>
      <c r="U34" s="17">
        <v>20</v>
      </c>
      <c r="V34">
        <f t="shared" si="1"/>
        <v>45</v>
      </c>
      <c r="W34">
        <f t="shared" si="1"/>
        <v>15</v>
      </c>
      <c r="X34">
        <f t="shared" si="1"/>
        <v>10</v>
      </c>
      <c r="Y34">
        <f t="shared" si="1"/>
        <v>35</v>
      </c>
      <c r="Z34">
        <f t="shared" si="1"/>
        <v>35</v>
      </c>
      <c r="AA34">
        <f t="shared" si="1"/>
        <v>30.000000000000004</v>
      </c>
      <c r="AB34">
        <f t="shared" si="1"/>
        <v>10</v>
      </c>
      <c r="AC34">
        <f t="shared" si="1"/>
        <v>45</v>
      </c>
      <c r="AD34">
        <f t="shared" si="1"/>
        <v>45</v>
      </c>
      <c r="AE34">
        <f t="shared" si="1"/>
        <v>45</v>
      </c>
      <c r="AF34">
        <f t="shared" si="1"/>
        <v>25</v>
      </c>
      <c r="AG34">
        <f t="shared" si="1"/>
        <v>30</v>
      </c>
      <c r="AH34">
        <f t="shared" si="1"/>
        <v>20</v>
      </c>
      <c r="AI34">
        <f t="shared" si="1"/>
        <v>15</v>
      </c>
      <c r="AJ34">
        <f t="shared" si="1"/>
        <v>20</v>
      </c>
      <c r="AK34">
        <f t="shared" si="1"/>
        <v>65</v>
      </c>
      <c r="AL34">
        <f t="shared" si="1"/>
        <v>25</v>
      </c>
    </row>
    <row r="35" spans="1:38">
      <c r="A35" s="17">
        <v>21</v>
      </c>
      <c r="B35" s="17">
        <v>14</v>
      </c>
      <c r="C35" s="4" t="str">
        <f t="shared" si="2"/>
        <v>Pirates</v>
      </c>
      <c r="D35" s="49">
        <f t="shared" si="3"/>
        <v>1.0336778634729865E-2</v>
      </c>
      <c r="E35" s="38">
        <f t="shared" si="4"/>
        <v>1.0336778634729865E-2</v>
      </c>
      <c r="F35" s="12">
        <f t="shared" si="5"/>
        <v>2.6315789473684209E-2</v>
      </c>
      <c r="G35" s="38">
        <f t="shared" si="7"/>
        <v>43.627434418712667</v>
      </c>
      <c r="H35" s="18">
        <f t="shared" si="6"/>
        <v>10</v>
      </c>
      <c r="U35" s="17">
        <v>21</v>
      </c>
      <c r="V35">
        <f t="shared" si="1"/>
        <v>40</v>
      </c>
      <c r="W35">
        <f t="shared" si="1"/>
        <v>10</v>
      </c>
      <c r="X35">
        <f t="shared" si="1"/>
        <v>10</v>
      </c>
      <c r="Y35">
        <f t="shared" si="1"/>
        <v>25</v>
      </c>
      <c r="Z35">
        <f t="shared" si="1"/>
        <v>30</v>
      </c>
      <c r="AA35">
        <f t="shared" si="1"/>
        <v>25</v>
      </c>
      <c r="AB35">
        <f t="shared" si="1"/>
        <v>10</v>
      </c>
      <c r="AC35">
        <f t="shared" si="1"/>
        <v>15</v>
      </c>
      <c r="AD35">
        <f t="shared" si="1"/>
        <v>35</v>
      </c>
      <c r="AE35">
        <f t="shared" si="1"/>
        <v>40</v>
      </c>
      <c r="AF35">
        <f t="shared" si="1"/>
        <v>20</v>
      </c>
      <c r="AG35">
        <f t="shared" si="1"/>
        <v>25</v>
      </c>
      <c r="AH35">
        <f t="shared" si="1"/>
        <v>15</v>
      </c>
      <c r="AI35">
        <f t="shared" si="1"/>
        <v>10</v>
      </c>
      <c r="AJ35">
        <f t="shared" si="1"/>
        <v>15</v>
      </c>
      <c r="AK35">
        <f t="shared" si="1"/>
        <v>59.999999999999993</v>
      </c>
      <c r="AL35">
        <f t="shared" si="1"/>
        <v>20</v>
      </c>
    </row>
    <row r="36" spans="1:38">
      <c r="A36" s="17">
        <v>22</v>
      </c>
      <c r="B36" s="17">
        <v>2</v>
      </c>
      <c r="C36" s="4" t="str">
        <f t="shared" si="2"/>
        <v>Jungle Cruise</v>
      </c>
      <c r="D36" s="49">
        <f t="shared" si="3"/>
        <v>2.1857505644037514E-2</v>
      </c>
      <c r="E36" s="38">
        <f t="shared" si="4"/>
        <v>2.1857505644037514E-2</v>
      </c>
      <c r="F36" s="12">
        <f t="shared" si="5"/>
        <v>1.9607843137254902E-2</v>
      </c>
      <c r="G36" s="38">
        <f t="shared" si="7"/>
        <v>79.03822260954027</v>
      </c>
      <c r="H36" s="18">
        <f t="shared" si="6"/>
        <v>5</v>
      </c>
      <c r="U36" s="17">
        <v>22</v>
      </c>
      <c r="V36">
        <f t="shared" si="1"/>
        <v>35</v>
      </c>
      <c r="W36">
        <f t="shared" si="1"/>
        <v>5</v>
      </c>
      <c r="X36">
        <f t="shared" si="1"/>
        <v>10</v>
      </c>
      <c r="Y36">
        <f t="shared" si="1"/>
        <v>15</v>
      </c>
      <c r="Z36">
        <f t="shared" si="1"/>
        <v>30</v>
      </c>
      <c r="AA36">
        <f t="shared" si="1"/>
        <v>25</v>
      </c>
      <c r="AB36">
        <f t="shared" si="1"/>
        <v>10</v>
      </c>
      <c r="AC36">
        <f t="shared" si="1"/>
        <v>15</v>
      </c>
      <c r="AD36">
        <f t="shared" si="1"/>
        <v>30</v>
      </c>
      <c r="AE36">
        <f t="shared" si="1"/>
        <v>40</v>
      </c>
      <c r="AF36">
        <f t="shared" si="1"/>
        <v>15</v>
      </c>
      <c r="AG36">
        <f t="shared" si="1"/>
        <v>20</v>
      </c>
      <c r="AH36">
        <f t="shared" si="1"/>
        <v>15</v>
      </c>
      <c r="AI36">
        <f t="shared" si="1"/>
        <v>10</v>
      </c>
      <c r="AJ36">
        <f t="shared" si="1"/>
        <v>15</v>
      </c>
      <c r="AK36">
        <f t="shared" si="1"/>
        <v>35</v>
      </c>
      <c r="AL36">
        <f t="shared" si="1"/>
        <v>20</v>
      </c>
    </row>
    <row r="37" spans="1:38">
      <c r="A37" s="17">
        <v>23</v>
      </c>
      <c r="B37" s="17">
        <v>4</v>
      </c>
      <c r="C37" s="4" t="str">
        <f t="shared" si="2"/>
        <v>Splash Mtn</v>
      </c>
      <c r="D37" s="49">
        <f t="shared" si="3"/>
        <v>4.6106558172381198E-2</v>
      </c>
      <c r="E37" s="38">
        <f t="shared" si="4"/>
        <v>4.6106558172381198E-2</v>
      </c>
      <c r="F37" s="12">
        <f t="shared" si="5"/>
        <v>1.9047619047619049E-2</v>
      </c>
      <c r="G37" s="38">
        <f t="shared" si="7"/>
        <v>273.1282170184997</v>
      </c>
      <c r="H37" s="18">
        <f t="shared" si="6"/>
        <v>10.000000000000002</v>
      </c>
      <c r="U37" s="17">
        <v>23</v>
      </c>
      <c r="V37">
        <f t="shared" ref="V37:AL38" si="8">V18*V$20</f>
        <v>20</v>
      </c>
      <c r="W37">
        <f t="shared" si="8"/>
        <v>5</v>
      </c>
      <c r="X37">
        <f t="shared" si="8"/>
        <v>10</v>
      </c>
      <c r="Y37">
        <f t="shared" si="8"/>
        <v>10.000000000000002</v>
      </c>
      <c r="Z37">
        <f t="shared" si="8"/>
        <v>20</v>
      </c>
      <c r="AA37">
        <f t="shared" si="8"/>
        <v>15.000000000000002</v>
      </c>
      <c r="AB37">
        <f t="shared" si="8"/>
        <v>10</v>
      </c>
      <c r="AC37">
        <f t="shared" si="8"/>
        <v>10</v>
      </c>
      <c r="AD37">
        <f t="shared" si="8"/>
        <v>30</v>
      </c>
      <c r="AE37">
        <f t="shared" si="8"/>
        <v>35</v>
      </c>
      <c r="AF37">
        <f t="shared" si="8"/>
        <v>15</v>
      </c>
      <c r="AG37">
        <f t="shared" si="8"/>
        <v>10</v>
      </c>
      <c r="AH37">
        <f t="shared" si="8"/>
        <v>10</v>
      </c>
      <c r="AI37">
        <f t="shared" si="8"/>
        <v>10</v>
      </c>
      <c r="AJ37">
        <f t="shared" si="8"/>
        <v>10</v>
      </c>
      <c r="AK37">
        <f t="shared" si="8"/>
        <v>35</v>
      </c>
      <c r="AL37">
        <f t="shared" si="8"/>
        <v>20</v>
      </c>
    </row>
    <row r="38" spans="1:38" ht="15" thickBot="1">
      <c r="A38" s="19">
        <v>24</v>
      </c>
      <c r="B38" s="19">
        <v>13</v>
      </c>
      <c r="C38" s="4" t="str">
        <f t="shared" si="2"/>
        <v>Haunted Mansion</v>
      </c>
      <c r="D38" s="49">
        <f t="shared" si="3"/>
        <v>1.6348341587255268E-2</v>
      </c>
      <c r="E38" s="38">
        <f t="shared" si="4"/>
        <v>1.6348341587255268E-2</v>
      </c>
      <c r="F38" s="12">
        <f t="shared" si="5"/>
        <v>1.2345679012345678E-2</v>
      </c>
      <c r="G38" s="38">
        <f t="shared" si="7"/>
        <v>85.530866119049492</v>
      </c>
      <c r="H38" s="18">
        <f t="shared" si="6"/>
        <v>5</v>
      </c>
      <c r="U38" s="19">
        <v>24</v>
      </c>
      <c r="V38">
        <f t="shared" si="8"/>
        <v>20</v>
      </c>
      <c r="W38">
        <f t="shared" si="8"/>
        <v>5</v>
      </c>
      <c r="X38">
        <f t="shared" si="8"/>
        <v>5</v>
      </c>
      <c r="Y38">
        <f t="shared" si="8"/>
        <v>10.000000000000002</v>
      </c>
      <c r="Z38">
        <f t="shared" si="8"/>
        <v>20</v>
      </c>
      <c r="AA38">
        <f t="shared" si="8"/>
        <v>15.000000000000002</v>
      </c>
      <c r="AB38">
        <f t="shared" si="8"/>
        <v>10</v>
      </c>
      <c r="AC38">
        <f t="shared" si="8"/>
        <v>10</v>
      </c>
      <c r="AD38">
        <f t="shared" si="8"/>
        <v>30</v>
      </c>
      <c r="AE38">
        <f t="shared" si="8"/>
        <v>35</v>
      </c>
      <c r="AF38">
        <f t="shared" si="8"/>
        <v>15</v>
      </c>
      <c r="AG38">
        <f t="shared" si="8"/>
        <v>5</v>
      </c>
      <c r="AH38">
        <f t="shared" si="8"/>
        <v>5</v>
      </c>
      <c r="AI38">
        <f t="shared" si="8"/>
        <v>10</v>
      </c>
      <c r="AJ38">
        <f t="shared" si="8"/>
        <v>10</v>
      </c>
      <c r="AK38">
        <f t="shared" si="8"/>
        <v>29.999999999999996</v>
      </c>
      <c r="AL38">
        <f t="shared" si="8"/>
        <v>15</v>
      </c>
    </row>
    <row r="39" spans="1:38" ht="15">
      <c r="A39" s="16"/>
      <c r="B39" s="12"/>
      <c r="C39" s="12"/>
      <c r="D39" s="49">
        <f>SUM(D22:D38)</f>
        <v>0.44143883243631271</v>
      </c>
      <c r="E39" s="12"/>
      <c r="F39" s="12">
        <f>SUM(F22:F38)</f>
        <v>0.77915231105781535</v>
      </c>
      <c r="G39" s="39">
        <f>SUM(G23:G38)</f>
        <v>1866.6094256478079</v>
      </c>
      <c r="H39" s="68">
        <f>SUM(H22:H38)</f>
        <v>390</v>
      </c>
      <c r="K39">
        <f>D39-SUM(D29:D32)</f>
        <v>0.3379558607715597</v>
      </c>
      <c r="L39" t="s">
        <v>31</v>
      </c>
      <c r="V39" s="5">
        <v>1</v>
      </c>
      <c r="W39" s="5">
        <v>2</v>
      </c>
      <c r="X39" s="5">
        <v>3</v>
      </c>
      <c r="Y39" s="5">
        <v>4</v>
      </c>
      <c r="Z39" s="5">
        <v>5</v>
      </c>
      <c r="AA39" s="5">
        <v>6</v>
      </c>
      <c r="AB39" s="5">
        <v>7</v>
      </c>
      <c r="AC39" s="5">
        <v>8</v>
      </c>
      <c r="AD39" s="5">
        <v>9</v>
      </c>
      <c r="AE39" s="5">
        <v>10</v>
      </c>
      <c r="AF39" s="5">
        <v>11</v>
      </c>
      <c r="AG39" s="5">
        <v>12</v>
      </c>
      <c r="AH39" s="5">
        <v>13</v>
      </c>
      <c r="AI39" s="5">
        <v>14</v>
      </c>
      <c r="AJ39" s="5">
        <v>15</v>
      </c>
      <c r="AK39" s="5">
        <v>16</v>
      </c>
      <c r="AL39" s="22">
        <v>17</v>
      </c>
    </row>
    <row r="40" spans="1:38">
      <c r="A40" s="16"/>
      <c r="B40" s="12" t="s">
        <v>3</v>
      </c>
      <c r="C40" s="12"/>
      <c r="D40" s="69">
        <v>1</v>
      </c>
      <c r="E40" s="12"/>
      <c r="F40" s="69">
        <v>1</v>
      </c>
      <c r="G40" s="12"/>
      <c r="H40" s="18"/>
      <c r="K40">
        <f>F39-SUM(F29:F32)</f>
        <v>0.48334655175311658</v>
      </c>
      <c r="L40" t="s">
        <v>32</v>
      </c>
      <c r="U40" s="17">
        <v>1</v>
      </c>
      <c r="V40">
        <f>C3*C$20</f>
        <v>0</v>
      </c>
      <c r="W40">
        <f t="shared" ref="W40:AL55" si="9">D3*D$20</f>
        <v>35.41571747416252</v>
      </c>
      <c r="X40">
        <f t="shared" si="9"/>
        <v>75.235308449802986</v>
      </c>
      <c r="Y40">
        <f t="shared" si="9"/>
        <v>243.12415046854719</v>
      </c>
      <c r="Z40">
        <f t="shared" si="9"/>
        <v>285.38608101250298</v>
      </c>
      <c r="AA40">
        <f t="shared" si="9"/>
        <v>289.17855867575389</v>
      </c>
      <c r="AB40">
        <f t="shared" si="9"/>
        <v>422.239931684601</v>
      </c>
      <c r="AC40">
        <f t="shared" si="9"/>
        <v>299.18469658294089</v>
      </c>
      <c r="AD40">
        <f t="shared" si="9"/>
        <v>294.34674965435448</v>
      </c>
      <c r="AE40">
        <f t="shared" si="9"/>
        <v>243.58872607986009</v>
      </c>
      <c r="AF40">
        <f t="shared" si="9"/>
        <v>203.00393542072791</v>
      </c>
      <c r="AG40">
        <f t="shared" si="9"/>
        <v>476.53795812918798</v>
      </c>
      <c r="AH40">
        <f t="shared" si="9"/>
        <v>166.24766329420825</v>
      </c>
      <c r="AI40">
        <f t="shared" si="9"/>
        <v>43.627434418712667</v>
      </c>
      <c r="AJ40">
        <f t="shared" si="9"/>
        <v>235.9205617282789</v>
      </c>
      <c r="AK40">
        <f t="shared" si="9"/>
        <v>285.48610254472004</v>
      </c>
      <c r="AL40">
        <f t="shared" si="9"/>
        <v>231.45532036128384</v>
      </c>
    </row>
    <row r="41" spans="1:38">
      <c r="A41" s="16"/>
      <c r="B41" s="12"/>
      <c r="C41" s="12"/>
      <c r="D41" s="12"/>
      <c r="E41" s="12"/>
      <c r="F41" s="12"/>
      <c r="G41" s="12"/>
      <c r="H41" s="18"/>
      <c r="U41" s="17">
        <v>2</v>
      </c>
      <c r="V41">
        <f t="shared" ref="V41:AK56" si="10">C4*C$20</f>
        <v>35.41571747416252</v>
      </c>
      <c r="W41">
        <f t="shared" si="9"/>
        <v>0</v>
      </c>
      <c r="X41">
        <f t="shared" si="9"/>
        <v>44.436335182955069</v>
      </c>
      <c r="Y41">
        <f t="shared" si="9"/>
        <v>273.1282170184997</v>
      </c>
      <c r="Z41">
        <f t="shared" si="9"/>
        <v>257.94215654492939</v>
      </c>
      <c r="AA41">
        <f t="shared" si="9"/>
        <v>268.18432904191525</v>
      </c>
      <c r="AB41">
        <f t="shared" si="9"/>
        <v>398.14575455830294</v>
      </c>
      <c r="AC41">
        <f t="shared" si="9"/>
        <v>273.11509923526529</v>
      </c>
      <c r="AD41">
        <f t="shared" si="9"/>
        <v>263.58393767409399</v>
      </c>
      <c r="AE41">
        <f t="shared" si="9"/>
        <v>219.53121870866025</v>
      </c>
      <c r="AF41">
        <f t="shared" si="9"/>
        <v>200.11373184634655</v>
      </c>
      <c r="AG41">
        <f t="shared" si="9"/>
        <v>456.11462948302591</v>
      </c>
      <c r="AH41">
        <f t="shared" si="9"/>
        <v>199.21786127021554</v>
      </c>
      <c r="AI41">
        <f t="shared" si="9"/>
        <v>79.03822260954027</v>
      </c>
      <c r="AJ41">
        <f t="shared" si="9"/>
        <v>201.14756751767686</v>
      </c>
      <c r="AK41">
        <f t="shared" si="9"/>
        <v>250.88589035856424</v>
      </c>
      <c r="AL41">
        <f t="shared" si="9"/>
        <v>196.0671434542468</v>
      </c>
    </row>
    <row r="42" spans="1:38" ht="15" thickBot="1">
      <c r="A42" s="63"/>
      <c r="B42" s="20"/>
      <c r="C42" s="70">
        <f>D39*D40</f>
        <v>0.44143883243631271</v>
      </c>
      <c r="D42" s="20"/>
      <c r="E42" s="20">
        <f>F39*F40</f>
        <v>0.77915231105781535</v>
      </c>
      <c r="F42" s="20" t="s">
        <v>8</v>
      </c>
      <c r="G42" s="20"/>
      <c r="H42" s="71">
        <f>E42+C42</f>
        <v>1.2205911434941281</v>
      </c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U42" s="17">
        <v>3</v>
      </c>
      <c r="V42">
        <f t="shared" si="10"/>
        <v>75.235308449802986</v>
      </c>
      <c r="W42">
        <f t="shared" si="9"/>
        <v>44.436335182955069</v>
      </c>
      <c r="X42">
        <f t="shared" si="9"/>
        <v>0</v>
      </c>
      <c r="Y42">
        <f t="shared" si="9"/>
        <v>291.68873208474383</v>
      </c>
      <c r="Z42">
        <f t="shared" si="9"/>
        <v>213.54567105456343</v>
      </c>
      <c r="AA42">
        <f t="shared" si="9"/>
        <v>226.12164826396045</v>
      </c>
      <c r="AB42">
        <f t="shared" si="9"/>
        <v>354.40223799523591</v>
      </c>
      <c r="AC42">
        <f t="shared" si="9"/>
        <v>228.93534948956807</v>
      </c>
      <c r="AD42">
        <f t="shared" si="9"/>
        <v>219.64957303895184</v>
      </c>
      <c r="AE42">
        <f t="shared" si="9"/>
        <v>176.13361760590169</v>
      </c>
      <c r="AF42">
        <f t="shared" si="9"/>
        <v>175.53810902631469</v>
      </c>
      <c r="AG42">
        <f t="shared" si="9"/>
        <v>413.86441663557724</v>
      </c>
      <c r="AH42">
        <f t="shared" si="9"/>
        <v>225.40989687633373</v>
      </c>
      <c r="AI42">
        <f t="shared" si="9"/>
        <v>117.05948454950837</v>
      </c>
      <c r="AJ42">
        <f t="shared" si="9"/>
        <v>163.05880626550467</v>
      </c>
      <c r="AK42">
        <f t="shared" si="9"/>
        <v>226.64433982944462</v>
      </c>
      <c r="AL42">
        <f t="shared" si="9"/>
        <v>162.77018054803818</v>
      </c>
    </row>
    <row r="43" spans="1:38">
      <c r="U43" s="17">
        <v>4</v>
      </c>
      <c r="V43">
        <f t="shared" si="10"/>
        <v>243.12415046854719</v>
      </c>
      <c r="W43">
        <f t="shared" si="9"/>
        <v>273.1282170184997</v>
      </c>
      <c r="X43">
        <f t="shared" si="9"/>
        <v>291.68873208474383</v>
      </c>
      <c r="Y43">
        <f t="shared" si="9"/>
        <v>0</v>
      </c>
      <c r="Z43">
        <f t="shared" si="9"/>
        <v>430.58523917795372</v>
      </c>
      <c r="AA43">
        <f t="shared" si="9"/>
        <v>393.65678799828754</v>
      </c>
      <c r="AB43">
        <f t="shared" si="9"/>
        <v>523.92586826058493</v>
      </c>
      <c r="AC43">
        <f t="shared" si="9"/>
        <v>433.02117322658592</v>
      </c>
      <c r="AD43">
        <f t="shared" si="9"/>
        <v>460.99990848306385</v>
      </c>
      <c r="AE43">
        <f t="shared" si="9"/>
        <v>377.39239285121079</v>
      </c>
      <c r="AF43">
        <f t="shared" si="9"/>
        <v>243.50268764516562</v>
      </c>
      <c r="AG43">
        <f t="shared" si="9"/>
        <v>545.19424297983869</v>
      </c>
      <c r="AH43">
        <f t="shared" si="9"/>
        <v>85.530866119049492</v>
      </c>
      <c r="AI43">
        <f t="shared" si="9"/>
        <v>209.16282830150311</v>
      </c>
      <c r="AJ43">
        <f t="shared" si="9"/>
        <v>443.65343531531391</v>
      </c>
      <c r="AK43">
        <f t="shared" si="9"/>
        <v>518.33181927135797</v>
      </c>
      <c r="AL43">
        <f t="shared" si="9"/>
        <v>450.94909994727891</v>
      </c>
    </row>
    <row r="44" spans="1:38">
      <c r="U44" s="17">
        <v>5</v>
      </c>
      <c r="V44">
        <f t="shared" si="10"/>
        <v>285.38608101250298</v>
      </c>
      <c r="W44">
        <f t="shared" si="9"/>
        <v>257.94215654492939</v>
      </c>
      <c r="X44">
        <f t="shared" si="9"/>
        <v>213.54567105456346</v>
      </c>
      <c r="Y44">
        <f t="shared" si="9"/>
        <v>430.58523917795367</v>
      </c>
      <c r="Z44">
        <f t="shared" si="9"/>
        <v>0</v>
      </c>
      <c r="AA44">
        <f t="shared" si="9"/>
        <v>69.455125502039664</v>
      </c>
      <c r="AB44">
        <f t="shared" si="9"/>
        <v>146.08932876096961</v>
      </c>
      <c r="AC44">
        <f t="shared" si="9"/>
        <v>21.968778976333269</v>
      </c>
      <c r="AD44">
        <f t="shared" si="9"/>
        <v>46.120406617537434</v>
      </c>
      <c r="AE44">
        <f t="shared" si="9"/>
        <v>53.25280228115453</v>
      </c>
      <c r="AF44">
        <f t="shared" si="9"/>
        <v>196.18586926043142</v>
      </c>
      <c r="AG44">
        <f t="shared" si="9"/>
        <v>217.34893875517614</v>
      </c>
      <c r="AH44">
        <f t="shared" si="9"/>
        <v>394.82939421009377</v>
      </c>
      <c r="AI44">
        <f t="shared" si="9"/>
        <v>321.85836784012554</v>
      </c>
      <c r="AJ44">
        <f t="shared" si="9"/>
        <v>130.10141514607648</v>
      </c>
      <c r="AK44">
        <f t="shared" si="9"/>
        <v>234.1745320258795</v>
      </c>
      <c r="AL44">
        <f t="shared" si="9"/>
        <v>162.97627457082967</v>
      </c>
    </row>
    <row r="45" spans="1:38">
      <c r="C45" t="s">
        <v>64</v>
      </c>
      <c r="G45">
        <f>G39*3</f>
        <v>5599.8282769434236</v>
      </c>
      <c r="U45" s="17">
        <v>6</v>
      </c>
      <c r="V45">
        <f t="shared" si="10"/>
        <v>289.17855867575389</v>
      </c>
      <c r="W45">
        <f t="shared" si="9"/>
        <v>268.18432904191525</v>
      </c>
      <c r="X45">
        <f t="shared" si="9"/>
        <v>226.1216482639604</v>
      </c>
      <c r="Y45">
        <f t="shared" si="9"/>
        <v>393.65678799828754</v>
      </c>
      <c r="Z45">
        <f t="shared" si="9"/>
        <v>69.455125502039664</v>
      </c>
      <c r="AA45">
        <f t="shared" si="9"/>
        <v>0</v>
      </c>
      <c r="AB45">
        <f t="shared" si="9"/>
        <v>137.10365996034804</v>
      </c>
      <c r="AC45">
        <f t="shared" si="9"/>
        <v>54.816916820998749</v>
      </c>
      <c r="AD45">
        <f t="shared" si="9"/>
        <v>115.54084629340073</v>
      </c>
      <c r="AE45">
        <f t="shared" si="9"/>
        <v>55.11594960765737</v>
      </c>
      <c r="AF45">
        <f t="shared" si="9"/>
        <v>150.6555634966613</v>
      </c>
      <c r="AG45">
        <f t="shared" si="9"/>
        <v>187.93059434003794</v>
      </c>
      <c r="AH45">
        <f t="shared" si="9"/>
        <v>370.49370442246158</v>
      </c>
      <c r="AI45">
        <f t="shared" si="9"/>
        <v>319.2524065418915</v>
      </c>
      <c r="AJ45">
        <f t="shared" si="9"/>
        <v>189.22843379725697</v>
      </c>
      <c r="AK45">
        <f t="shared" si="9"/>
        <v>297.2839405593038</v>
      </c>
      <c r="AL45">
        <f t="shared" si="9"/>
        <v>220.94920483065883</v>
      </c>
    </row>
    <row r="46" spans="1:38">
      <c r="C46" t="s">
        <v>65</v>
      </c>
      <c r="G46">
        <f>G45/5280</f>
        <v>1.0605735372998908</v>
      </c>
      <c r="U46" s="17">
        <v>7</v>
      </c>
      <c r="V46">
        <f t="shared" si="10"/>
        <v>422.239931684601</v>
      </c>
      <c r="W46">
        <f t="shared" si="9"/>
        <v>398.14575455830294</v>
      </c>
      <c r="X46">
        <f t="shared" si="9"/>
        <v>354.40223799523591</v>
      </c>
      <c r="Y46">
        <f t="shared" si="9"/>
        <v>523.92586826058493</v>
      </c>
      <c r="Z46">
        <f t="shared" si="9"/>
        <v>146.08932876096961</v>
      </c>
      <c r="AA46">
        <f t="shared" si="9"/>
        <v>137.10365996034804</v>
      </c>
      <c r="AB46">
        <f t="shared" si="9"/>
        <v>0</v>
      </c>
      <c r="AC46">
        <f t="shared" si="9"/>
        <v>127.04302098859858</v>
      </c>
      <c r="AD46">
        <f t="shared" si="9"/>
        <v>166.51786372548233</v>
      </c>
      <c r="AE46">
        <f t="shared" si="9"/>
        <v>178.79249083232051</v>
      </c>
      <c r="AF46">
        <f t="shared" si="9"/>
        <v>281.09763747137629</v>
      </c>
      <c r="AG46">
        <f t="shared" si="9"/>
        <v>80.985227741250185</v>
      </c>
      <c r="AH46">
        <f t="shared" si="9"/>
        <v>506.4497087106385</v>
      </c>
      <c r="AI46">
        <f t="shared" si="9"/>
        <v>454.60608976349624</v>
      </c>
      <c r="AJ46">
        <f t="shared" si="9"/>
        <v>266.95448741353545</v>
      </c>
      <c r="AK46">
        <f t="shared" si="9"/>
        <v>357.85686355779404</v>
      </c>
      <c r="AL46">
        <f t="shared" si="9"/>
        <v>299.2056517337632</v>
      </c>
    </row>
    <row r="47" spans="1:38">
      <c r="C47" t="s">
        <v>66</v>
      </c>
      <c r="G47">
        <f>H39/60</f>
        <v>6.5</v>
      </c>
      <c r="U47" s="17">
        <v>8</v>
      </c>
      <c r="V47">
        <f t="shared" si="10"/>
        <v>299.18469658294089</v>
      </c>
      <c r="W47">
        <f t="shared" si="9"/>
        <v>273.11509923526529</v>
      </c>
      <c r="X47">
        <f t="shared" si="9"/>
        <v>228.93534948956807</v>
      </c>
      <c r="Y47">
        <f t="shared" si="9"/>
        <v>433.02117322658592</v>
      </c>
      <c r="Z47">
        <f t="shared" si="9"/>
        <v>21.968778976333269</v>
      </c>
      <c r="AA47">
        <f t="shared" si="9"/>
        <v>54.816916820998742</v>
      </c>
      <c r="AB47">
        <f t="shared" si="9"/>
        <v>127.04302098859857</v>
      </c>
      <c r="AC47">
        <f t="shared" si="9"/>
        <v>0</v>
      </c>
      <c r="AD47">
        <f t="shared" si="9"/>
        <v>63.794208341811625</v>
      </c>
      <c r="AE47">
        <f t="shared" si="9"/>
        <v>58.440074323805938</v>
      </c>
      <c r="AF47">
        <f t="shared" si="9"/>
        <v>194.30568622833704</v>
      </c>
      <c r="AG47">
        <f t="shared" si="9"/>
        <v>196.24129880676139</v>
      </c>
      <c r="AH47">
        <f t="shared" si="9"/>
        <v>401.34210495569926</v>
      </c>
      <c r="AI47">
        <f t="shared" si="9"/>
        <v>334.23445421028055</v>
      </c>
      <c r="AJ47">
        <f t="shared" si="9"/>
        <v>152.05756119461753</v>
      </c>
      <c r="AK47">
        <f t="shared" si="9"/>
        <v>255.62654057901639</v>
      </c>
      <c r="AL47">
        <f t="shared" si="9"/>
        <v>184.93928790034644</v>
      </c>
    </row>
    <row r="48" spans="1:38">
      <c r="C48" t="s">
        <v>67</v>
      </c>
      <c r="G48">
        <f>SUM(D29:D32)/D39</f>
        <v>0.23442199476114889</v>
      </c>
      <c r="U48" s="17">
        <v>9</v>
      </c>
      <c r="V48">
        <f t="shared" si="10"/>
        <v>294.34674965435448</v>
      </c>
      <c r="W48">
        <f t="shared" si="9"/>
        <v>263.58393767409399</v>
      </c>
      <c r="X48">
        <f t="shared" si="9"/>
        <v>219.64957303895184</v>
      </c>
      <c r="Y48">
        <f t="shared" si="9"/>
        <v>460.99990848306379</v>
      </c>
      <c r="Z48">
        <f t="shared" si="9"/>
        <v>46.120406617537434</v>
      </c>
      <c r="AA48">
        <f t="shared" si="9"/>
        <v>115.54084629340075</v>
      </c>
      <c r="AB48">
        <f t="shared" si="9"/>
        <v>166.51786372548233</v>
      </c>
      <c r="AC48">
        <f t="shared" si="9"/>
        <v>63.794208341811625</v>
      </c>
      <c r="AD48">
        <f t="shared" si="9"/>
        <v>0</v>
      </c>
      <c r="AE48">
        <f t="shared" si="9"/>
        <v>90.664956666995778</v>
      </c>
      <c r="AF48">
        <f t="shared" si="9"/>
        <v>234.26543137137057</v>
      </c>
      <c r="AG48">
        <f t="shared" si="9"/>
        <v>244.21262443256944</v>
      </c>
      <c r="AH48">
        <f t="shared" si="9"/>
        <v>418.58691675179392</v>
      </c>
      <c r="AI48">
        <f t="shared" si="9"/>
        <v>333.91043574757589</v>
      </c>
      <c r="AJ48">
        <f t="shared" si="9"/>
        <v>100.53876287995733</v>
      </c>
      <c r="AK48">
        <f t="shared" si="9"/>
        <v>196.03012242617947</v>
      </c>
      <c r="AL48">
        <f t="shared" si="9"/>
        <v>132.68848704068344</v>
      </c>
    </row>
    <row r="49" spans="3:38">
      <c r="C49" t="s">
        <v>68</v>
      </c>
      <c r="G49">
        <f>SUM(F29:F32)/F39</f>
        <v>0.37965075006079158</v>
      </c>
      <c r="U49" s="17">
        <v>10</v>
      </c>
      <c r="V49">
        <f t="shared" si="10"/>
        <v>243.58872607986012</v>
      </c>
      <c r="W49">
        <f t="shared" si="9"/>
        <v>219.53121870866028</v>
      </c>
      <c r="X49">
        <f t="shared" si="9"/>
        <v>176.13361760590169</v>
      </c>
      <c r="Y49">
        <f t="shared" si="9"/>
        <v>377.39239285121079</v>
      </c>
      <c r="Z49">
        <f t="shared" si="9"/>
        <v>53.252802281154523</v>
      </c>
      <c r="AA49">
        <f t="shared" si="9"/>
        <v>55.115949607657363</v>
      </c>
      <c r="AB49">
        <f t="shared" si="9"/>
        <v>178.79249083232051</v>
      </c>
      <c r="AC49">
        <f t="shared" si="9"/>
        <v>58.440074323805938</v>
      </c>
      <c r="AD49">
        <f t="shared" si="9"/>
        <v>90.664956666995778</v>
      </c>
      <c r="AE49">
        <f t="shared" si="9"/>
        <v>0</v>
      </c>
      <c r="AF49">
        <f t="shared" si="9"/>
        <v>144.14840241197871</v>
      </c>
      <c r="AG49">
        <f t="shared" si="9"/>
        <v>238.93956076898073</v>
      </c>
      <c r="AH49">
        <f t="shared" si="9"/>
        <v>343.23800472175236</v>
      </c>
      <c r="AI49">
        <f t="shared" si="9"/>
        <v>277.19471876766289</v>
      </c>
      <c r="AJ49">
        <f t="shared" si="9"/>
        <v>140.34652822183338</v>
      </c>
      <c r="AK49">
        <f t="shared" si="9"/>
        <v>249.56439084237218</v>
      </c>
      <c r="AL49">
        <f t="shared" si="9"/>
        <v>170.59544177993732</v>
      </c>
    </row>
    <row r="50" spans="3:38">
      <c r="U50" s="17">
        <v>11</v>
      </c>
      <c r="V50">
        <f t="shared" si="10"/>
        <v>203.00393542072791</v>
      </c>
      <c r="W50">
        <f t="shared" si="9"/>
        <v>200.11373184634655</v>
      </c>
      <c r="X50">
        <f t="shared" si="9"/>
        <v>175.53810902631469</v>
      </c>
      <c r="Y50">
        <f t="shared" si="9"/>
        <v>243.50268764516565</v>
      </c>
      <c r="Z50">
        <f t="shared" si="9"/>
        <v>196.18586926043142</v>
      </c>
      <c r="AA50">
        <f t="shared" si="9"/>
        <v>150.6555634966613</v>
      </c>
      <c r="AB50">
        <f t="shared" si="9"/>
        <v>281.09763747137629</v>
      </c>
      <c r="AC50">
        <f t="shared" si="9"/>
        <v>194.30568622833704</v>
      </c>
      <c r="AD50">
        <f t="shared" si="9"/>
        <v>234.26543137137054</v>
      </c>
      <c r="AE50">
        <f t="shared" si="9"/>
        <v>144.14840241197871</v>
      </c>
      <c r="AF50">
        <f t="shared" si="9"/>
        <v>0</v>
      </c>
      <c r="AG50">
        <f t="shared" si="9"/>
        <v>310.40995171196965</v>
      </c>
      <c r="AH50">
        <f t="shared" si="9"/>
        <v>229.52406256746684</v>
      </c>
      <c r="AI50">
        <f t="shared" si="9"/>
        <v>215.60524896378325</v>
      </c>
      <c r="AJ50">
        <f t="shared" si="9"/>
        <v>253.90774206554252</v>
      </c>
      <c r="AK50">
        <f t="shared" si="9"/>
        <v>355.60542381889445</v>
      </c>
      <c r="AL50">
        <f t="shared" si="9"/>
        <v>274.98992588644165</v>
      </c>
    </row>
    <row r="51" spans="3:38">
      <c r="U51" s="17">
        <v>12</v>
      </c>
      <c r="V51">
        <f t="shared" si="10"/>
        <v>476.53795812918798</v>
      </c>
      <c r="W51">
        <f t="shared" si="9"/>
        <v>456.11462948302585</v>
      </c>
      <c r="X51">
        <f t="shared" si="9"/>
        <v>413.86441663557724</v>
      </c>
      <c r="Y51">
        <f t="shared" si="9"/>
        <v>545.19424297983869</v>
      </c>
      <c r="Z51">
        <f t="shared" si="9"/>
        <v>217.34893875517614</v>
      </c>
      <c r="AA51">
        <f t="shared" si="9"/>
        <v>187.93059434003794</v>
      </c>
      <c r="AB51">
        <f t="shared" si="9"/>
        <v>80.985227741250185</v>
      </c>
      <c r="AC51">
        <f t="shared" si="9"/>
        <v>196.24129880676139</v>
      </c>
      <c r="AD51">
        <f t="shared" si="9"/>
        <v>244.21262443256944</v>
      </c>
      <c r="AE51">
        <f t="shared" si="9"/>
        <v>238.93956076898073</v>
      </c>
      <c r="AF51">
        <f t="shared" si="9"/>
        <v>310.40995171196965</v>
      </c>
      <c r="AG51">
        <f t="shared" si="9"/>
        <v>0</v>
      </c>
      <c r="AH51">
        <f t="shared" si="9"/>
        <v>539.93396275766452</v>
      </c>
      <c r="AI51">
        <f t="shared" si="9"/>
        <v>504.71867173682426</v>
      </c>
      <c r="AJ51">
        <f t="shared" si="9"/>
        <v>343.71766130424044</v>
      </c>
      <c r="AK51">
        <f t="shared" si="9"/>
        <v>437.85195352068683</v>
      </c>
      <c r="AL51">
        <f t="shared" si="9"/>
        <v>376.39033374729303</v>
      </c>
    </row>
    <row r="52" spans="3:38">
      <c r="U52" s="17">
        <v>13</v>
      </c>
      <c r="V52">
        <f t="shared" si="10"/>
        <v>166.24766329420825</v>
      </c>
      <c r="W52">
        <f t="shared" si="9"/>
        <v>199.21786127021554</v>
      </c>
      <c r="X52">
        <f t="shared" si="9"/>
        <v>225.40989687633373</v>
      </c>
      <c r="Y52">
        <f t="shared" si="9"/>
        <v>85.530866119049492</v>
      </c>
      <c r="Z52">
        <f t="shared" si="9"/>
        <v>394.82939421009377</v>
      </c>
      <c r="AA52">
        <f t="shared" si="9"/>
        <v>370.49370442246158</v>
      </c>
      <c r="AB52">
        <f t="shared" si="9"/>
        <v>506.44970871063845</v>
      </c>
      <c r="AC52">
        <f t="shared" si="9"/>
        <v>401.34210495569926</v>
      </c>
      <c r="AD52">
        <f t="shared" si="9"/>
        <v>418.58691675179392</v>
      </c>
      <c r="AE52">
        <f t="shared" si="9"/>
        <v>343.23800472175242</v>
      </c>
      <c r="AF52">
        <f t="shared" si="9"/>
        <v>229.52406256746684</v>
      </c>
      <c r="AG52">
        <f t="shared" si="9"/>
        <v>539.93396275766452</v>
      </c>
      <c r="AH52">
        <f t="shared" si="9"/>
        <v>0</v>
      </c>
      <c r="AI52">
        <f t="shared" si="9"/>
        <v>127.9721607205676</v>
      </c>
      <c r="AJ52">
        <f t="shared" si="9"/>
        <v>385.50102343587747</v>
      </c>
      <c r="AK52">
        <f t="shared" si="9"/>
        <v>449.4287392065018</v>
      </c>
      <c r="AL52">
        <f t="shared" si="9"/>
        <v>388.07023356065002</v>
      </c>
    </row>
    <row r="53" spans="3:38">
      <c r="U53" s="17">
        <v>14</v>
      </c>
      <c r="V53">
        <f t="shared" si="10"/>
        <v>43.627434418712667</v>
      </c>
      <c r="W53">
        <f t="shared" si="9"/>
        <v>79.03822260954027</v>
      </c>
      <c r="X53">
        <f t="shared" si="9"/>
        <v>117.05948454950837</v>
      </c>
      <c r="Y53">
        <f t="shared" si="9"/>
        <v>209.16282830150311</v>
      </c>
      <c r="Z53">
        <f t="shared" si="9"/>
        <v>321.85836784012554</v>
      </c>
      <c r="AA53">
        <f t="shared" si="9"/>
        <v>319.2524065418915</v>
      </c>
      <c r="AB53">
        <f t="shared" si="9"/>
        <v>454.60608976349624</v>
      </c>
      <c r="AC53">
        <f t="shared" si="9"/>
        <v>334.23445421028055</v>
      </c>
      <c r="AD53">
        <f t="shared" si="9"/>
        <v>333.91043574757589</v>
      </c>
      <c r="AE53">
        <f t="shared" si="9"/>
        <v>277.19471876766289</v>
      </c>
      <c r="AF53">
        <f t="shared" si="9"/>
        <v>215.60524896378325</v>
      </c>
      <c r="AG53">
        <f t="shared" si="9"/>
        <v>504.71867173682426</v>
      </c>
      <c r="AH53">
        <f t="shared" si="9"/>
        <v>127.9721607205676</v>
      </c>
      <c r="AI53">
        <f t="shared" si="9"/>
        <v>0</v>
      </c>
      <c r="AJ53">
        <f t="shared" si="9"/>
        <v>279.11449624635367</v>
      </c>
      <c r="AK53">
        <f t="shared" si="9"/>
        <v>328.16830545471561</v>
      </c>
      <c r="AL53">
        <f t="shared" si="9"/>
        <v>275.07923904373905</v>
      </c>
    </row>
    <row r="54" spans="3:38">
      <c r="U54" s="17">
        <v>15</v>
      </c>
      <c r="V54">
        <f t="shared" si="10"/>
        <v>235.9205617282789</v>
      </c>
      <c r="W54">
        <f t="shared" si="9"/>
        <v>201.14756751767686</v>
      </c>
      <c r="X54">
        <f t="shared" si="9"/>
        <v>163.05880626550467</v>
      </c>
      <c r="Y54">
        <f t="shared" si="9"/>
        <v>443.65343531531403</v>
      </c>
      <c r="Z54">
        <f t="shared" si="9"/>
        <v>130.10141514607648</v>
      </c>
      <c r="AA54">
        <f t="shared" si="9"/>
        <v>189.22843379725697</v>
      </c>
      <c r="AB54">
        <f t="shared" si="9"/>
        <v>266.95448741353545</v>
      </c>
      <c r="AC54">
        <f t="shared" si="9"/>
        <v>152.05756119461753</v>
      </c>
      <c r="AD54">
        <f t="shared" si="9"/>
        <v>100.53876287995733</v>
      </c>
      <c r="AE54">
        <f t="shared" si="9"/>
        <v>140.34652822183338</v>
      </c>
      <c r="AF54">
        <f t="shared" si="9"/>
        <v>253.90774206554249</v>
      </c>
      <c r="AG54">
        <f t="shared" si="9"/>
        <v>343.71766130424044</v>
      </c>
      <c r="AH54">
        <f t="shared" si="9"/>
        <v>385.50102343587753</v>
      </c>
      <c r="AI54">
        <f t="shared" si="9"/>
        <v>279.11449624635367</v>
      </c>
      <c r="AJ54">
        <f t="shared" si="9"/>
        <v>0</v>
      </c>
      <c r="AK54">
        <f t="shared" si="9"/>
        <v>109.24350736136221</v>
      </c>
      <c r="AL54">
        <f t="shared" si="9"/>
        <v>32.923290655312897</v>
      </c>
    </row>
    <row r="55" spans="3:38">
      <c r="U55" s="17">
        <v>16</v>
      </c>
      <c r="V55">
        <f t="shared" si="10"/>
        <v>285.48610254472004</v>
      </c>
      <c r="W55">
        <f t="shared" si="9"/>
        <v>250.88589035856424</v>
      </c>
      <c r="X55">
        <f t="shared" si="9"/>
        <v>226.64433982944459</v>
      </c>
      <c r="Y55">
        <f t="shared" si="9"/>
        <v>518.33181927135797</v>
      </c>
      <c r="Z55">
        <f t="shared" si="9"/>
        <v>234.17453202587953</v>
      </c>
      <c r="AA55">
        <f t="shared" si="9"/>
        <v>297.2839405593038</v>
      </c>
      <c r="AB55">
        <f t="shared" si="9"/>
        <v>357.85686355779404</v>
      </c>
      <c r="AC55">
        <f t="shared" si="9"/>
        <v>255.62654057901639</v>
      </c>
      <c r="AD55">
        <f t="shared" si="9"/>
        <v>196.03012242617947</v>
      </c>
      <c r="AE55">
        <f t="shared" si="9"/>
        <v>249.56439084237218</v>
      </c>
      <c r="AF55">
        <f t="shared" si="9"/>
        <v>355.60542381889445</v>
      </c>
      <c r="AG55">
        <f t="shared" si="9"/>
        <v>437.85195352068683</v>
      </c>
      <c r="AH55">
        <f t="shared" si="9"/>
        <v>449.42873920650186</v>
      </c>
      <c r="AI55">
        <f t="shared" si="9"/>
        <v>328.16830545471561</v>
      </c>
      <c r="AJ55">
        <f t="shared" si="9"/>
        <v>109.24350736136221</v>
      </c>
      <c r="AK55">
        <f t="shared" si="9"/>
        <v>0</v>
      </c>
      <c r="AL55">
        <f t="shared" ref="AL55:AL56" si="11">S18*S$20</f>
        <v>81.447413962744818</v>
      </c>
    </row>
    <row r="56" spans="3:38" ht="15" thickBot="1">
      <c r="U56" s="19">
        <v>17</v>
      </c>
      <c r="V56">
        <f t="shared" si="10"/>
        <v>231.45532036128384</v>
      </c>
      <c r="W56">
        <f t="shared" si="10"/>
        <v>196.0671434542468</v>
      </c>
      <c r="X56">
        <f t="shared" si="10"/>
        <v>162.77018054803818</v>
      </c>
      <c r="Y56">
        <f t="shared" si="10"/>
        <v>450.94909994727897</v>
      </c>
      <c r="Z56">
        <f t="shared" si="10"/>
        <v>162.97627457082967</v>
      </c>
      <c r="AA56">
        <f t="shared" si="10"/>
        <v>220.9492048306588</v>
      </c>
      <c r="AB56">
        <f t="shared" si="10"/>
        <v>299.2056517337632</v>
      </c>
      <c r="AC56">
        <f t="shared" si="10"/>
        <v>184.93928790034644</v>
      </c>
      <c r="AD56">
        <f t="shared" si="10"/>
        <v>132.68848704068344</v>
      </c>
      <c r="AE56">
        <f t="shared" si="10"/>
        <v>170.59544177993732</v>
      </c>
      <c r="AF56">
        <f t="shared" si="10"/>
        <v>274.98992588644165</v>
      </c>
      <c r="AG56">
        <f t="shared" si="10"/>
        <v>376.39033374729303</v>
      </c>
      <c r="AH56">
        <f t="shared" si="10"/>
        <v>388.07023356065002</v>
      </c>
      <c r="AI56">
        <f t="shared" si="10"/>
        <v>275.07923904373905</v>
      </c>
      <c r="AJ56">
        <f t="shared" si="10"/>
        <v>32.923290655312897</v>
      </c>
      <c r="AK56">
        <f t="shared" si="10"/>
        <v>81.447413962744832</v>
      </c>
      <c r="AL56">
        <f t="shared" si="11"/>
        <v>0</v>
      </c>
    </row>
  </sheetData>
  <conditionalFormatting sqref="C22:C38">
    <cfRule type="expression" dxfId="3" priority="1">
      <formula>MATCH(C22,$M$22:$M$30,0)</formula>
    </cfRule>
  </conditionalFormatting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E3C4E7-A87A-4E54-B2B8-5FAAD41E05D5}">
  <dimension ref="A1:AM56"/>
  <sheetViews>
    <sheetView topLeftCell="A13" workbookViewId="0">
      <selection activeCell="G49" sqref="G49"/>
    </sheetView>
  </sheetViews>
  <sheetFormatPr defaultRowHeight="14.25"/>
  <cols>
    <col min="1" max="1" width="9.5" bestFit="1" customWidth="1"/>
    <col min="2" max="2" width="14.75" bestFit="1" customWidth="1"/>
    <col min="3" max="3" width="16.875" customWidth="1"/>
    <col min="4" max="4" width="12.5" bestFit="1" customWidth="1"/>
    <col min="5" max="5" width="7.75" bestFit="1" customWidth="1"/>
    <col min="6" max="6" width="8.375" bestFit="1" customWidth="1"/>
    <col min="7" max="7" width="7.375" bestFit="1" customWidth="1"/>
    <col min="8" max="8" width="8" customWidth="1"/>
    <col min="9" max="19" width="6.75" customWidth="1"/>
    <col min="20" max="20" width="18.25" customWidth="1"/>
    <col min="21" max="21" width="12.75" bestFit="1" customWidth="1"/>
    <col min="22" max="38" width="5.5" customWidth="1"/>
    <col min="39" max="39" width="15.75" bestFit="1" customWidth="1"/>
  </cols>
  <sheetData>
    <row r="1" spans="1:39" ht="48.75" customHeight="1" thickBot="1">
      <c r="B1" s="32" t="s">
        <v>41</v>
      </c>
      <c r="C1" s="33" t="s">
        <v>5</v>
      </c>
      <c r="D1" s="33"/>
      <c r="E1" s="33"/>
      <c r="F1" s="33"/>
      <c r="G1" s="33"/>
      <c r="H1" s="33"/>
      <c r="I1" s="33"/>
      <c r="J1" s="33"/>
      <c r="K1" s="33"/>
      <c r="L1" s="33"/>
      <c r="M1" s="33"/>
      <c r="N1" s="33"/>
      <c r="O1" s="33"/>
      <c r="P1" s="33"/>
      <c r="Q1" s="33"/>
      <c r="R1" s="33"/>
      <c r="S1" s="34"/>
      <c r="T1" s="13" t="s">
        <v>40</v>
      </c>
      <c r="U1" s="13" t="s">
        <v>11</v>
      </c>
      <c r="V1" s="14" t="s">
        <v>6</v>
      </c>
      <c r="W1" s="14"/>
      <c r="X1" s="14"/>
      <c r="Y1" s="14"/>
      <c r="Z1" s="14"/>
      <c r="AA1" s="14"/>
      <c r="AB1" s="14"/>
      <c r="AC1" s="14"/>
      <c r="AD1" s="14"/>
      <c r="AE1" s="14"/>
      <c r="AF1" s="14"/>
      <c r="AG1" s="14"/>
      <c r="AH1" s="14"/>
      <c r="AI1" s="14"/>
      <c r="AJ1" s="14"/>
      <c r="AK1" s="14"/>
      <c r="AL1" s="15"/>
    </row>
    <row r="2" spans="1:39">
      <c r="B2" s="16" t="s">
        <v>5</v>
      </c>
      <c r="C2" s="5">
        <v>1</v>
      </c>
      <c r="D2" s="5">
        <v>2</v>
      </c>
      <c r="E2" s="5">
        <v>3</v>
      </c>
      <c r="F2" s="5">
        <v>4</v>
      </c>
      <c r="G2" s="5">
        <v>5</v>
      </c>
      <c r="H2" s="5">
        <v>6</v>
      </c>
      <c r="I2" s="5">
        <v>7</v>
      </c>
      <c r="J2" s="5">
        <v>8</v>
      </c>
      <c r="K2" s="5">
        <v>9</v>
      </c>
      <c r="L2" s="5">
        <v>10</v>
      </c>
      <c r="M2" s="5">
        <v>11</v>
      </c>
      <c r="N2" s="5">
        <v>12</v>
      </c>
      <c r="O2" s="5">
        <v>13</v>
      </c>
      <c r="P2" s="5">
        <v>14</v>
      </c>
      <c r="Q2" s="5">
        <v>15</v>
      </c>
      <c r="R2" s="5">
        <v>16</v>
      </c>
      <c r="S2" s="22">
        <v>17</v>
      </c>
      <c r="U2" s="16" t="s">
        <v>12</v>
      </c>
      <c r="V2" s="5">
        <v>1</v>
      </c>
      <c r="W2" s="5">
        <v>2</v>
      </c>
      <c r="X2" s="5">
        <v>3</v>
      </c>
      <c r="Y2" s="5">
        <v>4</v>
      </c>
      <c r="Z2" s="5">
        <v>5</v>
      </c>
      <c r="AA2" s="5">
        <v>6</v>
      </c>
      <c r="AB2" s="5">
        <v>7</v>
      </c>
      <c r="AC2" s="5">
        <v>8</v>
      </c>
      <c r="AD2" s="5">
        <v>9</v>
      </c>
      <c r="AE2" s="5">
        <v>10</v>
      </c>
      <c r="AF2" s="5">
        <v>11</v>
      </c>
      <c r="AG2" s="5">
        <v>12</v>
      </c>
      <c r="AH2" s="5">
        <v>13</v>
      </c>
      <c r="AI2" s="5">
        <v>14</v>
      </c>
      <c r="AJ2" s="5">
        <v>15</v>
      </c>
      <c r="AK2" s="5">
        <v>16</v>
      </c>
      <c r="AL2" s="22">
        <v>17</v>
      </c>
      <c r="AM2" s="9" t="s">
        <v>13</v>
      </c>
    </row>
    <row r="3" spans="1:39" ht="15">
      <c r="A3" s="12"/>
      <c r="B3" s="17">
        <v>1</v>
      </c>
      <c r="C3" s="43">
        <f>(getDistance(coord!C1,coord!D1,coord!$C$1,coord!$D$1)*1000)/$C$20</f>
        <v>0</v>
      </c>
      <c r="D3" s="44">
        <f>(getDistance(coord!C1,coord!D1,coord!$C$2,coord!$D$2)*1000)/$D$20</f>
        <v>9.7939859857844019E-3</v>
      </c>
      <c r="E3" s="44">
        <f>(getDistance(coord!$C1,coord!$D1,coord!$C$3,coord!$D$3)*1000)/$E$20</f>
        <v>2.2698884083943889E-2</v>
      </c>
      <c r="F3" s="44">
        <f>(getDistance(coord!$C1,coord!$D1,coord!$C$4,coord!$D$4)*1000)/$F$20</f>
        <v>4.1041595442076105E-2</v>
      </c>
      <c r="G3" s="44">
        <f>(getDistance(coord!$C1,coord!$D1,coord!$C$5,coord!$D$5)*1000)/$G$20</f>
        <v>8.9692706304415254E-2</v>
      </c>
      <c r="H3" s="44">
        <f>(getDistance(coord!$C1,coord!$D1,coord!$C$6,coord!$D$6)*1000)/$H$20</f>
        <v>8.6451824708535505E-2</v>
      </c>
      <c r="I3" s="44">
        <f>(getDistance(coord!$C1,coord!$D1,coord!$C$7,coord!$D$7)*1000)/$I$20</f>
        <v>8.9811228695136011E-2</v>
      </c>
      <c r="J3" s="44">
        <f>(getDistance(coord!$C1,coord!$D1,coord!$C$8,coord!$D$8)*1000)/$J$20</f>
        <v>9.1240820893187149E-2</v>
      </c>
      <c r="K3" s="44">
        <f>(getDistance(coord!$C1,coord!$D1,coord!$C$9,coord!$D$9)*1000)/$K$20</f>
        <v>8.7047462622908689E-2</v>
      </c>
      <c r="L3" s="44">
        <f>(getDistance(coord!$C1,coord!$D1,coord!$C$10,coord!$D$10)*1000)/$L$20</f>
        <v>8.0740347669411905E-2</v>
      </c>
      <c r="M3" s="44">
        <f>(getDistance(coord!$C1,coord!$D1,coord!$C$11,coord!$D$11)*1000)/$M$20</f>
        <v>5.5422256969853041E-2</v>
      </c>
      <c r="N3" s="44">
        <f>(getDistance(coord!$C1,coord!$D1,coord!$C$12,coord!$D$12)*1000)/$N$20</f>
        <v>8.5548369994808526E-2</v>
      </c>
      <c r="O3" s="44">
        <f>(getDistance(coord!$C1,coord!$D1,coord!$C$13,coord!$D$13)*1000)/$O$20</f>
        <v>3.1776523621703266E-2</v>
      </c>
      <c r="P3" s="44">
        <f>(getDistance(coord!$C1,coord!$D1,coord!$C$14,coord!$D$14)*1000)/$P$20</f>
        <v>1.0336778634729865E-2</v>
      </c>
      <c r="Q3" s="44">
        <f>(getDistance(coord!$C1,coord!$D1,coord!$C$15,coord!$D$15)*1000)/$Q$20</f>
        <v>6.8833375128825133E-2</v>
      </c>
      <c r="R3" s="44">
        <f>(getDistance(coord!$C1,coord!$D1,coord!$C$16,coord!$D$16)*1000)/$R$20</f>
        <v>6.1611762184374974E-2</v>
      </c>
      <c r="S3" s="44">
        <f>(getDistance(coord!$C1,coord!$D1,coord!$C$17,coord!$D$17)*1000)/$S$20</f>
        <v>6.3560494570447018E-2</v>
      </c>
      <c r="T3" s="8" t="s">
        <v>39</v>
      </c>
      <c r="U3" s="17">
        <v>8</v>
      </c>
      <c r="V3" s="12">
        <v>1.3793103448275862E-2</v>
      </c>
      <c r="W3" s="12">
        <v>1.9607843137254902E-2</v>
      </c>
      <c r="X3" s="12">
        <v>6.0606060606060608E-2</v>
      </c>
      <c r="Y3" s="12">
        <v>9.5238095238095247E-3</v>
      </c>
      <c r="Z3" s="12">
        <v>2.6315789473684209E-2</v>
      </c>
      <c r="AA3" s="12">
        <v>1.3192612137203167E-2</v>
      </c>
      <c r="AB3" s="12">
        <v>2.1739130434782608E-2</v>
      </c>
      <c r="AC3" s="12">
        <v>1.8181818181818181E-2</v>
      </c>
      <c r="AD3" s="12">
        <v>8.0000000000000002E-3</v>
      </c>
      <c r="AE3" s="12">
        <v>4.9295774647887321E-2</v>
      </c>
      <c r="AF3" s="12">
        <v>1.2048192771084338E-2</v>
      </c>
      <c r="AG3" s="12">
        <v>1.1764705882352941E-2</v>
      </c>
      <c r="AH3" s="12">
        <v>1.2345679012345678E-2</v>
      </c>
      <c r="AI3" s="12">
        <v>1.3157894736842105E-2</v>
      </c>
      <c r="AJ3" s="12">
        <v>1.3513513513513514E-2</v>
      </c>
      <c r="AK3" s="12">
        <v>1.8292682926829267E-2</v>
      </c>
      <c r="AL3" s="18">
        <v>9.1743119266055051E-3</v>
      </c>
      <c r="AM3">
        <f>AVERAGE(V3:AL3)</f>
        <v>1.9444289550608812E-2</v>
      </c>
    </row>
    <row r="4" spans="1:39" ht="15">
      <c r="A4" s="12"/>
      <c r="B4" s="17">
        <v>2</v>
      </c>
      <c r="C4" s="45">
        <f>(getDistance(coord!C2,coord!D2,coord!$C$1,coord!$D$1)*1000)/$C$20</f>
        <v>9.2469745750658385E-3</v>
      </c>
      <c r="D4" s="46">
        <f>(getDistance(coord!C2,coord!D2,coord!$C$2,coord!$D$2)*1000)/$D$20</f>
        <v>0</v>
      </c>
      <c r="E4" s="45">
        <f>(getDistance(coord!$C2,coord!$D2,coord!$C$3,coord!$D$3)*1000)/$E$20</f>
        <v>1.3406673571440857E-2</v>
      </c>
      <c r="F4" s="45">
        <f>(getDistance(coord!$C2,coord!$D2,coord!$C$4,coord!$D$4)*1000)/$F$20</f>
        <v>4.6106558172381198E-2</v>
      </c>
      <c r="G4" s="45">
        <f>(getDistance(coord!$C2,coord!$D2,coord!$C$5,coord!$D$5)*1000)/$G$20</f>
        <v>8.1067478863828216E-2</v>
      </c>
      <c r="H4" s="45">
        <f>(getDistance(coord!$C2,coord!$D2,coord!$C$6,coord!$D$6)*1000)/$H$20</f>
        <v>8.0175462212965953E-2</v>
      </c>
      <c r="I4" s="45">
        <f>(getDistance(coord!$C2,coord!$D2,coord!$C$7,coord!$D$7)*1000)/$I$20</f>
        <v>8.468635184258988E-2</v>
      </c>
      <c r="J4" s="45">
        <f>(getDistance(coord!$C2,coord!$D2,coord!$C$8,coord!$D$8)*1000)/$J$20</f>
        <v>8.3290509632205356E-2</v>
      </c>
      <c r="K4" s="45">
        <f>(getDistance(coord!$C2,coord!$D2,coord!$C$9,coord!$D$9)*1000)/$K$20</f>
        <v>7.7949945055034039E-2</v>
      </c>
      <c r="L4" s="45">
        <f>(getDistance(coord!$C2,coord!$D2,coord!$C$10,coord!$D$10)*1000)/$L$20</f>
        <v>7.2766203954019684E-2</v>
      </c>
      <c r="M4" s="45">
        <f>(getDistance(coord!$C2,coord!$D2,coord!$C$11,coord!$D$11)*1000)/$M$20</f>
        <v>5.4633200319977884E-2</v>
      </c>
      <c r="N4" s="45">
        <f>(getDistance(coord!$C2,coord!$D2,coord!$C$12,coord!$D$12)*1000)/$N$20</f>
        <v>8.1881962218171789E-2</v>
      </c>
      <c r="O4" s="45">
        <f>(getDistance(coord!$C2,coord!$D2,coord!$C$13,coord!$D$13)*1000)/$O$20</f>
        <v>3.8078436406743466E-2</v>
      </c>
      <c r="P4" s="45">
        <f>(getDistance(coord!$C2,coord!$D2,coord!$C$14,coord!$D$14)*1000)/$P$20</f>
        <v>1.8726762682311E-2</v>
      </c>
      <c r="Q4" s="45">
        <f>(getDistance(coord!$C2,coord!$D2,coord!$C$15,coord!$D$15)*1000)/$Q$20</f>
        <v>5.8687830639966236E-2</v>
      </c>
      <c r="R4" s="45">
        <f>(getDistance(coord!$C2,coord!$D2,coord!$C$16,coord!$D$16)*1000)/$R$20</f>
        <v>5.4144568419983552E-2</v>
      </c>
      <c r="S4" s="45">
        <f>(getDistance(coord!$C2,coord!$D2,coord!$C$17,coord!$D$17)*1000)/$S$20</f>
        <v>5.3842463364049263E-2</v>
      </c>
      <c r="T4" s="8" t="s">
        <v>15</v>
      </c>
      <c r="U4" s="17">
        <v>9</v>
      </c>
      <c r="V4" s="12">
        <v>3.4482758620689655E-2</v>
      </c>
      <c r="W4" s="12">
        <v>1.9607843137254902E-2</v>
      </c>
      <c r="X4" s="12">
        <v>6.0606060606060608E-2</v>
      </c>
      <c r="Y4" s="12">
        <v>9.5238095238095247E-3</v>
      </c>
      <c r="Z4" s="12">
        <v>4.3859649122807015E-2</v>
      </c>
      <c r="AA4" s="12">
        <v>1.3192612137203167E-2</v>
      </c>
      <c r="AB4" s="12">
        <v>2.1739130434782608E-2</v>
      </c>
      <c r="AC4" s="12">
        <v>1.8181818181818181E-2</v>
      </c>
      <c r="AD4" s="12">
        <v>1.6E-2</v>
      </c>
      <c r="AE4" s="12">
        <v>5.6338028169014086E-2</v>
      </c>
      <c r="AF4" s="12">
        <v>2.4096385542168676E-2</v>
      </c>
      <c r="AG4" s="12">
        <v>2.3529411764705882E-2</v>
      </c>
      <c r="AH4" s="12">
        <v>2.4691358024691357E-2</v>
      </c>
      <c r="AI4" s="12">
        <v>3.9473684210526314E-2</v>
      </c>
      <c r="AJ4" s="12">
        <v>4.0540540540540543E-2</v>
      </c>
      <c r="AK4" s="12">
        <v>2.4390243902439025E-2</v>
      </c>
      <c r="AL4" s="18">
        <v>3.669724770642202E-2</v>
      </c>
      <c r="AM4">
        <f t="shared" ref="AM4:AM19" si="0">AVERAGE(V4:AL4)</f>
        <v>2.982062244852551E-2</v>
      </c>
    </row>
    <row r="5" spans="1:39" ht="15">
      <c r="A5" s="12"/>
      <c r="B5" s="17">
        <v>3</v>
      </c>
      <c r="C5" s="45">
        <f>(getDistance(coord!C3,coord!D3,coord!$C$1,coord!$D$1)*1000)/$C$20</f>
        <v>1.9643791909343934E-2</v>
      </c>
      <c r="D5" s="45">
        <f>(getDistance(coord!C3,coord!D3,coord!$C$2,coord!$D$2)*1000)/$D$20</f>
        <v>1.2288579056995987E-2</v>
      </c>
      <c r="E5" s="46">
        <f>(getDistance(coord!$C3,coord!$D3,coord!$C$3,coord!$D$3)*1000)/$E$20</f>
        <v>0</v>
      </c>
      <c r="F5" s="45">
        <f>(getDistance(coord!$C3,coord!$D3,coord!$C$4,coord!$D$4)*1000)/$F$20</f>
        <v>4.9239744032680575E-2</v>
      </c>
      <c r="G5" s="45">
        <f>(getDistance(coord!$C3,coord!$D3,coord!$C$5,coord!$D$5)*1000)/$G$20</f>
        <v>6.7114307356976877E-2</v>
      </c>
      <c r="H5" s="45">
        <f>(getDistance(coord!$C3,coord!$D3,coord!$C$6,coord!$D$6)*1000)/$H$20</f>
        <v>6.7600548215057135E-2</v>
      </c>
      <c r="I5" s="45">
        <f>(getDistance(coord!$C3,coord!$D3,coord!$C$7,coord!$D$7)*1000)/$I$20</f>
        <v>7.5382023485248112E-2</v>
      </c>
      <c r="J5" s="45">
        <f>(getDistance(coord!$C3,coord!$D3,coord!$C$8,coord!$D$8)*1000)/$J$20</f>
        <v>6.9817238172495161E-2</v>
      </c>
      <c r="K5" s="45">
        <f>(getDistance(coord!$C3,coord!$D3,coord!$C$9,coord!$D$9)*1000)/$K$20</f>
        <v>6.4957190869945655E-2</v>
      </c>
      <c r="L5" s="45">
        <f>(getDistance(coord!$C3,coord!$D3,coord!$C$10,coord!$D$10)*1000)/$L$20</f>
        <v>5.8381558747137567E-2</v>
      </c>
      <c r="M5" s="45">
        <f>(getDistance(coord!$C3,coord!$D3,coord!$C$11,coord!$D$11)*1000)/$M$20</f>
        <v>4.7923791064915143E-2</v>
      </c>
      <c r="N5" s="45">
        <f>(getDistance(coord!$C3,coord!$D3,coord!$C$12,coord!$D$12)*1000)/$N$20</f>
        <v>7.4297179559466797E-2</v>
      </c>
      <c r="O5" s="45">
        <f>(getDistance(coord!$C3,coord!$D3,coord!$C$13,coord!$D$13)*1000)/$O$20</f>
        <v>4.3084773468247912E-2</v>
      </c>
      <c r="P5" s="45">
        <f>(getDistance(coord!$C3,coord!$D3,coord!$C$14,coord!$D$14)*1000)/$P$20</f>
        <v>2.7735254089680056E-2</v>
      </c>
      <c r="Q5" s="45">
        <f>(getDistance(coord!$C3,coord!$D3,coord!$C$15,coord!$D$15)*1000)/$Q$20</f>
        <v>4.7574861205438287E-2</v>
      </c>
      <c r="R5" s="45">
        <f>(getDistance(coord!$C3,coord!$D3,coord!$C$16,coord!$D$16)*1000)/$R$20</f>
        <v>4.891291394410003E-2</v>
      </c>
      <c r="S5" s="45">
        <f>(getDistance(coord!$C3,coord!$D3,coord!$C$17,coord!$D$17)*1000)/$S$20</f>
        <v>4.4698705395085934E-2</v>
      </c>
      <c r="T5" s="8" t="s">
        <v>16</v>
      </c>
      <c r="U5" s="17">
        <v>10</v>
      </c>
      <c r="V5" s="12">
        <v>4.8275862068965517E-2</v>
      </c>
      <c r="W5" s="12">
        <v>3.9215686274509803E-2</v>
      </c>
      <c r="X5" s="12">
        <v>6.0606060606060608E-2</v>
      </c>
      <c r="Y5" s="12">
        <v>1.9047619047619049E-2</v>
      </c>
      <c r="Z5" s="12">
        <v>6.1403508771929821E-2</v>
      </c>
      <c r="AA5" s="12">
        <v>2.6385224274406333E-2</v>
      </c>
      <c r="AB5" s="12">
        <v>4.3478260869565216E-2</v>
      </c>
      <c r="AC5" s="12">
        <v>3.6363636363636362E-2</v>
      </c>
      <c r="AD5" s="12">
        <v>2.4E-2</v>
      </c>
      <c r="AE5" s="12">
        <v>6.3380281690140844E-2</v>
      </c>
      <c r="AF5" s="12">
        <v>3.614457831325301E-2</v>
      </c>
      <c r="AG5" s="12">
        <v>3.5294117647058823E-2</v>
      </c>
      <c r="AH5" s="12">
        <v>3.7037037037037035E-2</v>
      </c>
      <c r="AI5" s="12">
        <v>6.5789473684210523E-2</v>
      </c>
      <c r="AJ5" s="12">
        <v>6.7567567567567571E-2</v>
      </c>
      <c r="AK5" s="12">
        <v>3.048780487804878E-2</v>
      </c>
      <c r="AL5" s="18">
        <v>6.4220183486238536E-2</v>
      </c>
      <c r="AM5">
        <f t="shared" si="0"/>
        <v>4.4629229563543996E-2</v>
      </c>
    </row>
    <row r="6" spans="1:39" ht="15">
      <c r="A6" s="12"/>
      <c r="B6" s="17">
        <v>4</v>
      </c>
      <c r="C6" s="45">
        <f>(getDistance(coord!C4,coord!D4,coord!$C$1,coord!$D$1)*1000)/$C$20</f>
        <v>6.3479240244314714E-2</v>
      </c>
      <c r="D6" s="45">
        <f>(getDistance(coord!C4,coord!D4,coord!$C$2,coord!$D$2)*1000)/$D$20</f>
        <v>7.5531829384877472E-2</v>
      </c>
      <c r="E6" s="45">
        <f>(getDistance(coord!$C4,coord!$D4,coord!$C$3,coord!$D$3)*1000)/$E$20</f>
        <v>8.800400841849014E-2</v>
      </c>
      <c r="F6" s="46">
        <f>(getDistance(coord!$C4,coord!$D4,coord!$C$4,coord!$D$4)*1000)/$F$20</f>
        <v>0</v>
      </c>
      <c r="G6" s="45">
        <f>(getDistance(coord!$C4,coord!$D4,coord!$C$5,coord!$D$5)*1000)/$G$20</f>
        <v>0.13532669589065421</v>
      </c>
      <c r="H6" s="45">
        <f>(getDistance(coord!$C4,coord!$D4,coord!$C$6,coord!$D$6)*1000)/$H$20</f>
        <v>0.11768627586774991</v>
      </c>
      <c r="I6" s="45">
        <f>(getDistance(coord!$C4,coord!$D4,coord!$C$7,coord!$D$7)*1000)/$I$20</f>
        <v>0.11144001891511569</v>
      </c>
      <c r="J6" s="45">
        <f>(getDistance(coord!$C4,coord!$D4,coord!$C$8,coord!$D$8)*1000)/$J$20</f>
        <v>0.13205624405448768</v>
      </c>
      <c r="K6" s="45">
        <f>(getDistance(coord!$C4,coord!$D4,coord!$C$9,coord!$D$9)*1000)/$K$20</f>
        <v>0.13633197020169702</v>
      </c>
      <c r="L6" s="45">
        <f>(getDistance(coord!$C4,coord!$D4,coord!$C$10,coord!$D$10)*1000)/$L$20</f>
        <v>0.12509114644578523</v>
      </c>
      <c r="M6" s="45">
        <f>(getDistance(coord!$C4,coord!$D4,coord!$C$11,coord!$D$11)*1000)/$M$20</f>
        <v>6.6478851750094006E-2</v>
      </c>
      <c r="N6" s="45">
        <f>(getDistance(coord!$C4,coord!$D4,coord!$C$12,coord!$D$12)*1000)/$N$20</f>
        <v>9.7873585979555255E-2</v>
      </c>
      <c r="O6" s="45">
        <f>(getDistance(coord!$C4,coord!$D4,coord!$C$13,coord!$D$13)*1000)/$O$20</f>
        <v>1.6348341587255268E-2</v>
      </c>
      <c r="P6" s="45">
        <f>(getDistance(coord!$C4,coord!$D4,coord!$C$14,coord!$D$14)*1000)/$P$20</f>
        <v>4.9557575034467172E-2</v>
      </c>
      <c r="Q6" s="45">
        <f>(getDistance(coord!$C4,coord!$D4,coord!$C$15,coord!$D$15)*1000)/$Q$20</f>
        <v>0.1294425679412515</v>
      </c>
      <c r="R6" s="45">
        <f>(getDistance(coord!$C4,coord!$D4,coord!$C$16,coord!$D$16)*1000)/$R$20</f>
        <v>0.11186301713772151</v>
      </c>
      <c r="S6" s="45">
        <f>(getDistance(coord!$C4,coord!$D4,coord!$C$17,coord!$D$17)*1000)/$S$20</f>
        <v>0.12383620205405937</v>
      </c>
      <c r="T6" s="8" t="s">
        <v>17</v>
      </c>
      <c r="U6" s="17">
        <v>11</v>
      </c>
      <c r="V6" s="12">
        <v>5.5172413793103448E-2</v>
      </c>
      <c r="W6" s="12">
        <v>5.8823529411764705E-2</v>
      </c>
      <c r="X6" s="12">
        <v>6.0606060606060608E-2</v>
      </c>
      <c r="Y6" s="12">
        <v>2.8571428571428571E-2</v>
      </c>
      <c r="Z6" s="12">
        <v>7.0175438596491224E-2</v>
      </c>
      <c r="AA6" s="12">
        <v>3.9577836411609502E-2</v>
      </c>
      <c r="AB6" s="12">
        <v>6.5217391304347824E-2</v>
      </c>
      <c r="AC6" s="12">
        <v>3.6363636363636362E-2</v>
      </c>
      <c r="AD6" s="12">
        <v>3.2000000000000001E-2</v>
      </c>
      <c r="AE6" s="12">
        <v>6.3380281690140844E-2</v>
      </c>
      <c r="AF6" s="12">
        <v>4.8192771084337352E-2</v>
      </c>
      <c r="AG6" s="12">
        <v>4.7058823529411764E-2</v>
      </c>
      <c r="AH6" s="12">
        <v>6.1728395061728392E-2</v>
      </c>
      <c r="AI6" s="12">
        <v>7.8947368421052627E-2</v>
      </c>
      <c r="AJ6" s="12">
        <v>8.1081081081081086E-2</v>
      </c>
      <c r="AK6" s="12">
        <v>3.6585365853658534E-2</v>
      </c>
      <c r="AL6" s="18">
        <v>9.1743119266055051E-2</v>
      </c>
      <c r="AM6">
        <f t="shared" si="0"/>
        <v>5.6189702414465192E-2</v>
      </c>
    </row>
    <row r="7" spans="1:39" ht="15">
      <c r="A7" s="12"/>
      <c r="B7" s="17">
        <v>5</v>
      </c>
      <c r="C7" s="45">
        <f>(getDistance(coord!C5,coord!D5,coord!$C$1,coord!$D$1)*1000)/$C$20</f>
        <v>7.4513747663746827E-2</v>
      </c>
      <c r="D7" s="45">
        <f>(getDistance(coord!C5,coord!D5,coord!$C$2,coord!$D$2)*1000)/$D$20</f>
        <v>7.1332223275925158E-2</v>
      </c>
      <c r="E7" s="45">
        <f>(getDistance(coord!$C5,coord!$D5,coord!$C$3,coord!$D$3)*1000)/$E$20</f>
        <v>6.4427840249098367E-2</v>
      </c>
      <c r="F7" s="45">
        <f>(getDistance(coord!$C5,coord!$D5,coord!$C$4,coord!$D$4)*1000)/$F$20</f>
        <v>7.2686753478064511E-2</v>
      </c>
      <c r="G7" s="46">
        <f>(getDistance(coord!$C5,coord!$D5,coord!$C$5,coord!$D$5)*1000)/$G$20</f>
        <v>0</v>
      </c>
      <c r="H7" s="45">
        <f>(getDistance(coord!$C5,coord!$D5,coord!$C$6,coord!$D$6)*1000)/$H$20</f>
        <v>2.0764064813478561E-2</v>
      </c>
      <c r="I7" s="45">
        <f>(getDistance(coord!$C5,coord!$D5,coord!$C$7,coord!$D$7)*1000)/$I$20</f>
        <v>3.1073475364880684E-2</v>
      </c>
      <c r="J7" s="45">
        <f>(getDistance(coord!$C5,coord!$D5,coord!$C$8,coord!$D$8)*1000)/$J$20</f>
        <v>6.6997057360049812E-3</v>
      </c>
      <c r="K7" s="45">
        <f>(getDistance(coord!$C5,coord!$D5,coord!$C$9,coord!$D$9)*1000)/$K$20</f>
        <v>1.3639234596297669E-2</v>
      </c>
      <c r="L7" s="45">
        <f>(getDistance(coord!$C5,coord!$D5,coord!$C$10,coord!$D$10)*1000)/$L$20</f>
        <v>1.7651267526811714E-2</v>
      </c>
      <c r="M7" s="45">
        <f>(getDistance(coord!$C5,coord!$D5,coord!$C$11,coord!$D$11)*1000)/$M$20</f>
        <v>5.3560851603546879E-2</v>
      </c>
      <c r="N7" s="45">
        <f>(getDistance(coord!$C5,coord!$D5,coord!$C$12,coord!$D$12)*1000)/$N$20</f>
        <v>3.9018607255554762E-2</v>
      </c>
      <c r="O7" s="45">
        <f>(getDistance(coord!$C5,coord!$D5,coord!$C$13,coord!$D$13)*1000)/$O$20</f>
        <v>7.5467560403881626E-2</v>
      </c>
      <c r="P7" s="45">
        <f>(getDistance(coord!$C5,coord!$D5,coord!$C$14,coord!$D$14)*1000)/$P$20</f>
        <v>7.6258866569330716E-2</v>
      </c>
      <c r="Q7" s="45">
        <f>(getDistance(coord!$C5,coord!$D5,coord!$C$15,coord!$D$15)*1000)/$Q$20</f>
        <v>3.7959046248182332E-2</v>
      </c>
      <c r="R7" s="45">
        <f>(getDistance(coord!$C5,coord!$D5,coord!$C$16,coord!$D$16)*1000)/$R$20</f>
        <v>5.0538031267408988E-2</v>
      </c>
      <c r="S7" s="45">
        <f>(getDistance(coord!$C5,coord!$D5,coord!$C$17,coord!$D$17)*1000)/$S$20</f>
        <v>4.4755301363570019E-2</v>
      </c>
      <c r="T7" s="8" t="s">
        <v>18</v>
      </c>
      <c r="U7" s="17">
        <v>12</v>
      </c>
      <c r="V7" s="12">
        <v>6.2068965517241378E-2</v>
      </c>
      <c r="W7" s="12">
        <v>5.8823529411764705E-2</v>
      </c>
      <c r="X7" s="12">
        <v>6.0606060606060608E-2</v>
      </c>
      <c r="Y7" s="12">
        <v>4.7619047619047616E-2</v>
      </c>
      <c r="Z7" s="12">
        <v>7.0175438596491224E-2</v>
      </c>
      <c r="AA7" s="12">
        <v>6.3324538258575203E-2</v>
      </c>
      <c r="AB7" s="12">
        <v>6.5217391304347824E-2</v>
      </c>
      <c r="AC7" s="12">
        <v>5.4545454545454543E-2</v>
      </c>
      <c r="AD7" s="12">
        <v>0.04</v>
      </c>
      <c r="AE7" s="12">
        <v>6.3380281690140844E-2</v>
      </c>
      <c r="AF7" s="12">
        <v>6.0240963855421686E-2</v>
      </c>
      <c r="AG7" s="12">
        <v>5.8823529411764705E-2</v>
      </c>
      <c r="AH7" s="12">
        <v>8.6419753086419748E-2</v>
      </c>
      <c r="AI7" s="12">
        <v>9.2105263157894732E-2</v>
      </c>
      <c r="AJ7" s="12">
        <v>8.1081081081081086E-2</v>
      </c>
      <c r="AK7" s="12">
        <v>4.2682926829268296E-2</v>
      </c>
      <c r="AL7" s="18">
        <v>9.1743119266055051E-2</v>
      </c>
      <c r="AM7">
        <f t="shared" si="0"/>
        <v>6.4638667308060546E-2</v>
      </c>
    </row>
    <row r="8" spans="1:39" ht="15">
      <c r="A8" s="12"/>
      <c r="B8" s="17">
        <v>6</v>
      </c>
      <c r="C8" s="45">
        <f>(getDistance(coord!C6,coord!D6,coord!$C$1,coord!$D$1)*1000)/$C$20</f>
        <v>7.5503956165217129E-2</v>
      </c>
      <c r="D8" s="45">
        <f>(getDistance(coord!C6,coord!D6,coord!$C$2,coord!$D$2)*1000)/$D$20</f>
        <v>7.416462936716553E-2</v>
      </c>
      <c r="E8" s="45">
        <f>(getDistance(coord!$C6,coord!$D6,coord!$C$3,coord!$D$3)*1000)/$E$20</f>
        <v>6.8222078018574397E-2</v>
      </c>
      <c r="F8" s="45">
        <f>(getDistance(coord!$C6,coord!$D6,coord!$C$4,coord!$D$4)*1000)/$F$20</f>
        <v>6.6452890858092556E-2</v>
      </c>
      <c r="G8" s="45">
        <f>(getDistance(coord!$C6,coord!$D6,coord!$C$5,coord!$D$5)*1000)/$G$20</f>
        <v>2.1828738636758608E-2</v>
      </c>
      <c r="H8" s="46">
        <f>(getDistance(coord!$C6,coord!$D6,coord!$C$6,coord!$D$6)*1000)/$H$20</f>
        <v>0</v>
      </c>
      <c r="I8" s="45">
        <f>(getDistance(coord!$C6,coord!$D6,coord!$C$7,coord!$D$7)*1000)/$I$20</f>
        <v>2.9162206687823905E-2</v>
      </c>
      <c r="J8" s="45">
        <f>(getDistance(coord!$C6,coord!$D6,coord!$C$8,coord!$D$8)*1000)/$J$20</f>
        <v>1.6717233691112079E-2</v>
      </c>
      <c r="K8" s="45">
        <f>(getDistance(coord!$C6,coord!$D6,coord!$C$9,coord!$D$9)*1000)/$K$20</f>
        <v>3.4169011585670317E-2</v>
      </c>
      <c r="L8" s="45">
        <f>(getDistance(coord!$C6,coord!$D6,coord!$C$10,coord!$D$10)*1000)/$L$20</f>
        <v>1.8268829617316084E-2</v>
      </c>
      <c r="M8" s="45">
        <f>(getDistance(coord!$C6,coord!$D6,coord!$C$11,coord!$D$11)*1000)/$M$20</f>
        <v>4.1130588610241409E-2</v>
      </c>
      <c r="N8" s="45">
        <f>(getDistance(coord!$C6,coord!$D6,coord!$C$12,coord!$D$12)*1000)/$N$20</f>
        <v>3.3737409043053328E-2</v>
      </c>
      <c r="O8" s="45">
        <f>(getDistance(coord!$C6,coord!$D6,coord!$C$13,coord!$D$13)*1000)/$O$20</f>
        <v>7.0816044670883788E-2</v>
      </c>
      <c r="P8" s="45">
        <f>(getDistance(coord!$C6,coord!$D6,coord!$C$14,coord!$D$14)*1000)/$P$20</f>
        <v>7.5641428358044008E-2</v>
      </c>
      <c r="Q8" s="45">
        <f>(getDistance(coord!$C6,coord!$D6,coord!$C$15,coord!$D$15)*1000)/$Q$20</f>
        <v>5.5210243961729924E-2</v>
      </c>
      <c r="R8" s="45">
        <f>(getDistance(coord!$C6,coord!$D6,coord!$C$16,coord!$D$16)*1000)/$R$20</f>
        <v>6.4157895195982612E-2</v>
      </c>
      <c r="S8" s="45">
        <f>(getDistance(coord!$C6,coord!$D6,coord!$C$17,coord!$D$17)*1000)/$S$20</f>
        <v>6.067538526253205E-2</v>
      </c>
      <c r="T8" s="8" t="s">
        <v>19</v>
      </c>
      <c r="U8" s="17">
        <v>13</v>
      </c>
      <c r="V8" s="10">
        <v>7.586206896551724E-2</v>
      </c>
      <c r="W8" s="10">
        <v>7.8431372549019607E-2</v>
      </c>
      <c r="X8" s="12">
        <v>6.0606060606060608E-2</v>
      </c>
      <c r="Y8" s="12">
        <v>6.6666666666666666E-2</v>
      </c>
      <c r="Z8" s="12">
        <v>7.0175438596491224E-2</v>
      </c>
      <c r="AA8" s="12">
        <v>7.9155672823219003E-2</v>
      </c>
      <c r="AB8" s="12">
        <v>8.6956521739130432E-2</v>
      </c>
      <c r="AC8" s="12">
        <v>5.4545454545454543E-2</v>
      </c>
      <c r="AD8" s="12">
        <v>5.6000000000000001E-2</v>
      </c>
      <c r="AE8" s="12">
        <v>6.3380281690140844E-2</v>
      </c>
      <c r="AF8" s="12">
        <v>7.2289156626506021E-2</v>
      </c>
      <c r="AG8" s="12">
        <v>7.0588235294117646E-2</v>
      </c>
      <c r="AH8" s="12">
        <v>9.8765432098765427E-2</v>
      </c>
      <c r="AI8" s="12">
        <v>9.2105263157894732E-2</v>
      </c>
      <c r="AJ8" s="12">
        <v>8.1081081081081086E-2</v>
      </c>
      <c r="AK8" s="12">
        <v>5.4878048780487805E-2</v>
      </c>
      <c r="AL8" s="18">
        <v>9.1743119266055051E-2</v>
      </c>
      <c r="AM8">
        <f t="shared" si="0"/>
        <v>7.3719404381565184E-2</v>
      </c>
    </row>
    <row r="9" spans="1:39" ht="15">
      <c r="A9" s="12"/>
      <c r="B9" s="17">
        <v>7</v>
      </c>
      <c r="C9" s="45">
        <f>(getDistance(coord!C7,coord!D7,coord!$C$1,coord!$D$1)*1000)/$C$20</f>
        <v>0.11024602044878865</v>
      </c>
      <c r="D9" s="45">
        <f>(getDistance(coord!C7,coord!D7,coord!$C$2,coord!$D$2)*1000)/$D$20</f>
        <v>0.11010461508476854</v>
      </c>
      <c r="E9" s="45">
        <f>(getDistance(coord!$C7,coord!$D7,coord!$C$3,coord!$D$3)*1000)/$E$20</f>
        <v>0.10692499951284801</v>
      </c>
      <c r="F9" s="45">
        <f>(getDistance(coord!$C7,coord!$D7,coord!$C$4,coord!$D$4)*1000)/$F$20</f>
        <v>8.8443511207543263E-2</v>
      </c>
      <c r="G9" s="45">
        <f>(getDistance(coord!$C7,coord!$D7,coord!$C$5,coord!$D$5)*1000)/$G$20</f>
        <v>4.5913757294255543E-2</v>
      </c>
      <c r="H9" s="45">
        <f>(getDistance(coord!$C7,coord!$D7,coord!$C$6,coord!$D$6)*1000)/$H$20</f>
        <v>4.0988037398308211E-2</v>
      </c>
      <c r="I9" s="46">
        <f>(getDistance(coord!$C7,coord!$D7,coord!$C$7,coord!$D$7)*1000)/$I$20</f>
        <v>0</v>
      </c>
      <c r="J9" s="45">
        <f>(getDistance(coord!$C7,coord!$D7,coord!$C$8,coord!$D$8)*1000)/$J$20</f>
        <v>3.8743657867997619E-2</v>
      </c>
      <c r="K9" s="45">
        <f>(getDistance(coord!$C7,coord!$D7,coord!$C$9,coord!$D$9)*1000)/$K$20</f>
        <v>4.9244496620776908E-2</v>
      </c>
      <c r="L9" s="45">
        <f>(getDistance(coord!$C7,coord!$D7,coord!$C$10,coord!$D$10)*1000)/$L$20</f>
        <v>5.9262873544274626E-2</v>
      </c>
      <c r="M9" s="45">
        <f>(getDistance(coord!$C7,coord!$D7,coord!$C$11,coord!$D$11)*1000)/$M$20</f>
        <v>7.6742677255341979E-2</v>
      </c>
      <c r="N9" s="45">
        <f>(getDistance(coord!$C7,coord!$D7,coord!$C$12,coord!$D$12)*1000)/$N$20</f>
        <v>1.4538514946681543E-2</v>
      </c>
      <c r="O9" s="45">
        <f>(getDistance(coord!$C7,coord!$D7,coord!$C$13,coord!$D$13)*1000)/$O$20</f>
        <v>9.6802630564305797E-2</v>
      </c>
      <c r="P9" s="45">
        <f>(getDistance(coord!$C7,coord!$D7,coord!$C$14,coord!$D$14)*1000)/$P$20</f>
        <v>0.10771118170244345</v>
      </c>
      <c r="Q9" s="45">
        <f>(getDistance(coord!$C7,coord!$D7,coord!$C$15,coord!$D$15)*1000)/$Q$20</f>
        <v>7.7887990092287598E-2</v>
      </c>
      <c r="R9" s="45">
        <f>(getDistance(coord!$C7,coord!$D7,coord!$C$16,coord!$D$16)*1000)/$R$20</f>
        <v>7.7230351239655826E-2</v>
      </c>
      <c r="S9" s="45">
        <f>(getDistance(coord!$C7,coord!$D7,coord!$C$17,coord!$D$17)*1000)/$S$20</f>
        <v>8.2165573782386259E-2</v>
      </c>
      <c r="T9" s="8" t="s">
        <v>20</v>
      </c>
      <c r="U9" s="17">
        <v>14</v>
      </c>
      <c r="V9" s="10">
        <v>7.586206896551724E-2</v>
      </c>
      <c r="W9" s="10">
        <v>7.8431372549019607E-2</v>
      </c>
      <c r="X9" s="12">
        <v>6.0606060606060608E-2</v>
      </c>
      <c r="Y9" s="12">
        <v>8.5714285714285715E-2</v>
      </c>
      <c r="Z9" s="12">
        <v>7.0175438596491224E-2</v>
      </c>
      <c r="AA9" s="12">
        <v>7.9155672823219003E-2</v>
      </c>
      <c r="AB9" s="12">
        <v>8.6956521739130432E-2</v>
      </c>
      <c r="AC9" s="12">
        <v>7.2727272727272724E-2</v>
      </c>
      <c r="AD9" s="12">
        <v>7.1999999999999995E-2</v>
      </c>
      <c r="AE9" s="12">
        <v>6.3380281690140844E-2</v>
      </c>
      <c r="AF9" s="12">
        <v>8.4337349397590355E-2</v>
      </c>
      <c r="AG9" s="12">
        <v>8.2352941176470587E-2</v>
      </c>
      <c r="AH9" s="12">
        <v>9.8765432098765427E-2</v>
      </c>
      <c r="AI9" s="12">
        <v>9.2105263157894732E-2</v>
      </c>
      <c r="AJ9" s="12">
        <v>8.1081081081081086E-2</v>
      </c>
      <c r="AK9" s="12">
        <v>6.7073170731707321E-2</v>
      </c>
      <c r="AL9" s="18">
        <v>8.2568807339449546E-2</v>
      </c>
      <c r="AM9">
        <f t="shared" si="0"/>
        <v>7.8429001199652737E-2</v>
      </c>
    </row>
    <row r="10" spans="1:39" ht="15">
      <c r="A10" s="12"/>
      <c r="B10" s="17">
        <v>8</v>
      </c>
      <c r="C10" s="45">
        <f>(getDistance(coord!C8,coord!D8,coord!$C$1,coord!$D$1)*1000)/$C$20</f>
        <v>7.8116539205215205E-2</v>
      </c>
      <c r="D10" s="45">
        <f>(getDistance(coord!C8,coord!D8,coord!$C$2,coord!$D$2)*1000)/$D$20</f>
        <v>7.5528201747367199E-2</v>
      </c>
      <c r="E10" s="45">
        <f>(getDistance(coord!$C8,coord!$D8,coord!$C$3,coord!$D$3)*1000)/$E$20</f>
        <v>6.9070986320844893E-2</v>
      </c>
      <c r="F10" s="45">
        <f>(getDistance(coord!$C8,coord!$D8,coord!$C$4,coord!$D$4)*1000)/$F$20</f>
        <v>7.3097961577115442E-2</v>
      </c>
      <c r="G10" s="45">
        <f>(getDistance(coord!$C8,coord!$D8,coord!$C$5,coord!$D$5)*1000)/$G$20</f>
        <v>6.9044686187920493E-3</v>
      </c>
      <c r="H10" s="45">
        <f>(getDistance(coord!$C8,coord!$D8,coord!$C$6,coord!$D$6)*1000)/$H$20</f>
        <v>1.6387876424078383E-2</v>
      </c>
      <c r="I10" s="45">
        <f>(getDistance(coord!$C8,coord!$D8,coord!$C$7,coord!$D$7)*1000)/$I$20</f>
        <v>2.7022289830822523E-2</v>
      </c>
      <c r="J10" s="46">
        <f>(getDistance(coord!$C8,coord!$D8,coord!$C$8,coord!$D$8)*1000)/$J$20</f>
        <v>0</v>
      </c>
      <c r="K10" s="45">
        <f>(getDistance(coord!$C8,coord!$D8,coord!$C$9,coord!$D$9)*1000)/$K$20</f>
        <v>1.8865925894248264E-2</v>
      </c>
      <c r="L10" s="45">
        <f>(getDistance(coord!$C8,coord!$D8,coord!$C$10,coord!$D$10)*1000)/$L$20</f>
        <v>1.9370649843554015E-2</v>
      </c>
      <c r="M10" s="45">
        <f>(getDistance(coord!$C8,coord!$D8,coord!$C$11,coord!$D$11)*1000)/$M$20</f>
        <v>5.3047541420967771E-2</v>
      </c>
      <c r="N10" s="45">
        <f>(getDistance(coord!$C8,coord!$D8,coord!$C$12,coord!$D$12)*1000)/$N$20</f>
        <v>3.5229351517956919E-2</v>
      </c>
      <c r="O10" s="45">
        <f>(getDistance(coord!$C8,coord!$D8,coord!$C$13,coord!$D$13)*1000)/$O$20</f>
        <v>7.6712397791357037E-2</v>
      </c>
      <c r="P10" s="45">
        <f>(getDistance(coord!$C8,coord!$D8,coord!$C$14,coord!$D$14)*1000)/$P$20</f>
        <v>7.9191169760593288E-2</v>
      </c>
      <c r="Q10" s="45">
        <f>(getDistance(coord!$C8,coord!$D8,coord!$C$15,coord!$D$15)*1000)/$Q$20</f>
        <v>4.4365082357417922E-2</v>
      </c>
      <c r="R10" s="45">
        <f>(getDistance(coord!$C8,coord!$D8,coord!$C$16,coord!$D$16)*1000)/$R$20</f>
        <v>5.516766485577608E-2</v>
      </c>
      <c r="S10" s="45">
        <f>(getDistance(coord!$C8,coord!$D8,coord!$C$17,coord!$D$17)*1000)/$S$20</f>
        <v>5.0786616553483946E-2</v>
      </c>
      <c r="T10" s="8" t="s">
        <v>21</v>
      </c>
      <c r="U10" s="17">
        <v>15</v>
      </c>
      <c r="V10" s="10">
        <v>8.2758620689655171E-2</v>
      </c>
      <c r="W10" s="10">
        <v>9.8039215686274508E-2</v>
      </c>
      <c r="X10" s="12">
        <v>6.0606060606060608E-2</v>
      </c>
      <c r="Y10" s="12">
        <v>0.11428571428571428</v>
      </c>
      <c r="Z10" s="12">
        <v>7.0175438596491224E-2</v>
      </c>
      <c r="AA10" s="12">
        <v>7.9155672823219003E-2</v>
      </c>
      <c r="AB10" s="12">
        <v>8.6956521739130432E-2</v>
      </c>
      <c r="AC10" s="12">
        <v>7.2727272727272724E-2</v>
      </c>
      <c r="AD10" s="12">
        <v>9.6000000000000002E-2</v>
      </c>
      <c r="AE10" s="12">
        <v>6.3380281690140844E-2</v>
      </c>
      <c r="AF10" s="12">
        <v>9.6385542168674704E-2</v>
      </c>
      <c r="AG10" s="12">
        <v>9.4117647058823528E-2</v>
      </c>
      <c r="AH10" s="12">
        <v>9.8765432098765427E-2</v>
      </c>
      <c r="AI10" s="12">
        <v>9.2105263157894732E-2</v>
      </c>
      <c r="AJ10" s="12">
        <v>8.1081081081081086E-2</v>
      </c>
      <c r="AK10" s="12">
        <v>7.926829268292683E-2</v>
      </c>
      <c r="AL10" s="18">
        <v>8.2568807339449546E-2</v>
      </c>
      <c r="AM10">
        <f t="shared" si="0"/>
        <v>8.519863908421027E-2</v>
      </c>
    </row>
    <row r="11" spans="1:39" ht="15">
      <c r="A11" s="12"/>
      <c r="B11" s="17">
        <v>9</v>
      </c>
      <c r="C11" s="45">
        <f>(getDistance(coord!C9,coord!D9,coord!$C$1,coord!$D$1)*1000)/$C$20</f>
        <v>7.6853360723040068E-2</v>
      </c>
      <c r="D11" s="45">
        <f>(getDistance(coord!C9,coord!D9,coord!$C$2,coord!$D$2)*1000)/$D$20</f>
        <v>7.2892421099228111E-2</v>
      </c>
      <c r="E11" s="45">
        <f>(getDistance(coord!$C9,coord!$D9,coord!$C$3,coord!$D$3)*1000)/$E$20</f>
        <v>6.6269419242501834E-2</v>
      </c>
      <c r="F11" s="45">
        <f>(getDistance(coord!$C9,coord!$D9,coord!$C$4,coord!$D$4)*1000)/$F$20</f>
        <v>7.7821029734533517E-2</v>
      </c>
      <c r="G11" s="45">
        <f>(getDistance(coord!$C9,coord!$D9,coord!$C$5,coord!$D$5)*1000)/$G$20</f>
        <v>1.4494974915072205E-2</v>
      </c>
      <c r="H11" s="45">
        <f>(getDistance(coord!$C9,coord!$D9,coord!$C$6,coord!$D$6)*1000)/$H$20</f>
        <v>3.4541692980885677E-2</v>
      </c>
      <c r="I11" s="45">
        <f>(getDistance(coord!$C9,coord!$D9,coord!$C$7,coord!$D$7)*1000)/$I$20</f>
        <v>3.5418663225925767E-2</v>
      </c>
      <c r="J11" s="45">
        <f>(getDistance(coord!$C9,coord!$D9,coord!$C$8,coord!$D$8)*1000)/$J$20</f>
        <v>1.9454992196515256E-2</v>
      </c>
      <c r="K11" s="46">
        <f>(getDistance(coord!$C9,coord!$D9,coord!$C$9,coord!$D$9)*1000)/$K$20</f>
        <v>0</v>
      </c>
      <c r="L11" s="45">
        <f>(getDistance(coord!$C9,coord!$D9,coord!$C$10,coord!$D$10)*1000)/$L$20</f>
        <v>3.0051966035264915E-2</v>
      </c>
      <c r="M11" s="45">
        <f>(getDistance(coord!$C9,coord!$D9,coord!$C$11,coord!$D$11)*1000)/$M$20</f>
        <v>6.3956981472842303E-2</v>
      </c>
      <c r="N11" s="45">
        <f>(getDistance(coord!$C9,coord!$D9,coord!$C$12,coord!$D$12)*1000)/$N$20</f>
        <v>4.3841191653188123E-2</v>
      </c>
      <c r="O11" s="45">
        <f>(getDistance(coord!$C9,coord!$D9,coord!$C$13,coord!$D$13)*1000)/$O$20</f>
        <v>8.0008565439865093E-2</v>
      </c>
      <c r="P11" s="45">
        <f>(getDistance(coord!$C9,coord!$D9,coord!$C$14,coord!$D$14)*1000)/$P$20</f>
        <v>7.9114399096281499E-2</v>
      </c>
      <c r="Q11" s="45">
        <f>(getDistance(coord!$C9,coord!$D9,coord!$C$15,coord!$D$15)*1000)/$Q$20</f>
        <v>2.9333697451410307E-2</v>
      </c>
      <c r="R11" s="45">
        <f>(getDistance(coord!$C9,coord!$D9,coord!$C$16,coord!$D$16)*1000)/$R$20</f>
        <v>4.2305951765213359E-2</v>
      </c>
      <c r="S11" s="45">
        <f>(getDistance(coord!$C9,coord!$D9,coord!$C$17,coord!$D$17)*1000)/$S$20</f>
        <v>3.6437900182833403E-2</v>
      </c>
      <c r="T11" s="8" t="s">
        <v>22</v>
      </c>
      <c r="U11" s="17">
        <v>16</v>
      </c>
      <c r="V11" s="10">
        <v>8.2758620689655171E-2</v>
      </c>
      <c r="W11" s="10">
        <v>9.8039215686274508E-2</v>
      </c>
      <c r="X11" s="12">
        <v>6.0606060606060608E-2</v>
      </c>
      <c r="Y11" s="12">
        <v>0.11428571428571428</v>
      </c>
      <c r="Z11" s="12">
        <v>7.0175438596491224E-2</v>
      </c>
      <c r="AA11" s="12">
        <v>7.9155672823219003E-2</v>
      </c>
      <c r="AB11" s="12">
        <v>8.6956521739130432E-2</v>
      </c>
      <c r="AC11" s="12">
        <v>7.2727272727272724E-2</v>
      </c>
      <c r="AD11" s="12">
        <v>9.6000000000000002E-2</v>
      </c>
      <c r="AE11" s="12">
        <v>6.3380281690140844E-2</v>
      </c>
      <c r="AF11" s="12">
        <v>9.6385542168674704E-2</v>
      </c>
      <c r="AG11" s="12">
        <v>9.4117647058823528E-2</v>
      </c>
      <c r="AH11" s="12">
        <v>9.8765432098765427E-2</v>
      </c>
      <c r="AI11" s="12">
        <v>9.2105263157894732E-2</v>
      </c>
      <c r="AJ11" s="12">
        <v>8.1081081081081086E-2</v>
      </c>
      <c r="AK11" s="12">
        <v>9.1463414634146339E-2</v>
      </c>
      <c r="AL11" s="18">
        <v>7.3394495412844041E-2</v>
      </c>
      <c r="AM11">
        <f t="shared" si="0"/>
        <v>8.5376333791540512E-2</v>
      </c>
    </row>
    <row r="12" spans="1:39" ht="15">
      <c r="A12" s="12"/>
      <c r="B12" s="17">
        <v>10</v>
      </c>
      <c r="C12" s="45">
        <f>(getDistance(coord!C10,coord!D10,coord!$C$1,coord!$D$1)*1000)/$C$20</f>
        <v>6.3600540027924646E-2</v>
      </c>
      <c r="D12" s="45">
        <f>(getDistance(coord!C10,coord!D10,coord!$C$2,coord!$D$2)*1000)/$D$20</f>
        <v>6.0709928608488055E-2</v>
      </c>
      <c r="E12" s="45">
        <f>(getDistance(coord!$C10,coord!$D10,coord!$C$3,coord!$D$3)*1000)/$E$20</f>
        <v>5.3140429031264647E-2</v>
      </c>
      <c r="F12" s="45">
        <f>(getDistance(coord!$C10,coord!$D10,coord!$C$4,coord!$D$4)*1000)/$F$20</f>
        <v>6.3707311184292334E-2</v>
      </c>
      <c r="G12" s="45">
        <f>(getDistance(coord!$C10,coord!$D10,coord!$C$5,coord!$D$5)*1000)/$G$20</f>
        <v>1.6736583430925735E-2</v>
      </c>
      <c r="H12" s="45">
        <f>(getDistance(coord!$C10,coord!$D10,coord!$C$6,coord!$D$6)*1000)/$H$20</f>
        <v>1.6477274234803704E-2</v>
      </c>
      <c r="I12" s="45">
        <f>(getDistance(coord!$C10,coord!$D10,coord!$C$7,coord!$D$7)*1000)/$I$20</f>
        <v>3.8029499528976364E-2</v>
      </c>
      <c r="J12" s="45">
        <f>(getDistance(coord!$C10,coord!$D10,coord!$C$8,coord!$D$8)*1000)/$J$20</f>
        <v>1.7822169433337764E-2</v>
      </c>
      <c r="K12" s="45">
        <f>(getDistance(coord!$C10,coord!$D10,coord!$C$9,coord!$D$9)*1000)/$K$20</f>
        <v>2.6812439532441078E-2</v>
      </c>
      <c r="L12" s="46">
        <f>(getDistance(coord!$C10,coord!$D10,coord!$C$10,coord!$D$10)*1000)/$L$20</f>
        <v>0</v>
      </c>
      <c r="M12" s="45">
        <f>(getDistance(coord!$C10,coord!$D10,coord!$C$11,coord!$D$11)*1000)/$M$20</f>
        <v>3.9354063672278637E-2</v>
      </c>
      <c r="N12" s="45">
        <f>(getDistance(coord!$C10,coord!$D10,coord!$C$12,coord!$D$12)*1000)/$N$20</f>
        <v>4.2894568213011769E-2</v>
      </c>
      <c r="O12" s="45">
        <f>(getDistance(coord!$C10,coord!$D10,coord!$C$13,coord!$D$13)*1000)/$O$20</f>
        <v>6.5606399204571786E-2</v>
      </c>
      <c r="P12" s="45">
        <f>(getDistance(coord!$C10,coord!$D10,coord!$C$14,coord!$D$14)*1000)/$P$20</f>
        <v>6.5676574494798801E-2</v>
      </c>
      <c r="Q12" s="45">
        <f>(getDistance(coord!$C10,coord!$D10,coord!$C$15,coord!$D$15)*1000)/$Q$20</f>
        <v>4.0948212204785242E-2</v>
      </c>
      <c r="R12" s="45">
        <f>(getDistance(coord!$C10,coord!$D10,coord!$C$16,coord!$D$16)*1000)/$R$20</f>
        <v>5.3859370950850576E-2</v>
      </c>
      <c r="S12" s="45">
        <f>(getDistance(coord!$C10,coord!$D10,coord!$C$17,coord!$D$17)*1000)/$S$20</f>
        <v>4.684761894464741E-2</v>
      </c>
      <c r="T12" s="8" t="s">
        <v>23</v>
      </c>
      <c r="U12" s="17">
        <v>17</v>
      </c>
      <c r="V12" s="10">
        <v>8.2758620689655171E-2</v>
      </c>
      <c r="W12" s="10">
        <v>9.8039215686274508E-2</v>
      </c>
      <c r="X12" s="12">
        <v>6.0606060606060608E-2</v>
      </c>
      <c r="Y12" s="12">
        <v>0.11428571428571428</v>
      </c>
      <c r="Z12" s="12">
        <v>7.0175438596491224E-2</v>
      </c>
      <c r="AA12" s="12">
        <v>7.9155672823219003E-2</v>
      </c>
      <c r="AB12" s="12">
        <v>8.6956521739130432E-2</v>
      </c>
      <c r="AC12" s="12">
        <v>7.2727272727272724E-2</v>
      </c>
      <c r="AD12" s="12">
        <v>9.6000000000000002E-2</v>
      </c>
      <c r="AE12" s="12">
        <v>5.6338028169014086E-2</v>
      </c>
      <c r="AF12" s="12">
        <v>9.6385542168674704E-2</v>
      </c>
      <c r="AG12" s="12">
        <v>9.4117647058823528E-2</v>
      </c>
      <c r="AH12" s="12">
        <v>8.6419753086419748E-2</v>
      </c>
      <c r="AI12" s="12">
        <v>7.8947368421052627E-2</v>
      </c>
      <c r="AJ12" s="12">
        <v>8.1081081081081086E-2</v>
      </c>
      <c r="AK12" s="12">
        <v>9.7560975609756101E-2</v>
      </c>
      <c r="AL12" s="18">
        <v>7.3394495412844041E-2</v>
      </c>
      <c r="AM12">
        <f t="shared" si="0"/>
        <v>8.3820553421263766E-2</v>
      </c>
    </row>
    <row r="13" spans="1:39" ht="15">
      <c r="A13" s="12"/>
      <c r="B13" s="17">
        <v>11</v>
      </c>
      <c r="C13" s="45">
        <f>(getDistance(coord!C11,coord!D11,coord!$C$1,coord!$D$1)*1000)/$C$20</f>
        <v>5.3003930552678102E-2</v>
      </c>
      <c r="D13" s="45">
        <f>(getDistance(coord!C11,coord!D11,coord!$C$2,coord!$D$2)*1000)/$D$20</f>
        <v>5.5340149093294128E-2</v>
      </c>
      <c r="E13" s="45">
        <f>(getDistance(coord!$C11,coord!$D11,coord!$C$3,coord!$D$3)*1000)/$E$20</f>
        <v>5.2960760993775863E-2</v>
      </c>
      <c r="F13" s="45">
        <f>(getDistance(coord!$C11,coord!$D11,coord!$C$4,coord!$D$4)*1000)/$F$20</f>
        <v>4.1105496003302211E-2</v>
      </c>
      <c r="G13" s="45">
        <f>(getDistance(coord!$C11,coord!$D11,coord!$C$5,coord!$D$5)*1000)/$G$20</f>
        <v>6.1658373422498379E-2</v>
      </c>
      <c r="H13" s="45">
        <f>(getDistance(coord!$C11,coord!$D11,coord!$C$6,coord!$D$6)*1000)/$H$20</f>
        <v>4.5039467747617051E-2</v>
      </c>
      <c r="I13" s="45">
        <f>(getDistance(coord!$C11,coord!$D11,coord!$C$7,coord!$D$7)*1000)/$I$20</f>
        <v>5.9789996895561061E-2</v>
      </c>
      <c r="J13" s="45">
        <f>(getDistance(coord!$C11,coord!$D11,coord!$C$8,coord!$D$8)*1000)/$J$20</f>
        <v>5.9256407557506004E-2</v>
      </c>
      <c r="K13" s="45">
        <f>(getDistance(coord!$C11,coord!$D11,coord!$C$9,coord!$D$9)*1000)/$K$20</f>
        <v>6.9279553469114658E-2</v>
      </c>
      <c r="L13" s="45">
        <f>(getDistance(coord!$C11,coord!$D11,coord!$C$10,coord!$D$10)*1000)/$L$20</f>
        <v>4.7779683050346779E-2</v>
      </c>
      <c r="M13" s="46">
        <f>(getDistance(coord!$C11,coord!$D11,coord!$C$11,coord!$D$11)*1000)/$M$20</f>
        <v>0</v>
      </c>
      <c r="N13" s="45">
        <f>(getDistance(coord!$C11,coord!$D11,coord!$C$12,coord!$D$12)*1000)/$N$20</f>
        <v>5.572497415185388E-2</v>
      </c>
      <c r="O13" s="45">
        <f>(getDistance(coord!$C11,coord!$D11,coord!$C$13,coord!$D$13)*1000)/$O$20</f>
        <v>4.3871153743780165E-2</v>
      </c>
      <c r="P13" s="45">
        <f>(getDistance(coord!$C11,coord!$D11,coord!$C$14,coord!$D$14)*1000)/$P$20</f>
        <v>5.1083997047246268E-2</v>
      </c>
      <c r="Q13" s="45">
        <f>(getDistance(coord!$C11,coord!$D11,coord!$C$15,coord!$D$15)*1000)/$Q$20</f>
        <v>7.4081405748092202E-2</v>
      </c>
      <c r="R13" s="45">
        <f>(getDistance(coord!$C11,coord!$D11,coord!$C$16,coord!$D$16)*1000)/$R$20</f>
        <v>7.6744460092839653E-2</v>
      </c>
      <c r="S13" s="45">
        <f>(getDistance(coord!$C11,coord!$D11,coord!$C$17,coord!$D$17)*1000)/$S$20</f>
        <v>7.5515635864192812E-2</v>
      </c>
      <c r="T13" s="8" t="s">
        <v>24</v>
      </c>
      <c r="U13" s="17">
        <v>18</v>
      </c>
      <c r="V13" s="10">
        <v>8.2758620689655171E-2</v>
      </c>
      <c r="W13" s="10">
        <v>9.8039215686274508E-2</v>
      </c>
      <c r="X13" s="12">
        <v>6.0606060606060608E-2</v>
      </c>
      <c r="Y13" s="12">
        <v>0.11428571428571428</v>
      </c>
      <c r="Z13" s="12">
        <v>7.0175438596491224E-2</v>
      </c>
      <c r="AA13" s="12">
        <v>7.9155672823219003E-2</v>
      </c>
      <c r="AB13" s="12">
        <v>6.5217391304347824E-2</v>
      </c>
      <c r="AC13" s="12">
        <v>7.2727272727272724E-2</v>
      </c>
      <c r="AD13" s="12">
        <v>9.6000000000000002E-2</v>
      </c>
      <c r="AE13" s="12">
        <v>5.6338028169014086E-2</v>
      </c>
      <c r="AF13" s="12">
        <v>8.4337349397590355E-2</v>
      </c>
      <c r="AG13" s="12">
        <v>9.4117647058823528E-2</v>
      </c>
      <c r="AH13" s="12">
        <v>7.407407407407407E-2</v>
      </c>
      <c r="AI13" s="12">
        <v>6.5789473684210523E-2</v>
      </c>
      <c r="AJ13" s="12">
        <v>6.7567567567567571E-2</v>
      </c>
      <c r="AK13" s="12">
        <v>9.7560975609756101E-2</v>
      </c>
      <c r="AL13" s="18">
        <v>6.4220183486238536E-2</v>
      </c>
      <c r="AM13">
        <f t="shared" si="0"/>
        <v>7.8998275633312381E-2</v>
      </c>
    </row>
    <row r="14" spans="1:39" ht="15">
      <c r="A14" s="12"/>
      <c r="B14" s="17">
        <v>12</v>
      </c>
      <c r="C14" s="45">
        <f>(getDistance(coord!C12,coord!D12,coord!$C$1,coord!$D$1)*1000)/$C$20</f>
        <v>0.12442312897060948</v>
      </c>
      <c r="D14" s="45">
        <f>(getDistance(coord!C12,coord!D12,coord!$C$2,coord!$D$2)*1000)/$D$20</f>
        <v>0.12613552986261042</v>
      </c>
      <c r="E14" s="45">
        <f>(getDistance(coord!$C12,coord!$D12,coord!$C$3,coord!$D$3)*1000)/$E$20</f>
        <v>0.12486504824989027</v>
      </c>
      <c r="F14" s="45">
        <f>(getDistance(coord!$C12,coord!$D12,coord!$C$4,coord!$D$4)*1000)/$F$20</f>
        <v>9.2033808712977699E-2</v>
      </c>
      <c r="G14" s="45">
        <f>(getDistance(coord!$C12,coord!$D12,coord!$C$5,coord!$D$5)*1000)/$G$20</f>
        <v>6.8309619236441591E-2</v>
      </c>
      <c r="H14" s="45">
        <f>(getDistance(coord!$C12,coord!$D12,coord!$C$6,coord!$D$6)*1000)/$H$20</f>
        <v>5.6183082430647978E-2</v>
      </c>
      <c r="I14" s="45">
        <f>(getDistance(coord!$C12,coord!$D12,coord!$C$7,coord!$D$7)*1000)/$I$20</f>
        <v>1.722571046413977E-2</v>
      </c>
      <c r="J14" s="45">
        <f>(getDistance(coord!$C12,coord!$D12,coord!$C$8,coord!$D$8)*1000)/$J$20</f>
        <v>5.9846701388051766E-2</v>
      </c>
      <c r="K14" s="45">
        <f>(getDistance(coord!$C12,coord!$D12,coord!$C$9,coord!$D$9)*1000)/$K$20</f>
        <v>7.2221246955502236E-2</v>
      </c>
      <c r="L14" s="45">
        <f>(getDistance(coord!$C12,coord!$D12,coord!$C$10,coord!$D$10)*1000)/$L$20</f>
        <v>7.919932715662388E-2</v>
      </c>
      <c r="M14" s="45">
        <f>(getDistance(coord!$C12,coord!$D12,coord!$C$11,coord!$D$11)*1000)/$M$20</f>
        <v>8.4745254194830075E-2</v>
      </c>
      <c r="N14" s="46">
        <f>(getDistance(coord!$C12,coord!$D12,coord!$C$12,coord!$D$12)*1000)/$N$20</f>
        <v>0</v>
      </c>
      <c r="O14" s="45">
        <f>(getDistance(coord!$C12,coord!$D12,coord!$C$13,coord!$D$13)*1000)/$O$20</f>
        <v>0.10320279985749732</v>
      </c>
      <c r="P14" s="45">
        <f>(getDistance(coord!$C12,coord!$D12,coord!$C$14,coord!$D$14)*1000)/$P$20</f>
        <v>0.11958450576045555</v>
      </c>
      <c r="Q14" s="45">
        <f>(getDistance(coord!$C12,coord!$D12,coord!$C$15,coord!$D$15)*1000)/$Q$20</f>
        <v>0.10028480156895668</v>
      </c>
      <c r="R14" s="45">
        <f>(getDistance(coord!$C12,coord!$D12,coord!$C$16,coord!$D$16)*1000)/$R$20</f>
        <v>9.4494373602843837E-2</v>
      </c>
      <c r="S14" s="45">
        <f>(getDistance(coord!$C12,coord!$D12,coord!$C$17,coord!$D$17)*1000)/$S$20</f>
        <v>0.10336144240353058</v>
      </c>
      <c r="T14" s="8" t="s">
        <v>25</v>
      </c>
      <c r="U14" s="17">
        <v>19</v>
      </c>
      <c r="V14" s="10">
        <v>8.2758620689655171E-2</v>
      </c>
      <c r="W14" s="10">
        <v>9.8039215686274508E-2</v>
      </c>
      <c r="X14" s="12">
        <v>6.0606060606060608E-2</v>
      </c>
      <c r="Y14" s="12">
        <v>9.5238095238095233E-2</v>
      </c>
      <c r="Z14" s="12">
        <v>7.0175438596491224E-2</v>
      </c>
      <c r="AA14" s="12">
        <v>7.9155672823219003E-2</v>
      </c>
      <c r="AB14" s="12">
        <v>6.5217391304347824E-2</v>
      </c>
      <c r="AC14" s="12">
        <v>7.2727272727272724E-2</v>
      </c>
      <c r="AD14" s="12">
        <v>9.6000000000000002E-2</v>
      </c>
      <c r="AE14" s="12">
        <v>6.3380281690140844E-2</v>
      </c>
      <c r="AF14" s="12">
        <v>7.2289156626506021E-2</v>
      </c>
      <c r="AG14" s="12">
        <v>8.2352941176470587E-2</v>
      </c>
      <c r="AH14" s="12">
        <v>6.1728395061728392E-2</v>
      </c>
      <c r="AI14" s="12">
        <v>5.2631578947368418E-2</v>
      </c>
      <c r="AJ14" s="12">
        <v>5.4054054054054057E-2</v>
      </c>
      <c r="AK14" s="12">
        <v>8.5365853658536592E-2</v>
      </c>
      <c r="AL14" s="18">
        <v>5.5045871559633031E-2</v>
      </c>
      <c r="AM14">
        <f t="shared" si="0"/>
        <v>7.3339170614462018E-2</v>
      </c>
    </row>
    <row r="15" spans="1:39" ht="15">
      <c r="A15" s="12"/>
      <c r="B15" s="17">
        <v>13</v>
      </c>
      <c r="C15" s="45">
        <f>(getDistance(coord!C13,coord!D13,coord!$C$1,coord!$D$1)*1000)/$C$20</f>
        <v>4.3406939779412235E-2</v>
      </c>
      <c r="D15" s="45">
        <f>(getDistance(coord!C13,coord!D13,coord!$C$2,coord!$D$2)*1000)/$D$20</f>
        <v>5.5092401920754E-2</v>
      </c>
      <c r="E15" s="45">
        <f>(getDistance(coord!$C13,coord!$D13,coord!$C$3,coord!$D$3)*1000)/$E$20</f>
        <v>6.8007338920972327E-2</v>
      </c>
      <c r="F15" s="45">
        <f>(getDistance(coord!$C13,coord!$D13,coord!$C$4,coord!$D$4)*1000)/$F$20</f>
        <v>1.4438397823923838E-2</v>
      </c>
      <c r="G15" s="45">
        <f>(getDistance(coord!$C13,coord!$D13,coord!$C$5,coord!$D$5)*1000)/$G$20</f>
        <v>0.1240891523847116</v>
      </c>
      <c r="H15" s="45">
        <f>(getDistance(coord!$C13,coord!$D13,coord!$C$6,coord!$D$6)*1000)/$H$20</f>
        <v>0.11076152027668346</v>
      </c>
      <c r="I15" s="45">
        <f>(getDistance(coord!$C13,coord!$D13,coord!$C$7,coord!$D$7)*1000)/$I$20</f>
        <v>0.10772280686510681</v>
      </c>
      <c r="J15" s="45">
        <f>(getDistance(coord!$C13,coord!$D13,coord!$C$8,coord!$D$8)*1000)/$J$20</f>
        <v>0.12239524124525568</v>
      </c>
      <c r="K15" s="45">
        <f>(getDistance(coord!$C13,coord!$D13,coord!$C$9,coord!$D$9)*1000)/$K$20</f>
        <v>0.12378913316752277</v>
      </c>
      <c r="L15" s="45">
        <f>(getDistance(coord!$C13,coord!$D13,coord!$C$10,coord!$D$10)*1000)/$L$20</f>
        <v>0.11377027287175775</v>
      </c>
      <c r="M15" s="45">
        <f>(getDistance(coord!$C13,coord!$D13,coord!$C$11,coord!$D$11)*1000)/$M$20</f>
        <v>6.2662536812475564E-2</v>
      </c>
      <c r="N15" s="45">
        <f>(getDistance(coord!$C13,coord!$D13,coord!$C$12,coord!$D$12)*1000)/$N$20</f>
        <v>9.6929257430178856E-2</v>
      </c>
      <c r="O15" s="46">
        <f>(getDistance(coord!$C13,coord!$D13,coord!$C$13,coord!$D$13)*1000)/$O$20</f>
        <v>0</v>
      </c>
      <c r="P15" s="45">
        <f>(getDistance(coord!$C13,coord!$D13,coord!$C$14,coord!$D$14)*1000)/$P$20</f>
        <v>3.0320827121779963E-2</v>
      </c>
      <c r="Q15" s="45">
        <f>(getDistance(coord!$C13,coord!$D13,coord!$C$15,coord!$D$15)*1000)/$Q$20</f>
        <v>0.11247572642383664</v>
      </c>
      <c r="R15" s="45">
        <f>(getDistance(coord!$C13,coord!$D13,coord!$C$16,coord!$D$16)*1000)/$R$20</f>
        <v>9.6992800532127305E-2</v>
      </c>
      <c r="S15" s="45">
        <f>(getDistance(coord!$C13,coord!$D13,coord!$C$17,coord!$D$17)*1000)/$S$20</f>
        <v>0.10656888739771539</v>
      </c>
      <c r="T15" s="8" t="s">
        <v>26</v>
      </c>
      <c r="U15" s="17">
        <v>20</v>
      </c>
      <c r="V15" s="10">
        <v>6.2068965517241378E-2</v>
      </c>
      <c r="W15" s="10">
        <v>5.8823529411764705E-2</v>
      </c>
      <c r="X15" s="12">
        <v>6.0606060606060608E-2</v>
      </c>
      <c r="Y15" s="12">
        <v>6.6666666666666666E-2</v>
      </c>
      <c r="Z15" s="12">
        <v>6.1403508771929821E-2</v>
      </c>
      <c r="AA15" s="12">
        <v>7.9155672823219003E-2</v>
      </c>
      <c r="AB15" s="12">
        <v>4.3478260869565216E-2</v>
      </c>
      <c r="AC15" s="12">
        <v>0.16363636363636364</v>
      </c>
      <c r="AD15" s="12">
        <v>7.1999999999999995E-2</v>
      </c>
      <c r="AE15" s="12">
        <v>6.3380281690140844E-2</v>
      </c>
      <c r="AF15" s="12">
        <v>6.0240963855421686E-2</v>
      </c>
      <c r="AG15" s="12">
        <v>7.0588235294117646E-2</v>
      </c>
      <c r="AH15" s="12">
        <v>4.9382716049382713E-2</v>
      </c>
      <c r="AI15" s="12">
        <v>3.9473684210526314E-2</v>
      </c>
      <c r="AJ15" s="12">
        <v>5.4054054054054057E-2</v>
      </c>
      <c r="AK15" s="12">
        <v>7.926829268292683E-2</v>
      </c>
      <c r="AL15" s="18">
        <v>4.5871559633027525E-2</v>
      </c>
      <c r="AM15">
        <f t="shared" si="0"/>
        <v>6.647640092778874E-2</v>
      </c>
    </row>
    <row r="16" spans="1:39" ht="15">
      <c r="A16" s="12"/>
      <c r="B16" s="17">
        <v>14</v>
      </c>
      <c r="C16" s="45">
        <f>(getDistance(coord!C14,coord!D14,coord!$C$1,coord!$D$1)*1000)/$C$20</f>
        <v>1.1391037810811092E-2</v>
      </c>
      <c r="D16" s="45">
        <f>(getDistance(coord!C14,coord!D14,coord!$C$2,coord!$D$2)*1000)/$D$20</f>
        <v>2.1857505644037514E-2</v>
      </c>
      <c r="E16" s="45">
        <f>(getDistance(coord!$C14,coord!$D14,coord!$C$3,coord!$D$3)*1000)/$E$20</f>
        <v>3.5317455666289209E-2</v>
      </c>
      <c r="F16" s="45">
        <f>(getDistance(coord!$C14,coord!$D14,coord!$C$4,coord!$D$4)*1000)/$F$20</f>
        <v>3.5308611522660197E-2</v>
      </c>
      <c r="G16" s="45">
        <f>(getDistance(coord!$C14,coord!$D14,coord!$C$5,coord!$D$5)*1000)/$G$20</f>
        <v>0.10115541709631623</v>
      </c>
      <c r="H16" s="45">
        <f>(getDistance(coord!$C14,coord!$D14,coord!$C$6,coord!$D$6)*1000)/$H$20</f>
        <v>9.5442598560997072E-2</v>
      </c>
      <c r="I16" s="45">
        <f>(getDistance(coord!$C14,coord!$D14,coord!$C$7,coord!$D$7)*1000)/$I$20</f>
        <v>9.6695571475339706E-2</v>
      </c>
      <c r="J16" s="45">
        <f>(getDistance(coord!$C14,coord!$D14,coord!$C$8,coord!$D$8)*1000)/$J$20</f>
        <v>0.10192976553023066</v>
      </c>
      <c r="K16" s="45">
        <f>(getDistance(coord!$C14,coord!$D14,coord!$C$9,coord!$D$9)*1000)/$K$20</f>
        <v>9.8747671612708338E-2</v>
      </c>
      <c r="L16" s="45">
        <f>(getDistance(coord!$C14,coord!$D14,coord!$C$10,coord!$D$10)*1000)/$L$20</f>
        <v>9.1879449125607152E-2</v>
      </c>
      <c r="M16" s="45">
        <f>(getDistance(coord!$C14,coord!$D14,coord!$C$11,coord!$D$11)*1000)/$M$20</f>
        <v>5.8862551050327262E-2</v>
      </c>
      <c r="N16" s="45">
        <f>(getDistance(coord!$C14,coord!$D14,coord!$C$12,coord!$D$12)*1000)/$N$20</f>
        <v>9.0607388008584963E-2</v>
      </c>
      <c r="O16" s="45">
        <f>(getDistance(coord!$C14,coord!$D14,coord!$C$13,coord!$D$13)*1000)/$O$20</f>
        <v>2.4460556662748552E-2</v>
      </c>
      <c r="P16" s="46">
        <f>(getDistance(coord!$C14,coord!$D14,coord!$C$14,coord!$D$14)*1000)/$P$20</f>
        <v>0</v>
      </c>
      <c r="Q16" s="45">
        <f>(getDistance(coord!$C14,coord!$D14,coord!$C$15,coord!$D$15)*1000)/$Q$20</f>
        <v>8.1435855710390165E-2</v>
      </c>
      <c r="R16" s="45">
        <f>(getDistance(coord!$C14,coord!$D14,coord!$C$16,coord!$D$16)*1000)/$R$20</f>
        <v>7.0823158857472049E-2</v>
      </c>
      <c r="S16" s="45">
        <f>(getDistance(coord!$C14,coord!$D14,coord!$C$17,coord!$D$17)*1000)/$S$20</f>
        <v>7.5540162362182181E-2</v>
      </c>
      <c r="T16" s="8" t="s">
        <v>27</v>
      </c>
      <c r="U16" s="17">
        <v>21</v>
      </c>
      <c r="V16" s="10">
        <v>5.5172413793103448E-2</v>
      </c>
      <c r="W16" s="10">
        <v>3.9215686274509803E-2</v>
      </c>
      <c r="X16" s="12">
        <v>6.0606060606060608E-2</v>
      </c>
      <c r="Y16" s="12">
        <v>4.7619047619047616E-2</v>
      </c>
      <c r="Z16" s="12">
        <v>5.2631578947368418E-2</v>
      </c>
      <c r="AA16" s="12">
        <v>6.5963060686015831E-2</v>
      </c>
      <c r="AB16" s="12">
        <v>4.3478260869565216E-2</v>
      </c>
      <c r="AC16" s="12">
        <v>5.4545454545454543E-2</v>
      </c>
      <c r="AD16" s="12">
        <v>5.6000000000000001E-2</v>
      </c>
      <c r="AE16" s="12">
        <v>5.6338028169014086E-2</v>
      </c>
      <c r="AF16" s="12">
        <v>4.8192771084337352E-2</v>
      </c>
      <c r="AG16" s="12">
        <v>5.8823529411764705E-2</v>
      </c>
      <c r="AH16" s="12">
        <v>3.7037037037037035E-2</v>
      </c>
      <c r="AI16" s="12">
        <v>2.6315789473684209E-2</v>
      </c>
      <c r="AJ16" s="12">
        <v>4.0540540540540543E-2</v>
      </c>
      <c r="AK16" s="12">
        <v>7.3170731707317069E-2</v>
      </c>
      <c r="AL16" s="18">
        <v>3.669724770642202E-2</v>
      </c>
      <c r="AM16">
        <f t="shared" si="0"/>
        <v>5.0138072851249556E-2</v>
      </c>
    </row>
    <row r="17" spans="1:39" ht="15">
      <c r="A17" s="12"/>
      <c r="B17" s="17">
        <v>15</v>
      </c>
      <c r="C17" s="45">
        <f>(getDistance(coord!C15,coord!D15,coord!$C$1,coord!$D$1)*1000)/$C$20</f>
        <v>6.159839731125575E-2</v>
      </c>
      <c r="D17" s="45">
        <f>(getDistance(coord!C15,coord!D15,coord!$C$2,coord!$D$2)*1000)/$D$20</f>
        <v>5.5626049614270444E-2</v>
      </c>
      <c r="E17" s="45">
        <f>(getDistance(coord!$C15,coord!$D15,coord!$C$3,coord!$D$3)*1000)/$E$20</f>
        <v>4.9195690408532458E-2</v>
      </c>
      <c r="F17" s="45">
        <f>(getDistance(coord!$C15,coord!$D15,coord!$C$4,coord!$D$4)*1000)/$F$20</f>
        <v>7.4892785326375819E-2</v>
      </c>
      <c r="G17" s="45">
        <f>(getDistance(coord!$C15,coord!$D15,coord!$C$5,coord!$D$5)*1000)/$G$20</f>
        <v>4.088898791800083E-2</v>
      </c>
      <c r="H17" s="45">
        <f>(getDistance(coord!$C15,coord!$D15,coord!$C$6,coord!$D$6)*1000)/$H$20</f>
        <v>5.6571080039354259E-2</v>
      </c>
      <c r="I17" s="45">
        <f>(getDistance(coord!$C15,coord!$D15,coord!$C$7,coord!$D$7)*1000)/$I$20</f>
        <v>5.6781722241748413E-2</v>
      </c>
      <c r="J17" s="45">
        <f>(getDistance(coord!$C15,coord!$D15,coord!$C$8,coord!$D$8)*1000)/$J$20</f>
        <v>4.6372213769185183E-2</v>
      </c>
      <c r="K17" s="45">
        <f>(getDistance(coord!$C15,coord!$D15,coord!$C$9,coord!$D$9)*1000)/$K$20</f>
        <v>2.9732430251815069E-2</v>
      </c>
      <c r="L17" s="45">
        <f>(getDistance(coord!$C15,coord!$D15,coord!$C$10,coord!$D$10)*1000)/$L$20</f>
        <v>4.6519507142997685E-2</v>
      </c>
      <c r="M17" s="45">
        <f>(getDistance(coord!$C15,coord!$D15,coord!$C$11,coord!$D$11)*1000)/$M$20</f>
        <v>6.931954347696262E-2</v>
      </c>
      <c r="N17" s="45">
        <f>(getDistance(coord!$C15,coord!$D15,coord!$C$12,coord!$D$12)*1000)/$N$20</f>
        <v>6.1704393451557905E-2</v>
      </c>
      <c r="O17" s="45">
        <f>(getDistance(coord!$C15,coord!$D15,coord!$C$13,coord!$D$13)*1000)/$O$20</f>
        <v>7.3684538685649656E-2</v>
      </c>
      <c r="P17" s="45">
        <f>(getDistance(coord!$C15,coord!$D15,coord!$C$14,coord!$D$14)*1000)/$P$20</f>
        <v>6.6131433119642771E-2</v>
      </c>
      <c r="Q17" s="46">
        <f>(getDistance(coord!$C15,coord!$D15,coord!$C$15,coord!$D$15)*1000)/$Q$20</f>
        <v>0</v>
      </c>
      <c r="R17" s="45">
        <f>(getDistance(coord!$C15,coord!$D15,coord!$C$16,coord!$D$16)*1000)/$R$20</f>
        <v>2.3576226428328278E-2</v>
      </c>
      <c r="S17" s="45">
        <f>(getDistance(coord!$C15,coord!$D15,coord!$C$17,coord!$D$17)*1000)/$S$20</f>
        <v>9.0411429457393569E-3</v>
      </c>
      <c r="T17" s="8" t="s">
        <v>28</v>
      </c>
      <c r="U17" s="17">
        <v>22</v>
      </c>
      <c r="V17" s="10">
        <v>4.8275862068965517E-2</v>
      </c>
      <c r="W17" s="10">
        <v>1.9607843137254902E-2</v>
      </c>
      <c r="X17" s="12">
        <v>6.0606060606060608E-2</v>
      </c>
      <c r="Y17" s="12">
        <v>2.8571428571428571E-2</v>
      </c>
      <c r="Z17" s="12">
        <v>5.2631578947368418E-2</v>
      </c>
      <c r="AA17" s="12">
        <v>6.5963060686015831E-2</v>
      </c>
      <c r="AB17" s="12">
        <v>4.3478260869565216E-2</v>
      </c>
      <c r="AC17" s="12">
        <v>5.4545454545454543E-2</v>
      </c>
      <c r="AD17" s="12">
        <v>4.8000000000000001E-2</v>
      </c>
      <c r="AE17" s="12">
        <v>5.6338028169014086E-2</v>
      </c>
      <c r="AF17" s="12">
        <v>3.614457831325301E-2</v>
      </c>
      <c r="AG17" s="12">
        <v>4.7058823529411764E-2</v>
      </c>
      <c r="AH17" s="12">
        <v>3.7037037037037035E-2</v>
      </c>
      <c r="AI17" s="12">
        <v>2.6315789473684209E-2</v>
      </c>
      <c r="AJ17" s="12">
        <v>4.0540540540540543E-2</v>
      </c>
      <c r="AK17" s="12">
        <v>4.2682926829268296E-2</v>
      </c>
      <c r="AL17" s="18">
        <v>3.669724770642202E-2</v>
      </c>
      <c r="AM17">
        <f t="shared" si="0"/>
        <v>4.3793795354749684E-2</v>
      </c>
    </row>
    <row r="18" spans="1:39" ht="15">
      <c r="A18" s="10"/>
      <c r="B18" s="17">
        <v>16</v>
      </c>
      <c r="C18" s="45">
        <f>(getDistance(coord!C16,coord!D16,coord!$C$1,coord!$D$1)*1000)/$C$20</f>
        <v>7.4539863090210934E-2</v>
      </c>
      <c r="D18" s="45">
        <f>(getDistance(coord!C16,coord!D16,coord!$C$2,coord!$D$2)*1000)/$D$20</f>
        <v>6.9380858823358496E-2</v>
      </c>
      <c r="E18" s="45">
        <f>(getDistance(coord!$C16,coord!$D16,coord!$C$3,coord!$D$3)*1000)/$E$20</f>
        <v>6.8379776783968532E-2</v>
      </c>
      <c r="F18" s="45">
        <f>(getDistance(coord!$C16,coord!$D16,coord!$C$4,coord!$D$4)*1000)/$F$20</f>
        <v>8.7499184224573673E-2</v>
      </c>
      <c r="G18" s="45">
        <f>(getDistance(coord!$C16,coord!$D16,coord!$C$5,coord!$D$5)*1000)/$G$20</f>
        <v>7.3597659179639202E-2</v>
      </c>
      <c r="H18" s="45">
        <f>(getDistance(coord!$C16,coord!$D16,coord!$C$6,coord!$D$6)*1000)/$H$20</f>
        <v>8.8874981726127858E-2</v>
      </c>
      <c r="I18" s="45">
        <f>(getDistance(coord!$C16,coord!$D16,coord!$C$7,coord!$D$7)*1000)/$I$20</f>
        <v>7.6116828848675294E-2</v>
      </c>
      <c r="J18" s="45">
        <f>(getDistance(coord!$C16,coord!$D16,coord!$C$8,coord!$D$8)*1000)/$J$20</f>
        <v>7.7957113685623414E-2</v>
      </c>
      <c r="K18" s="45">
        <f>(getDistance(coord!$C16,coord!$D16,coord!$C$9,coord!$D$9)*1000)/$K$20</f>
        <v>5.7972186799735002E-2</v>
      </c>
      <c r="L18" s="45">
        <f>(getDistance(coord!$C16,coord!$D16,coord!$C$10,coord!$D$10)*1000)/$L$20</f>
        <v>8.2721052024025188E-2</v>
      </c>
      <c r="M18" s="45">
        <f>(getDistance(coord!$C16,coord!$D16,coord!$C$11,coord!$D$11)*1000)/$M$20</f>
        <v>9.708410399984746E-2</v>
      </c>
      <c r="N18" s="45">
        <f>(getDistance(coord!$C16,coord!$D16,coord!$C$12,coord!$D$12)*1000)/$N$20</f>
        <v>7.8603436061609189E-2</v>
      </c>
      <c r="O18" s="45">
        <f>(getDistance(coord!$C16,coord!$D16,coord!$C$13,coord!$D$13)*1000)/$O$20</f>
        <v>8.5903661228574124E-2</v>
      </c>
      <c r="P18" s="45">
        <f>(getDistance(coord!$C16,coord!$D16,coord!$C$14,coord!$D$14)*1000)/$P$20</f>
        <v>7.7753898977035094E-2</v>
      </c>
      <c r="Q18" s="45">
        <f>(getDistance(coord!$C16,coord!$D16,coord!$C$15,coord!$D$15)*1000)/$Q$20</f>
        <v>3.1873437683884037E-2</v>
      </c>
      <c r="R18" s="46">
        <f>(getDistance(coord!$C16,coord!$D16,coord!$C$16,coord!$D$16)*1000)/$R$20</f>
        <v>0</v>
      </c>
      <c r="S18" s="45">
        <f>(getDistance(coord!$C16,coord!$D16,coord!$C$17,coord!$D$17)*1000)/$S$20</f>
        <v>2.2366467553544888E-2</v>
      </c>
      <c r="T18" s="8" t="s">
        <v>29</v>
      </c>
      <c r="U18" s="17">
        <v>23</v>
      </c>
      <c r="V18" s="12">
        <v>2.7586206896551724E-2</v>
      </c>
      <c r="W18" s="12">
        <v>1.9607843137254902E-2</v>
      </c>
      <c r="X18" s="12">
        <v>6.0606060606060608E-2</v>
      </c>
      <c r="Y18" s="12">
        <v>1.9047619047619049E-2</v>
      </c>
      <c r="Z18" s="12">
        <v>3.5087719298245612E-2</v>
      </c>
      <c r="AA18" s="12">
        <v>3.9577836411609502E-2</v>
      </c>
      <c r="AB18" s="12">
        <v>4.3478260869565216E-2</v>
      </c>
      <c r="AC18" s="12">
        <v>3.6363636363636362E-2</v>
      </c>
      <c r="AD18" s="12">
        <v>4.8000000000000001E-2</v>
      </c>
      <c r="AE18" s="12">
        <v>4.9295774647887321E-2</v>
      </c>
      <c r="AF18" s="12">
        <v>3.614457831325301E-2</v>
      </c>
      <c r="AG18" s="12">
        <v>2.3529411764705882E-2</v>
      </c>
      <c r="AH18" s="12">
        <v>2.4691358024691357E-2</v>
      </c>
      <c r="AI18" s="12">
        <v>2.6315789473684209E-2</v>
      </c>
      <c r="AJ18" s="12">
        <v>2.7027027027027029E-2</v>
      </c>
      <c r="AK18" s="12">
        <v>4.2682926829268296E-2</v>
      </c>
      <c r="AL18" s="18">
        <v>3.669724770642202E-2</v>
      </c>
      <c r="AM18">
        <f t="shared" si="0"/>
        <v>3.504348802455777E-2</v>
      </c>
    </row>
    <row r="19" spans="1:39" ht="15.75" thickBot="1">
      <c r="A19" s="10"/>
      <c r="B19" s="19">
        <v>17</v>
      </c>
      <c r="C19" s="47">
        <f>(getDistance(coord!C17,coord!D17,coord!$C$1,coord!$D$1)*1000)/$C$20</f>
        <v>6.0432531522365308E-2</v>
      </c>
      <c r="D19" s="47">
        <f>(getDistance(coord!C17,coord!D17,coord!$C$2,coord!$D$2)*1000)/$D$20</f>
        <v>5.4221091431074626E-2</v>
      </c>
      <c r="E19" s="47">
        <f>(getDistance(coord!$C17,coord!$D17,coord!$C$3,coord!$D$3)*1000)/$E$20</f>
        <v>4.9108610527564232E-2</v>
      </c>
      <c r="F19" s="47">
        <f>(getDistance(coord!$C17,coord!$D17,coord!$C$4,coord!$D$4)*1000)/$F$20</f>
        <v>7.6124360699406909E-2</v>
      </c>
      <c r="G19" s="47">
        <f>(getDistance(coord!$C17,coord!$D17,coord!$C$5,coord!$D$5)*1000)/$G$20</f>
        <v>5.1221079450713469E-2</v>
      </c>
      <c r="H19" s="47">
        <f>(getDistance(coord!$C17,coord!$D17,coord!$C$6,coord!$D$6)*1000)/$H$20</f>
        <v>6.6054212362709239E-2</v>
      </c>
      <c r="I19" s="47">
        <f>(getDistance(coord!$C17,coord!$D17,coord!$C$7,coord!$D$7)*1000)/$I$20</f>
        <v>6.3641605632909978E-2</v>
      </c>
      <c r="J19" s="47">
        <f>(getDistance(coord!$C17,coord!$D17,coord!$C$8,coord!$D$8)*1000)/$J$20</f>
        <v>5.6399985146804513E-2</v>
      </c>
      <c r="K19" s="47">
        <f>(getDistance(coord!$C17,coord!$D17,coord!$C$9,coord!$D$9)*1000)/$K$20</f>
        <v>3.9240100764582453E-2</v>
      </c>
      <c r="L19" s="47">
        <f>(getDistance(coord!$C17,coord!$D17,coord!$C$10,coord!$D$10)*1000)/$L$20</f>
        <v>5.6545865245065975E-2</v>
      </c>
      <c r="M19" s="47">
        <f>(getDistance(coord!$C17,coord!$D17,coord!$C$11,coord!$D$11)*1000)/$M$20</f>
        <v>7.5075206325497953E-2</v>
      </c>
      <c r="N19" s="47">
        <f>(getDistance(coord!$C17,coord!$D17,coord!$C$12,coord!$D$12)*1000)/$N$20</f>
        <v>6.7569810514766349E-2</v>
      </c>
      <c r="O19" s="47">
        <f>(getDistance(coord!$C17,coord!$D17,coord!$C$13,coord!$D$13)*1000)/$O$20</f>
        <v>7.4175616662935109E-2</v>
      </c>
      <c r="P19" s="47">
        <f>(getDistance(coord!$C17,coord!$D17,coord!$C$14,coord!$D$14)*1000)/$P$20</f>
        <v>6.5175347551160764E-2</v>
      </c>
      <c r="Q19" s="47">
        <f>(getDistance(coord!$C17,coord!$D17,coord!$C$15,coord!$D$15)*1000)/$Q$20</f>
        <v>9.6058656335458042E-3</v>
      </c>
      <c r="R19" s="47">
        <f>(getDistance(coord!$C17,coord!$D17,coord!$C$16,coord!$D$16)*1000)/$R$20</f>
        <v>1.757745352532147E-2</v>
      </c>
      <c r="S19" s="54">
        <f>(getDistance(coord!$C17,coord!$D17,coord!$C$17,coord!$D$17)*1000)/$S$20</f>
        <v>0</v>
      </c>
      <c r="T19" s="8" t="s">
        <v>30</v>
      </c>
      <c r="U19" s="19">
        <v>24</v>
      </c>
      <c r="V19" s="20">
        <v>2.7586206896551724E-2</v>
      </c>
      <c r="W19" s="20">
        <v>1.9607843137254902E-2</v>
      </c>
      <c r="X19" s="20">
        <v>3.0303030303030304E-2</v>
      </c>
      <c r="Y19" s="20">
        <v>1.9047619047619049E-2</v>
      </c>
      <c r="Z19" s="20">
        <v>3.5087719298245612E-2</v>
      </c>
      <c r="AA19" s="20">
        <v>3.9577836411609502E-2</v>
      </c>
      <c r="AB19" s="20">
        <v>4.3478260869565216E-2</v>
      </c>
      <c r="AC19" s="20">
        <v>3.6363636363636362E-2</v>
      </c>
      <c r="AD19" s="20">
        <v>4.8000000000000001E-2</v>
      </c>
      <c r="AE19" s="20">
        <v>4.9295774647887321E-2</v>
      </c>
      <c r="AF19" s="20">
        <v>3.614457831325301E-2</v>
      </c>
      <c r="AG19" s="20">
        <v>1.1764705882352941E-2</v>
      </c>
      <c r="AH19" s="20">
        <v>1.2345679012345678E-2</v>
      </c>
      <c r="AI19" s="20">
        <v>2.6315789473684209E-2</v>
      </c>
      <c r="AJ19" s="20">
        <v>2.7027027027027029E-2</v>
      </c>
      <c r="AK19" s="20">
        <v>3.6585365853658534E-2</v>
      </c>
      <c r="AL19" s="21">
        <v>2.7522935779816515E-2</v>
      </c>
      <c r="AM19">
        <f t="shared" si="0"/>
        <v>3.0944353430443401E-2</v>
      </c>
    </row>
    <row r="20" spans="1:39" ht="15" thickBot="1">
      <c r="B20" s="7"/>
      <c r="C20" s="51">
        <v>3829.978895979646</v>
      </c>
      <c r="D20" s="51">
        <v>3616.0678119784002</v>
      </c>
      <c r="E20" s="51">
        <v>3314.493706896405</v>
      </c>
      <c r="F20" s="51">
        <v>5923.847449148986</v>
      </c>
      <c r="G20" s="51">
        <v>3181.8203817365966</v>
      </c>
      <c r="H20" s="51">
        <v>3344.9676701526337</v>
      </c>
      <c r="I20" s="51">
        <v>4701.4158231582978</v>
      </c>
      <c r="J20" s="51">
        <v>3279.0662518609661</v>
      </c>
      <c r="K20" s="51">
        <v>3381.4512311458216</v>
      </c>
      <c r="L20" s="51">
        <v>3016.9392764720842</v>
      </c>
      <c r="M20" s="51">
        <v>3662.8594091928085</v>
      </c>
      <c r="N20" s="51">
        <v>5570.3920268510847</v>
      </c>
      <c r="O20" s="51">
        <v>5231.7763035809749</v>
      </c>
      <c r="P20" s="51">
        <v>4220.6025649162793</v>
      </c>
      <c r="Q20" s="51">
        <v>3427.4152805487406</v>
      </c>
      <c r="R20" s="51">
        <v>4633.6298853195376</v>
      </c>
      <c r="S20" s="51">
        <v>3641.4965290232485</v>
      </c>
      <c r="V20">
        <v>725</v>
      </c>
      <c r="W20">
        <v>255</v>
      </c>
      <c r="X20">
        <v>165</v>
      </c>
      <c r="Y20">
        <v>525</v>
      </c>
      <c r="Z20">
        <v>570</v>
      </c>
      <c r="AA20">
        <v>379</v>
      </c>
      <c r="AB20">
        <v>230</v>
      </c>
      <c r="AC20">
        <v>275</v>
      </c>
      <c r="AD20">
        <v>625</v>
      </c>
      <c r="AE20">
        <v>710</v>
      </c>
      <c r="AF20">
        <v>415</v>
      </c>
      <c r="AG20">
        <v>425</v>
      </c>
      <c r="AH20">
        <v>405</v>
      </c>
      <c r="AI20">
        <v>380</v>
      </c>
      <c r="AJ20">
        <v>370</v>
      </c>
      <c r="AK20">
        <v>820</v>
      </c>
      <c r="AL20">
        <v>545</v>
      </c>
    </row>
    <row r="21" spans="1:39">
      <c r="A21" s="67" t="s">
        <v>4</v>
      </c>
      <c r="B21" s="14" t="s">
        <v>7</v>
      </c>
      <c r="C21" s="61" t="s">
        <v>9</v>
      </c>
      <c r="D21" s="61" t="s">
        <v>61</v>
      </c>
      <c r="E21" s="61" t="s">
        <v>62</v>
      </c>
      <c r="F21" s="61" t="s">
        <v>63</v>
      </c>
      <c r="G21" s="61" t="s">
        <v>59</v>
      </c>
      <c r="H21" s="62" t="s">
        <v>60</v>
      </c>
      <c r="U21" s="60" t="s">
        <v>12</v>
      </c>
      <c r="V21" s="61">
        <v>1</v>
      </c>
      <c r="W21" s="61">
        <v>2</v>
      </c>
      <c r="X21" s="61">
        <v>3</v>
      </c>
      <c r="Y21" s="61">
        <v>4</v>
      </c>
      <c r="Z21" s="61">
        <v>5</v>
      </c>
      <c r="AA21" s="61">
        <v>6</v>
      </c>
      <c r="AB21" s="61">
        <v>7</v>
      </c>
      <c r="AC21" s="61">
        <v>8</v>
      </c>
      <c r="AD21" s="61">
        <v>9</v>
      </c>
      <c r="AE21" s="61">
        <v>10</v>
      </c>
      <c r="AF21" s="61">
        <v>11</v>
      </c>
      <c r="AG21" s="61">
        <v>12</v>
      </c>
      <c r="AH21" s="61">
        <v>13</v>
      </c>
      <c r="AI21" s="61">
        <v>14</v>
      </c>
      <c r="AJ21" s="61">
        <v>15</v>
      </c>
      <c r="AK21" s="61">
        <v>16</v>
      </c>
      <c r="AL21" s="62">
        <v>17</v>
      </c>
    </row>
    <row r="22" spans="1:39">
      <c r="A22" s="17">
        <v>8</v>
      </c>
      <c r="B22" s="17">
        <v>16</v>
      </c>
      <c r="C22" s="4" t="str">
        <f>VLOOKUP(B22,$B$3:$T$19,19,1)</f>
        <v>Space Mtn</v>
      </c>
      <c r="D22" s="49">
        <f>ABS(E22)</f>
        <v>0</v>
      </c>
      <c r="E22" s="12"/>
      <c r="F22" s="12">
        <f>INDEX($U$2:$AL$19,MATCH(A22,$U$2:$U$19,0),MATCH(B22,$U$2:$AL$2,0))</f>
        <v>1.8292682926829267E-2</v>
      </c>
      <c r="G22" s="12"/>
      <c r="H22" s="18">
        <f>INDEX($U$21:$AL$38,MATCH(A22,$U$21:$U$38,0),MATCH(B22,$U$21:$AL$21,0))</f>
        <v>14.999999999999998</v>
      </c>
      <c r="M22" t="s">
        <v>17</v>
      </c>
      <c r="U22" s="17">
        <v>8</v>
      </c>
      <c r="V22" s="12">
        <f t="shared" ref="V22:AL36" si="1">V3*V$20</f>
        <v>10</v>
      </c>
      <c r="W22" s="12">
        <f t="shared" si="1"/>
        <v>5</v>
      </c>
      <c r="X22" s="12">
        <f t="shared" si="1"/>
        <v>10</v>
      </c>
      <c r="Y22" s="12">
        <f t="shared" si="1"/>
        <v>5.0000000000000009</v>
      </c>
      <c r="Z22" s="12">
        <f t="shared" si="1"/>
        <v>15</v>
      </c>
      <c r="AA22" s="12">
        <f t="shared" si="1"/>
        <v>5</v>
      </c>
      <c r="AB22" s="12">
        <f t="shared" si="1"/>
        <v>5</v>
      </c>
      <c r="AC22" s="12">
        <f t="shared" si="1"/>
        <v>5</v>
      </c>
      <c r="AD22" s="12">
        <f t="shared" si="1"/>
        <v>5</v>
      </c>
      <c r="AE22" s="12">
        <f t="shared" si="1"/>
        <v>35</v>
      </c>
      <c r="AF22" s="12">
        <f t="shared" si="1"/>
        <v>5</v>
      </c>
      <c r="AG22" s="12">
        <f t="shared" si="1"/>
        <v>5</v>
      </c>
      <c r="AH22" s="12">
        <f t="shared" si="1"/>
        <v>5</v>
      </c>
      <c r="AI22" s="12">
        <f t="shared" si="1"/>
        <v>5</v>
      </c>
      <c r="AJ22" s="12">
        <f t="shared" si="1"/>
        <v>5</v>
      </c>
      <c r="AK22" s="12">
        <f t="shared" si="1"/>
        <v>14.999999999999998</v>
      </c>
      <c r="AL22" s="18">
        <f t="shared" si="1"/>
        <v>5</v>
      </c>
    </row>
    <row r="23" spans="1:39">
      <c r="A23" s="17">
        <v>9</v>
      </c>
      <c r="B23" s="17">
        <v>17</v>
      </c>
      <c r="C23" s="4" t="str">
        <f t="shared" ref="C23:C38" si="2">VLOOKUP(B23,$B$3:$T$19,19,1)</f>
        <v>Star Tours</v>
      </c>
      <c r="D23" s="49">
        <f t="shared" ref="D23:D38" si="3">ABS(E23)</f>
        <v>2.2366467553544888E-2</v>
      </c>
      <c r="E23" s="38">
        <f t="shared" ref="E23:E38" si="4">INDEX($B$2:$S$19,MATCH(B22,$B$2:$B$19,0),MATCH(B23,$B$2:$S$2,0))</f>
        <v>2.2366467553544888E-2</v>
      </c>
      <c r="F23" s="12">
        <f t="shared" ref="F23:F38" si="5">INDEX($U$2:$AL$19,MATCH(A23,$U$2:$U$19,0),MATCH(B23,$U$2:$AL$2,0))</f>
        <v>3.669724770642202E-2</v>
      </c>
      <c r="G23" s="38">
        <f>INDEX($U$39:$AL$56,MATCH(B22,$U$39:$U$56,0),MATCH(B23,$U$39:$AL$39,0))</f>
        <v>81.447413962744818</v>
      </c>
      <c r="H23" s="18">
        <f t="shared" ref="H23:H38" si="6">INDEX($U$21:$AL$38,MATCH(A23,$U$21:$U$38,0),MATCH(B23,$U$21:$AL$21,0))</f>
        <v>20</v>
      </c>
      <c r="M23" t="s">
        <v>14</v>
      </c>
      <c r="U23" s="17">
        <v>9</v>
      </c>
      <c r="V23" s="12">
        <f t="shared" si="1"/>
        <v>25</v>
      </c>
      <c r="W23" s="12">
        <f t="shared" si="1"/>
        <v>5</v>
      </c>
      <c r="X23" s="12">
        <f t="shared" si="1"/>
        <v>10</v>
      </c>
      <c r="Y23" s="12">
        <f t="shared" si="1"/>
        <v>5.0000000000000009</v>
      </c>
      <c r="Z23" s="12">
        <f t="shared" si="1"/>
        <v>25</v>
      </c>
      <c r="AA23" s="12">
        <f t="shared" si="1"/>
        <v>5</v>
      </c>
      <c r="AB23" s="12">
        <f t="shared" si="1"/>
        <v>5</v>
      </c>
      <c r="AC23" s="12">
        <f t="shared" si="1"/>
        <v>5</v>
      </c>
      <c r="AD23" s="12">
        <f t="shared" si="1"/>
        <v>10</v>
      </c>
      <c r="AE23" s="12">
        <f t="shared" si="1"/>
        <v>40</v>
      </c>
      <c r="AF23" s="12">
        <f t="shared" si="1"/>
        <v>10</v>
      </c>
      <c r="AG23" s="12">
        <f t="shared" si="1"/>
        <v>10</v>
      </c>
      <c r="AH23" s="12">
        <f t="shared" si="1"/>
        <v>10</v>
      </c>
      <c r="AI23" s="12">
        <f t="shared" si="1"/>
        <v>15</v>
      </c>
      <c r="AJ23" s="12">
        <f t="shared" si="1"/>
        <v>15</v>
      </c>
      <c r="AK23" s="12">
        <f t="shared" si="1"/>
        <v>20</v>
      </c>
      <c r="AL23" s="18">
        <f t="shared" si="1"/>
        <v>20</v>
      </c>
    </row>
    <row r="24" spans="1:39">
      <c r="A24" s="17">
        <v>10</v>
      </c>
      <c r="B24" s="17">
        <v>15</v>
      </c>
      <c r="C24" s="4" t="str">
        <f t="shared" si="2"/>
        <v>Buzz Lightyear</v>
      </c>
      <c r="D24" s="49">
        <f t="shared" si="3"/>
        <v>9.6058656335458042E-3</v>
      </c>
      <c r="E24" s="38">
        <f t="shared" si="4"/>
        <v>9.6058656335458042E-3</v>
      </c>
      <c r="F24" s="12">
        <f t="shared" si="5"/>
        <v>6.7567567567567571E-2</v>
      </c>
      <c r="G24" s="38">
        <f t="shared" ref="G24:G38" si="7">INDEX($U$39:$AL$56,MATCH(B23,$U$39:$U$56,0),MATCH(B24,$U$39:$AL$39,0))</f>
        <v>32.923290655312897</v>
      </c>
      <c r="H24" s="18">
        <f t="shared" si="6"/>
        <v>25</v>
      </c>
      <c r="M24" t="s">
        <v>25</v>
      </c>
      <c r="U24" s="17">
        <v>10</v>
      </c>
      <c r="V24" s="12">
        <f t="shared" si="1"/>
        <v>35</v>
      </c>
      <c r="W24" s="12">
        <f t="shared" si="1"/>
        <v>10</v>
      </c>
      <c r="X24" s="12">
        <f t="shared" si="1"/>
        <v>10</v>
      </c>
      <c r="Y24" s="12">
        <f t="shared" si="1"/>
        <v>10.000000000000002</v>
      </c>
      <c r="Z24" s="12">
        <f t="shared" si="1"/>
        <v>35</v>
      </c>
      <c r="AA24" s="12">
        <f t="shared" si="1"/>
        <v>10</v>
      </c>
      <c r="AB24" s="12">
        <f t="shared" si="1"/>
        <v>10</v>
      </c>
      <c r="AC24" s="12">
        <f t="shared" si="1"/>
        <v>10</v>
      </c>
      <c r="AD24" s="12">
        <f t="shared" si="1"/>
        <v>15</v>
      </c>
      <c r="AE24" s="12">
        <f t="shared" si="1"/>
        <v>45</v>
      </c>
      <c r="AF24" s="12">
        <f t="shared" si="1"/>
        <v>15</v>
      </c>
      <c r="AG24" s="12">
        <f t="shared" si="1"/>
        <v>15</v>
      </c>
      <c r="AH24" s="12">
        <f t="shared" si="1"/>
        <v>15</v>
      </c>
      <c r="AI24" s="12">
        <f t="shared" si="1"/>
        <v>25</v>
      </c>
      <c r="AJ24" s="12">
        <f t="shared" si="1"/>
        <v>25</v>
      </c>
      <c r="AK24" s="12">
        <f t="shared" si="1"/>
        <v>25</v>
      </c>
      <c r="AL24" s="18">
        <f t="shared" si="1"/>
        <v>35</v>
      </c>
    </row>
    <row r="25" spans="1:39">
      <c r="A25" s="17">
        <v>11</v>
      </c>
      <c r="B25" s="17">
        <v>9</v>
      </c>
      <c r="C25" s="4" t="str">
        <f t="shared" si="2"/>
        <v>Matterhorn</v>
      </c>
      <c r="D25" s="49">
        <f t="shared" si="3"/>
        <v>2.9732430251815069E-2</v>
      </c>
      <c r="E25" s="38">
        <f t="shared" si="4"/>
        <v>2.9732430251815069E-2</v>
      </c>
      <c r="F25" s="12">
        <f t="shared" si="5"/>
        <v>3.2000000000000001E-2</v>
      </c>
      <c r="G25" s="38">
        <f t="shared" si="7"/>
        <v>100.53876287995733</v>
      </c>
      <c r="H25" s="18">
        <f t="shared" si="6"/>
        <v>20</v>
      </c>
      <c r="M25" t="s">
        <v>29</v>
      </c>
      <c r="U25" s="17">
        <v>11</v>
      </c>
      <c r="V25" s="12">
        <f t="shared" si="1"/>
        <v>40</v>
      </c>
      <c r="W25" s="12">
        <f t="shared" si="1"/>
        <v>15</v>
      </c>
      <c r="X25" s="12">
        <f t="shared" si="1"/>
        <v>10</v>
      </c>
      <c r="Y25" s="12">
        <f t="shared" si="1"/>
        <v>15</v>
      </c>
      <c r="Z25" s="12">
        <f t="shared" si="1"/>
        <v>40</v>
      </c>
      <c r="AA25" s="12">
        <f t="shared" si="1"/>
        <v>15.000000000000002</v>
      </c>
      <c r="AB25" s="12">
        <f t="shared" si="1"/>
        <v>15</v>
      </c>
      <c r="AC25" s="12">
        <f t="shared" si="1"/>
        <v>10</v>
      </c>
      <c r="AD25" s="12">
        <f t="shared" si="1"/>
        <v>20</v>
      </c>
      <c r="AE25" s="12">
        <f t="shared" si="1"/>
        <v>45</v>
      </c>
      <c r="AF25" s="12">
        <f t="shared" si="1"/>
        <v>20</v>
      </c>
      <c r="AG25" s="12">
        <f t="shared" si="1"/>
        <v>20</v>
      </c>
      <c r="AH25" s="12">
        <f t="shared" si="1"/>
        <v>25</v>
      </c>
      <c r="AI25" s="12">
        <f t="shared" si="1"/>
        <v>30</v>
      </c>
      <c r="AJ25" s="12">
        <f t="shared" si="1"/>
        <v>30</v>
      </c>
      <c r="AK25" s="12">
        <f t="shared" si="1"/>
        <v>29.999999999999996</v>
      </c>
      <c r="AL25" s="18">
        <f t="shared" si="1"/>
        <v>50</v>
      </c>
    </row>
    <row r="26" spans="1:39">
      <c r="A26" s="17">
        <v>12</v>
      </c>
      <c r="B26" s="17">
        <v>5</v>
      </c>
      <c r="C26" s="4" t="str">
        <f t="shared" si="2"/>
        <v>Alice in Wonderland</v>
      </c>
      <c r="D26" s="49">
        <f t="shared" si="3"/>
        <v>1.4494974915072205E-2</v>
      </c>
      <c r="E26" s="38">
        <f t="shared" si="4"/>
        <v>1.4494974915072205E-2</v>
      </c>
      <c r="F26" s="12">
        <f t="shared" si="5"/>
        <v>7.0175438596491224E-2</v>
      </c>
      <c r="G26" s="38">
        <f t="shared" si="7"/>
        <v>46.120406617537434</v>
      </c>
      <c r="H26" s="18">
        <f t="shared" si="6"/>
        <v>40</v>
      </c>
      <c r="M26" t="s">
        <v>28</v>
      </c>
      <c r="U26" s="17">
        <v>12</v>
      </c>
      <c r="V26" s="12">
        <f t="shared" si="1"/>
        <v>45</v>
      </c>
      <c r="W26" s="12">
        <f t="shared" si="1"/>
        <v>15</v>
      </c>
      <c r="X26" s="12">
        <f t="shared" si="1"/>
        <v>10</v>
      </c>
      <c r="Y26" s="12">
        <f t="shared" si="1"/>
        <v>25</v>
      </c>
      <c r="Z26" s="12">
        <f t="shared" si="1"/>
        <v>40</v>
      </c>
      <c r="AA26" s="12">
        <f t="shared" si="1"/>
        <v>24</v>
      </c>
      <c r="AB26" s="12">
        <f t="shared" si="1"/>
        <v>15</v>
      </c>
      <c r="AC26" s="12">
        <f t="shared" si="1"/>
        <v>15</v>
      </c>
      <c r="AD26" s="12">
        <f t="shared" si="1"/>
        <v>25</v>
      </c>
      <c r="AE26" s="12">
        <f t="shared" si="1"/>
        <v>45</v>
      </c>
      <c r="AF26" s="12">
        <f t="shared" si="1"/>
        <v>25</v>
      </c>
      <c r="AG26" s="12">
        <f t="shared" si="1"/>
        <v>25</v>
      </c>
      <c r="AH26" s="12">
        <f t="shared" si="1"/>
        <v>35</v>
      </c>
      <c r="AI26" s="12">
        <f t="shared" si="1"/>
        <v>35</v>
      </c>
      <c r="AJ26" s="12">
        <f t="shared" si="1"/>
        <v>30</v>
      </c>
      <c r="AK26" s="12">
        <f t="shared" si="1"/>
        <v>35</v>
      </c>
      <c r="AL26" s="18">
        <f t="shared" si="1"/>
        <v>50</v>
      </c>
    </row>
    <row r="27" spans="1:39">
      <c r="A27" s="17">
        <v>13</v>
      </c>
      <c r="B27" s="17">
        <v>8</v>
      </c>
      <c r="C27" s="4" t="str">
        <f t="shared" si="2"/>
        <v>Mad Tea</v>
      </c>
      <c r="D27" s="49">
        <f t="shared" si="3"/>
        <v>6.6997057360049812E-3</v>
      </c>
      <c r="E27" s="38">
        <f t="shared" si="4"/>
        <v>6.6997057360049812E-3</v>
      </c>
      <c r="F27" s="12">
        <f t="shared" si="5"/>
        <v>5.4545454545454543E-2</v>
      </c>
      <c r="G27" s="38">
        <f t="shared" si="7"/>
        <v>21.968778976333269</v>
      </c>
      <c r="H27" s="18">
        <f t="shared" si="6"/>
        <v>15</v>
      </c>
      <c r="M27" t="s">
        <v>30</v>
      </c>
      <c r="U27" s="17">
        <v>13</v>
      </c>
      <c r="V27" s="12">
        <f t="shared" si="1"/>
        <v>55</v>
      </c>
      <c r="W27" s="12">
        <f t="shared" si="1"/>
        <v>20</v>
      </c>
      <c r="X27" s="12">
        <f t="shared" si="1"/>
        <v>10</v>
      </c>
      <c r="Y27" s="12">
        <f t="shared" si="1"/>
        <v>35</v>
      </c>
      <c r="Z27" s="12">
        <f t="shared" si="1"/>
        <v>40</v>
      </c>
      <c r="AA27" s="12">
        <f t="shared" si="1"/>
        <v>30.000000000000004</v>
      </c>
      <c r="AB27" s="12">
        <f t="shared" si="1"/>
        <v>20</v>
      </c>
      <c r="AC27" s="12">
        <f t="shared" si="1"/>
        <v>15</v>
      </c>
      <c r="AD27" s="12">
        <f t="shared" si="1"/>
        <v>35</v>
      </c>
      <c r="AE27" s="12">
        <f t="shared" si="1"/>
        <v>45</v>
      </c>
      <c r="AF27" s="12">
        <f t="shared" si="1"/>
        <v>30</v>
      </c>
      <c r="AG27" s="12">
        <f t="shared" si="1"/>
        <v>30</v>
      </c>
      <c r="AH27" s="12">
        <f t="shared" si="1"/>
        <v>40</v>
      </c>
      <c r="AI27" s="12">
        <f t="shared" si="1"/>
        <v>35</v>
      </c>
      <c r="AJ27" s="12">
        <f t="shared" si="1"/>
        <v>30</v>
      </c>
      <c r="AK27" s="12">
        <f t="shared" si="1"/>
        <v>45</v>
      </c>
      <c r="AL27" s="18">
        <f t="shared" si="1"/>
        <v>50</v>
      </c>
    </row>
    <row r="28" spans="1:39">
      <c r="A28" s="17">
        <v>14</v>
      </c>
      <c r="B28" s="17">
        <v>12</v>
      </c>
      <c r="C28" s="4" t="str">
        <f t="shared" si="2"/>
        <v>Toon Spin</v>
      </c>
      <c r="D28" s="49">
        <f t="shared" si="3"/>
        <v>3.5229351517956919E-2</v>
      </c>
      <c r="E28" s="38">
        <f t="shared" si="4"/>
        <v>3.5229351517956919E-2</v>
      </c>
      <c r="F28" s="12">
        <f t="shared" si="5"/>
        <v>8.2352941176470587E-2</v>
      </c>
      <c r="G28" s="38">
        <f t="shared" si="7"/>
        <v>196.24129880676139</v>
      </c>
      <c r="H28" s="18">
        <f t="shared" si="6"/>
        <v>35</v>
      </c>
      <c r="M28" t="s">
        <v>24</v>
      </c>
      <c r="U28" s="17">
        <v>14</v>
      </c>
      <c r="V28" s="12">
        <f t="shared" si="1"/>
        <v>55</v>
      </c>
      <c r="W28" s="12">
        <f t="shared" si="1"/>
        <v>20</v>
      </c>
      <c r="X28" s="12">
        <f t="shared" si="1"/>
        <v>10</v>
      </c>
      <c r="Y28" s="12">
        <f t="shared" si="1"/>
        <v>45</v>
      </c>
      <c r="Z28" s="12">
        <f t="shared" si="1"/>
        <v>40</v>
      </c>
      <c r="AA28" s="12">
        <f t="shared" si="1"/>
        <v>30.000000000000004</v>
      </c>
      <c r="AB28" s="12">
        <f t="shared" si="1"/>
        <v>20</v>
      </c>
      <c r="AC28" s="12">
        <f t="shared" si="1"/>
        <v>20</v>
      </c>
      <c r="AD28" s="12">
        <f t="shared" si="1"/>
        <v>45</v>
      </c>
      <c r="AE28" s="12">
        <f t="shared" si="1"/>
        <v>45</v>
      </c>
      <c r="AF28" s="12">
        <f t="shared" si="1"/>
        <v>35</v>
      </c>
      <c r="AG28" s="12">
        <f t="shared" si="1"/>
        <v>35</v>
      </c>
      <c r="AH28" s="12">
        <f t="shared" si="1"/>
        <v>40</v>
      </c>
      <c r="AI28" s="12">
        <f t="shared" si="1"/>
        <v>35</v>
      </c>
      <c r="AJ28" s="12">
        <f t="shared" si="1"/>
        <v>30</v>
      </c>
      <c r="AK28" s="12">
        <f t="shared" si="1"/>
        <v>55</v>
      </c>
      <c r="AL28" s="18">
        <f t="shared" si="1"/>
        <v>45</v>
      </c>
    </row>
    <row r="29" spans="1:39">
      <c r="A29" s="17">
        <v>15</v>
      </c>
      <c r="B29" s="17">
        <v>7</v>
      </c>
      <c r="C29" s="29" t="str">
        <f t="shared" si="2"/>
        <v>Small World</v>
      </c>
      <c r="D29" s="48">
        <f t="shared" si="3"/>
        <v>1.722571046413977E-2</v>
      </c>
      <c r="E29" s="36">
        <f t="shared" si="4"/>
        <v>1.722571046413977E-2</v>
      </c>
      <c r="F29" s="27">
        <f t="shared" si="5"/>
        <v>8.6956521739130432E-2</v>
      </c>
      <c r="G29" s="38">
        <f t="shared" si="7"/>
        <v>80.985227741250185</v>
      </c>
      <c r="H29" s="18">
        <f t="shared" si="6"/>
        <v>20</v>
      </c>
      <c r="M29" t="s">
        <v>26</v>
      </c>
      <c r="U29" s="17">
        <v>15</v>
      </c>
      <c r="V29" s="12">
        <f t="shared" si="1"/>
        <v>60</v>
      </c>
      <c r="W29" s="12">
        <f t="shared" si="1"/>
        <v>25</v>
      </c>
      <c r="X29" s="12">
        <f t="shared" si="1"/>
        <v>10</v>
      </c>
      <c r="Y29" s="12">
        <f t="shared" si="1"/>
        <v>60</v>
      </c>
      <c r="Z29" s="12">
        <f t="shared" si="1"/>
        <v>40</v>
      </c>
      <c r="AA29" s="12">
        <f t="shared" si="1"/>
        <v>30.000000000000004</v>
      </c>
      <c r="AB29" s="12">
        <f t="shared" si="1"/>
        <v>20</v>
      </c>
      <c r="AC29" s="12">
        <f t="shared" si="1"/>
        <v>20</v>
      </c>
      <c r="AD29" s="12">
        <f t="shared" si="1"/>
        <v>60</v>
      </c>
      <c r="AE29" s="12">
        <f t="shared" si="1"/>
        <v>45</v>
      </c>
      <c r="AF29" s="12">
        <f t="shared" si="1"/>
        <v>40</v>
      </c>
      <c r="AG29" s="12">
        <f t="shared" si="1"/>
        <v>40</v>
      </c>
      <c r="AH29" s="12">
        <f t="shared" si="1"/>
        <v>40</v>
      </c>
      <c r="AI29" s="12">
        <f t="shared" si="1"/>
        <v>35</v>
      </c>
      <c r="AJ29" s="12">
        <f t="shared" si="1"/>
        <v>30</v>
      </c>
      <c r="AK29" s="12">
        <f t="shared" si="1"/>
        <v>65</v>
      </c>
      <c r="AL29" s="18">
        <f t="shared" si="1"/>
        <v>45</v>
      </c>
    </row>
    <row r="30" spans="1:39">
      <c r="A30" s="17">
        <v>16</v>
      </c>
      <c r="B30" s="17">
        <v>6</v>
      </c>
      <c r="C30" s="4" t="str">
        <f t="shared" si="2"/>
        <v>Dumbo</v>
      </c>
      <c r="D30" s="49">
        <f t="shared" si="3"/>
        <v>4.0988037398308211E-2</v>
      </c>
      <c r="E30" s="38">
        <f t="shared" si="4"/>
        <v>4.0988037398308211E-2</v>
      </c>
      <c r="F30" s="1">
        <f t="shared" si="5"/>
        <v>7.9155672823219003E-2</v>
      </c>
      <c r="G30" s="38">
        <f t="shared" si="7"/>
        <v>137.10365996034804</v>
      </c>
      <c r="H30" s="18">
        <f t="shared" si="6"/>
        <v>30.000000000000004</v>
      </c>
      <c r="M30" t="s">
        <v>22</v>
      </c>
      <c r="U30" s="17">
        <v>16</v>
      </c>
      <c r="V30" s="12">
        <f t="shared" si="1"/>
        <v>60</v>
      </c>
      <c r="W30" s="12">
        <f t="shared" si="1"/>
        <v>25</v>
      </c>
      <c r="X30" s="12">
        <f t="shared" si="1"/>
        <v>10</v>
      </c>
      <c r="Y30" s="12">
        <f t="shared" si="1"/>
        <v>60</v>
      </c>
      <c r="Z30" s="12">
        <f t="shared" si="1"/>
        <v>40</v>
      </c>
      <c r="AA30" s="12">
        <f t="shared" si="1"/>
        <v>30.000000000000004</v>
      </c>
      <c r="AB30" s="12">
        <f t="shared" si="1"/>
        <v>20</v>
      </c>
      <c r="AC30" s="12">
        <f t="shared" si="1"/>
        <v>20</v>
      </c>
      <c r="AD30" s="12">
        <f t="shared" si="1"/>
        <v>60</v>
      </c>
      <c r="AE30" s="12">
        <f t="shared" si="1"/>
        <v>45</v>
      </c>
      <c r="AF30" s="12">
        <f t="shared" si="1"/>
        <v>40</v>
      </c>
      <c r="AG30" s="12">
        <f t="shared" si="1"/>
        <v>40</v>
      </c>
      <c r="AH30" s="12">
        <f t="shared" si="1"/>
        <v>40</v>
      </c>
      <c r="AI30" s="12">
        <f t="shared" si="1"/>
        <v>35</v>
      </c>
      <c r="AJ30" s="12">
        <f t="shared" si="1"/>
        <v>30</v>
      </c>
      <c r="AK30" s="12">
        <f t="shared" si="1"/>
        <v>75</v>
      </c>
      <c r="AL30" s="18">
        <f t="shared" si="1"/>
        <v>40</v>
      </c>
    </row>
    <row r="31" spans="1:39">
      <c r="A31" s="17">
        <v>17</v>
      </c>
      <c r="B31" s="17">
        <v>10</v>
      </c>
      <c r="C31" s="4" t="str">
        <f t="shared" si="2"/>
        <v>Peter Pan</v>
      </c>
      <c r="D31" s="49">
        <f t="shared" si="3"/>
        <v>1.8268829617316084E-2</v>
      </c>
      <c r="E31" s="38">
        <f t="shared" si="4"/>
        <v>1.8268829617316084E-2</v>
      </c>
      <c r="F31" s="1">
        <f t="shared" si="5"/>
        <v>5.6338028169014086E-2</v>
      </c>
      <c r="G31" s="38">
        <f t="shared" si="7"/>
        <v>55.11594960765737</v>
      </c>
      <c r="H31" s="18">
        <f t="shared" si="6"/>
        <v>40</v>
      </c>
      <c r="U31" s="17">
        <v>17</v>
      </c>
      <c r="V31" s="12">
        <f t="shared" si="1"/>
        <v>60</v>
      </c>
      <c r="W31" s="12">
        <f t="shared" si="1"/>
        <v>25</v>
      </c>
      <c r="X31" s="12">
        <f t="shared" si="1"/>
        <v>10</v>
      </c>
      <c r="Y31" s="12">
        <f t="shared" si="1"/>
        <v>60</v>
      </c>
      <c r="Z31" s="12">
        <f t="shared" si="1"/>
        <v>40</v>
      </c>
      <c r="AA31" s="12">
        <f t="shared" si="1"/>
        <v>30.000000000000004</v>
      </c>
      <c r="AB31" s="12">
        <f t="shared" si="1"/>
        <v>20</v>
      </c>
      <c r="AC31" s="12">
        <f t="shared" si="1"/>
        <v>20</v>
      </c>
      <c r="AD31" s="12">
        <f t="shared" si="1"/>
        <v>60</v>
      </c>
      <c r="AE31" s="12">
        <f t="shared" si="1"/>
        <v>40</v>
      </c>
      <c r="AF31" s="12">
        <f t="shared" si="1"/>
        <v>40</v>
      </c>
      <c r="AG31" s="12">
        <f t="shared" si="1"/>
        <v>40</v>
      </c>
      <c r="AH31" s="12">
        <f t="shared" si="1"/>
        <v>35</v>
      </c>
      <c r="AI31" s="12">
        <f t="shared" si="1"/>
        <v>30</v>
      </c>
      <c r="AJ31" s="12">
        <f t="shared" si="1"/>
        <v>30</v>
      </c>
      <c r="AK31" s="12">
        <f t="shared" si="1"/>
        <v>80</v>
      </c>
      <c r="AL31" s="18">
        <f t="shared" si="1"/>
        <v>40</v>
      </c>
    </row>
    <row r="32" spans="1:39">
      <c r="A32" s="17">
        <v>18</v>
      </c>
      <c r="B32" s="17">
        <v>11</v>
      </c>
      <c r="C32" s="24" t="str">
        <f t="shared" si="2"/>
        <v>Thunder Mtn</v>
      </c>
      <c r="D32" s="50">
        <f t="shared" si="3"/>
        <v>3.9354063672278637E-2</v>
      </c>
      <c r="E32" s="41">
        <f t="shared" si="4"/>
        <v>3.9354063672278637E-2</v>
      </c>
      <c r="F32" s="28">
        <f t="shared" si="5"/>
        <v>8.4337349397590355E-2</v>
      </c>
      <c r="G32" s="38">
        <f t="shared" si="7"/>
        <v>144.14840241197871</v>
      </c>
      <c r="H32" s="18">
        <f t="shared" si="6"/>
        <v>35</v>
      </c>
      <c r="U32" s="17">
        <v>18</v>
      </c>
      <c r="V32" s="12">
        <f t="shared" si="1"/>
        <v>60</v>
      </c>
      <c r="W32" s="12">
        <f t="shared" si="1"/>
        <v>25</v>
      </c>
      <c r="X32" s="12">
        <f t="shared" si="1"/>
        <v>10</v>
      </c>
      <c r="Y32" s="12">
        <f t="shared" si="1"/>
        <v>60</v>
      </c>
      <c r="Z32" s="12">
        <f t="shared" si="1"/>
        <v>40</v>
      </c>
      <c r="AA32" s="12">
        <f t="shared" si="1"/>
        <v>30.000000000000004</v>
      </c>
      <c r="AB32" s="12">
        <f t="shared" si="1"/>
        <v>15</v>
      </c>
      <c r="AC32" s="12">
        <f t="shared" si="1"/>
        <v>20</v>
      </c>
      <c r="AD32" s="12">
        <f t="shared" si="1"/>
        <v>60</v>
      </c>
      <c r="AE32" s="12">
        <f t="shared" si="1"/>
        <v>40</v>
      </c>
      <c r="AF32" s="12">
        <f t="shared" si="1"/>
        <v>35</v>
      </c>
      <c r="AG32" s="12">
        <f t="shared" si="1"/>
        <v>40</v>
      </c>
      <c r="AH32" s="12">
        <f t="shared" si="1"/>
        <v>30</v>
      </c>
      <c r="AI32" s="12">
        <f t="shared" si="1"/>
        <v>25</v>
      </c>
      <c r="AJ32" s="12">
        <f t="shared" si="1"/>
        <v>25</v>
      </c>
      <c r="AK32" s="12">
        <f t="shared" si="1"/>
        <v>80</v>
      </c>
      <c r="AL32" s="18">
        <f t="shared" si="1"/>
        <v>35</v>
      </c>
    </row>
    <row r="33" spans="1:38">
      <c r="A33" s="17">
        <v>19</v>
      </c>
      <c r="B33" s="17">
        <v>4</v>
      </c>
      <c r="C33" s="4" t="str">
        <f t="shared" si="2"/>
        <v>Splash Mtn</v>
      </c>
      <c r="D33" s="49">
        <f t="shared" si="3"/>
        <v>4.1105496003302211E-2</v>
      </c>
      <c r="E33" s="38">
        <f t="shared" si="4"/>
        <v>4.1105496003302211E-2</v>
      </c>
      <c r="F33" s="12">
        <f t="shared" si="5"/>
        <v>9.5238095238095233E-2</v>
      </c>
      <c r="G33" s="38">
        <f t="shared" si="7"/>
        <v>243.50268764516565</v>
      </c>
      <c r="H33" s="18">
        <f t="shared" si="6"/>
        <v>50</v>
      </c>
      <c r="U33" s="17">
        <v>19</v>
      </c>
      <c r="V33" s="12">
        <f t="shared" si="1"/>
        <v>60</v>
      </c>
      <c r="W33" s="12">
        <f t="shared" si="1"/>
        <v>25</v>
      </c>
      <c r="X33" s="12">
        <f t="shared" si="1"/>
        <v>10</v>
      </c>
      <c r="Y33" s="12">
        <f t="shared" si="1"/>
        <v>50</v>
      </c>
      <c r="Z33" s="12">
        <f t="shared" si="1"/>
        <v>40</v>
      </c>
      <c r="AA33" s="12">
        <f t="shared" si="1"/>
        <v>30.000000000000004</v>
      </c>
      <c r="AB33" s="12">
        <f t="shared" si="1"/>
        <v>15</v>
      </c>
      <c r="AC33" s="12">
        <f t="shared" si="1"/>
        <v>20</v>
      </c>
      <c r="AD33" s="12">
        <f t="shared" si="1"/>
        <v>60</v>
      </c>
      <c r="AE33" s="12">
        <f t="shared" si="1"/>
        <v>45</v>
      </c>
      <c r="AF33" s="12">
        <f t="shared" si="1"/>
        <v>30</v>
      </c>
      <c r="AG33" s="12">
        <f t="shared" si="1"/>
        <v>35</v>
      </c>
      <c r="AH33" s="12">
        <f t="shared" si="1"/>
        <v>25</v>
      </c>
      <c r="AI33" s="12">
        <f t="shared" si="1"/>
        <v>20</v>
      </c>
      <c r="AJ33" s="12">
        <f t="shared" si="1"/>
        <v>20</v>
      </c>
      <c r="AK33" s="12">
        <f t="shared" si="1"/>
        <v>70</v>
      </c>
      <c r="AL33" s="18">
        <f t="shared" si="1"/>
        <v>30</v>
      </c>
    </row>
    <row r="34" spans="1:38">
      <c r="A34" s="17">
        <v>20</v>
      </c>
      <c r="B34" s="17">
        <v>13</v>
      </c>
      <c r="C34" s="4" t="str">
        <f t="shared" si="2"/>
        <v>Haunted Mansion</v>
      </c>
      <c r="D34" s="49">
        <f t="shared" si="3"/>
        <v>1.6348341587255268E-2</v>
      </c>
      <c r="E34" s="38">
        <f t="shared" si="4"/>
        <v>1.6348341587255268E-2</v>
      </c>
      <c r="F34" s="12">
        <f t="shared" si="5"/>
        <v>4.9382716049382713E-2</v>
      </c>
      <c r="G34" s="38">
        <f t="shared" si="7"/>
        <v>85.530866119049492</v>
      </c>
      <c r="H34" s="18">
        <f t="shared" si="6"/>
        <v>20</v>
      </c>
      <c r="U34" s="17">
        <v>20</v>
      </c>
      <c r="V34" s="12">
        <f t="shared" si="1"/>
        <v>45</v>
      </c>
      <c r="W34" s="12">
        <f t="shared" si="1"/>
        <v>15</v>
      </c>
      <c r="X34" s="12">
        <f t="shared" si="1"/>
        <v>10</v>
      </c>
      <c r="Y34" s="12">
        <f t="shared" si="1"/>
        <v>35</v>
      </c>
      <c r="Z34" s="12">
        <f t="shared" si="1"/>
        <v>35</v>
      </c>
      <c r="AA34" s="12">
        <f t="shared" si="1"/>
        <v>30.000000000000004</v>
      </c>
      <c r="AB34" s="12">
        <f t="shared" si="1"/>
        <v>10</v>
      </c>
      <c r="AC34" s="12">
        <f t="shared" si="1"/>
        <v>45</v>
      </c>
      <c r="AD34" s="12">
        <f t="shared" si="1"/>
        <v>45</v>
      </c>
      <c r="AE34" s="12">
        <f t="shared" si="1"/>
        <v>45</v>
      </c>
      <c r="AF34" s="12">
        <f t="shared" si="1"/>
        <v>25</v>
      </c>
      <c r="AG34" s="12">
        <f t="shared" si="1"/>
        <v>30</v>
      </c>
      <c r="AH34" s="12">
        <f t="shared" si="1"/>
        <v>20</v>
      </c>
      <c r="AI34" s="12">
        <f t="shared" si="1"/>
        <v>15</v>
      </c>
      <c r="AJ34" s="12">
        <f t="shared" si="1"/>
        <v>20</v>
      </c>
      <c r="AK34" s="12">
        <f t="shared" si="1"/>
        <v>65</v>
      </c>
      <c r="AL34" s="18">
        <f t="shared" si="1"/>
        <v>25</v>
      </c>
    </row>
    <row r="35" spans="1:38">
      <c r="A35" s="17">
        <v>21</v>
      </c>
      <c r="B35" s="17">
        <v>14</v>
      </c>
      <c r="C35" s="4" t="str">
        <f t="shared" si="2"/>
        <v>Pirates</v>
      </c>
      <c r="D35" s="49">
        <f t="shared" si="3"/>
        <v>3.0320827121779963E-2</v>
      </c>
      <c r="E35" s="38">
        <f t="shared" si="4"/>
        <v>3.0320827121779963E-2</v>
      </c>
      <c r="F35" s="12">
        <f t="shared" si="5"/>
        <v>2.6315789473684209E-2</v>
      </c>
      <c r="G35" s="38">
        <f t="shared" si="7"/>
        <v>127.9721607205676</v>
      </c>
      <c r="H35" s="18">
        <f t="shared" si="6"/>
        <v>10</v>
      </c>
      <c r="U35" s="17">
        <v>21</v>
      </c>
      <c r="V35" s="12">
        <f t="shared" si="1"/>
        <v>40</v>
      </c>
      <c r="W35" s="12">
        <f t="shared" si="1"/>
        <v>10</v>
      </c>
      <c r="X35" s="12">
        <f t="shared" si="1"/>
        <v>10</v>
      </c>
      <c r="Y35" s="12">
        <f t="shared" si="1"/>
        <v>25</v>
      </c>
      <c r="Z35" s="12">
        <f t="shared" si="1"/>
        <v>30</v>
      </c>
      <c r="AA35" s="12">
        <f t="shared" si="1"/>
        <v>25</v>
      </c>
      <c r="AB35" s="12">
        <f t="shared" si="1"/>
        <v>10</v>
      </c>
      <c r="AC35" s="12">
        <f t="shared" si="1"/>
        <v>15</v>
      </c>
      <c r="AD35" s="12">
        <f t="shared" si="1"/>
        <v>35</v>
      </c>
      <c r="AE35" s="12">
        <f t="shared" si="1"/>
        <v>40</v>
      </c>
      <c r="AF35" s="12">
        <f t="shared" si="1"/>
        <v>20</v>
      </c>
      <c r="AG35" s="12">
        <f t="shared" si="1"/>
        <v>25</v>
      </c>
      <c r="AH35" s="12">
        <f t="shared" si="1"/>
        <v>15</v>
      </c>
      <c r="AI35" s="12">
        <f t="shared" si="1"/>
        <v>10</v>
      </c>
      <c r="AJ35" s="12">
        <f t="shared" si="1"/>
        <v>15</v>
      </c>
      <c r="AK35" s="12">
        <f t="shared" si="1"/>
        <v>59.999999999999993</v>
      </c>
      <c r="AL35" s="18">
        <f t="shared" si="1"/>
        <v>20</v>
      </c>
    </row>
    <row r="36" spans="1:38">
      <c r="A36" s="17">
        <v>22</v>
      </c>
      <c r="B36" s="17">
        <v>1</v>
      </c>
      <c r="C36" s="4" t="str">
        <f t="shared" si="2"/>
        <v>Indiana Jones</v>
      </c>
      <c r="D36" s="49">
        <f t="shared" si="3"/>
        <v>1.1391037810811092E-2</v>
      </c>
      <c r="E36" s="38">
        <f t="shared" si="4"/>
        <v>1.1391037810811092E-2</v>
      </c>
      <c r="F36" s="12">
        <f t="shared" si="5"/>
        <v>4.8275862068965517E-2</v>
      </c>
      <c r="G36" s="38">
        <f t="shared" si="7"/>
        <v>43.627434418712667</v>
      </c>
      <c r="H36" s="18">
        <f t="shared" si="6"/>
        <v>35</v>
      </c>
      <c r="U36" s="17">
        <v>22</v>
      </c>
      <c r="V36" s="12">
        <f t="shared" si="1"/>
        <v>35</v>
      </c>
      <c r="W36" s="12">
        <f t="shared" si="1"/>
        <v>5</v>
      </c>
      <c r="X36" s="12">
        <f t="shared" si="1"/>
        <v>10</v>
      </c>
      <c r="Y36" s="12">
        <f t="shared" si="1"/>
        <v>15</v>
      </c>
      <c r="Z36" s="12">
        <f t="shared" si="1"/>
        <v>30</v>
      </c>
      <c r="AA36" s="12">
        <f t="shared" si="1"/>
        <v>25</v>
      </c>
      <c r="AB36" s="12">
        <f t="shared" si="1"/>
        <v>10</v>
      </c>
      <c r="AC36" s="12">
        <f t="shared" si="1"/>
        <v>15</v>
      </c>
      <c r="AD36" s="12">
        <f t="shared" si="1"/>
        <v>30</v>
      </c>
      <c r="AE36" s="12">
        <f t="shared" si="1"/>
        <v>40</v>
      </c>
      <c r="AF36" s="12">
        <f t="shared" si="1"/>
        <v>15</v>
      </c>
      <c r="AG36" s="12">
        <f t="shared" si="1"/>
        <v>20</v>
      </c>
      <c r="AH36" s="12">
        <f t="shared" si="1"/>
        <v>15</v>
      </c>
      <c r="AI36" s="12">
        <f t="shared" si="1"/>
        <v>10</v>
      </c>
      <c r="AJ36" s="12">
        <f t="shared" si="1"/>
        <v>15</v>
      </c>
      <c r="AK36" s="12">
        <f t="shared" si="1"/>
        <v>35</v>
      </c>
      <c r="AL36" s="18">
        <f t="shared" si="1"/>
        <v>20</v>
      </c>
    </row>
    <row r="37" spans="1:38">
      <c r="A37" s="17">
        <v>23</v>
      </c>
      <c r="B37" s="17">
        <v>2</v>
      </c>
      <c r="C37" s="4" t="str">
        <f t="shared" si="2"/>
        <v>Jungle Cruise</v>
      </c>
      <c r="D37" s="49">
        <f t="shared" si="3"/>
        <v>9.7939859857844019E-3</v>
      </c>
      <c r="E37" s="38">
        <f t="shared" si="4"/>
        <v>9.7939859857844019E-3</v>
      </c>
      <c r="F37" s="12">
        <f t="shared" si="5"/>
        <v>1.9607843137254902E-2</v>
      </c>
      <c r="G37" s="38">
        <f t="shared" si="7"/>
        <v>35.41571747416252</v>
      </c>
      <c r="H37" s="18">
        <f t="shared" si="6"/>
        <v>5</v>
      </c>
      <c r="U37" s="17">
        <v>23</v>
      </c>
      <c r="V37" s="12">
        <f t="shared" ref="V37:AL38" si="8">V18*V$20</f>
        <v>20</v>
      </c>
      <c r="W37" s="12">
        <f t="shared" si="8"/>
        <v>5</v>
      </c>
      <c r="X37" s="12">
        <f t="shared" si="8"/>
        <v>10</v>
      </c>
      <c r="Y37" s="12">
        <f t="shared" si="8"/>
        <v>10.000000000000002</v>
      </c>
      <c r="Z37" s="12">
        <f t="shared" si="8"/>
        <v>20</v>
      </c>
      <c r="AA37" s="12">
        <f t="shared" si="8"/>
        <v>15.000000000000002</v>
      </c>
      <c r="AB37" s="12">
        <f t="shared" si="8"/>
        <v>10</v>
      </c>
      <c r="AC37" s="12">
        <f t="shared" si="8"/>
        <v>10</v>
      </c>
      <c r="AD37" s="12">
        <f t="shared" si="8"/>
        <v>30</v>
      </c>
      <c r="AE37" s="12">
        <f t="shared" si="8"/>
        <v>35</v>
      </c>
      <c r="AF37" s="12">
        <f t="shared" si="8"/>
        <v>15</v>
      </c>
      <c r="AG37" s="12">
        <f t="shared" si="8"/>
        <v>10</v>
      </c>
      <c r="AH37" s="12">
        <f t="shared" si="8"/>
        <v>10</v>
      </c>
      <c r="AI37" s="12">
        <f t="shared" si="8"/>
        <v>10</v>
      </c>
      <c r="AJ37" s="12">
        <f t="shared" si="8"/>
        <v>10</v>
      </c>
      <c r="AK37" s="12">
        <f t="shared" si="8"/>
        <v>35</v>
      </c>
      <c r="AL37" s="18">
        <f t="shared" si="8"/>
        <v>20</v>
      </c>
    </row>
    <row r="38" spans="1:38" ht="15" thickBot="1">
      <c r="A38" s="19">
        <v>24</v>
      </c>
      <c r="B38" s="19">
        <v>3</v>
      </c>
      <c r="C38" s="4" t="str">
        <f t="shared" si="2"/>
        <v>Tiki room</v>
      </c>
      <c r="D38" s="49">
        <f t="shared" si="3"/>
        <v>1.3406673571440857E-2</v>
      </c>
      <c r="E38" s="38">
        <f t="shared" si="4"/>
        <v>1.3406673571440857E-2</v>
      </c>
      <c r="F38" s="12">
        <f t="shared" si="5"/>
        <v>3.0303030303030304E-2</v>
      </c>
      <c r="G38" s="38">
        <f t="shared" si="7"/>
        <v>44.436335182955069</v>
      </c>
      <c r="H38" s="18">
        <f t="shared" si="6"/>
        <v>5</v>
      </c>
      <c r="U38" s="17">
        <v>24</v>
      </c>
      <c r="V38" s="12">
        <f t="shared" si="8"/>
        <v>20</v>
      </c>
      <c r="W38" s="12">
        <f t="shared" si="8"/>
        <v>5</v>
      </c>
      <c r="X38" s="12">
        <f t="shared" si="8"/>
        <v>5</v>
      </c>
      <c r="Y38" s="12">
        <f t="shared" si="8"/>
        <v>10.000000000000002</v>
      </c>
      <c r="Z38" s="12">
        <f t="shared" si="8"/>
        <v>20</v>
      </c>
      <c r="AA38" s="12">
        <f t="shared" si="8"/>
        <v>15.000000000000002</v>
      </c>
      <c r="AB38" s="12">
        <f t="shared" si="8"/>
        <v>10</v>
      </c>
      <c r="AC38" s="12">
        <f t="shared" si="8"/>
        <v>10</v>
      </c>
      <c r="AD38" s="12">
        <f t="shared" si="8"/>
        <v>30</v>
      </c>
      <c r="AE38" s="12">
        <f t="shared" si="8"/>
        <v>35</v>
      </c>
      <c r="AF38" s="12">
        <f t="shared" si="8"/>
        <v>15</v>
      </c>
      <c r="AG38" s="12">
        <f t="shared" si="8"/>
        <v>5</v>
      </c>
      <c r="AH38" s="12">
        <f t="shared" si="8"/>
        <v>5</v>
      </c>
      <c r="AI38" s="12">
        <f t="shared" si="8"/>
        <v>10</v>
      </c>
      <c r="AJ38" s="12">
        <f t="shared" si="8"/>
        <v>10</v>
      </c>
      <c r="AK38" s="12">
        <f t="shared" si="8"/>
        <v>29.999999999999996</v>
      </c>
      <c r="AL38" s="18">
        <f t="shared" si="8"/>
        <v>15</v>
      </c>
    </row>
    <row r="39" spans="1:38" ht="15.75" thickBot="1">
      <c r="A39" s="16"/>
      <c r="B39" s="12"/>
      <c r="C39" s="12"/>
      <c r="D39" s="49">
        <f>SUM(D22:D38)</f>
        <v>0.35633179884035637</v>
      </c>
      <c r="E39" s="12"/>
      <c r="F39" s="12">
        <f>SUM(F22:F38)</f>
        <v>0.93754224091860205</v>
      </c>
      <c r="G39" s="39">
        <f>SUM(G23:G38)</f>
        <v>1477.0783931804945</v>
      </c>
      <c r="H39" s="68">
        <f>SUM(H22:H38)</f>
        <v>420</v>
      </c>
      <c r="U39" s="64"/>
      <c r="V39" s="65">
        <v>1</v>
      </c>
      <c r="W39" s="65">
        <v>2</v>
      </c>
      <c r="X39" s="65">
        <v>3</v>
      </c>
      <c r="Y39" s="65">
        <v>4</v>
      </c>
      <c r="Z39" s="65">
        <v>5</v>
      </c>
      <c r="AA39" s="65">
        <v>6</v>
      </c>
      <c r="AB39" s="65">
        <v>7</v>
      </c>
      <c r="AC39" s="65">
        <v>8</v>
      </c>
      <c r="AD39" s="65">
        <v>9</v>
      </c>
      <c r="AE39" s="65">
        <v>10</v>
      </c>
      <c r="AF39" s="65">
        <v>11</v>
      </c>
      <c r="AG39" s="65">
        <v>12</v>
      </c>
      <c r="AH39" s="65">
        <v>13</v>
      </c>
      <c r="AI39" s="65">
        <v>14</v>
      </c>
      <c r="AJ39" s="65">
        <v>15</v>
      </c>
      <c r="AK39" s="65">
        <v>16</v>
      </c>
      <c r="AL39" s="66">
        <v>17</v>
      </c>
    </row>
    <row r="40" spans="1:38">
      <c r="A40" s="16"/>
      <c r="B40" s="12" t="s">
        <v>3</v>
      </c>
      <c r="C40" s="12"/>
      <c r="D40" s="69">
        <v>1</v>
      </c>
      <c r="E40" s="12"/>
      <c r="F40" s="69">
        <v>0</v>
      </c>
      <c r="G40" s="12"/>
      <c r="H40" s="18"/>
      <c r="U40" s="17">
        <v>1</v>
      </c>
      <c r="V40" s="12">
        <f>C3*C$20</f>
        <v>0</v>
      </c>
      <c r="W40" s="12">
        <f t="shared" ref="W40:AL55" si="9">D3*D$20</f>
        <v>35.41571747416252</v>
      </c>
      <c r="X40" s="12">
        <f t="shared" si="9"/>
        <v>75.235308449802986</v>
      </c>
      <c r="Y40" s="12">
        <f t="shared" si="9"/>
        <v>243.12415046854719</v>
      </c>
      <c r="Z40" s="12">
        <f t="shared" si="9"/>
        <v>285.38608101250298</v>
      </c>
      <c r="AA40" s="12">
        <f t="shared" si="9"/>
        <v>289.17855867575389</v>
      </c>
      <c r="AB40" s="12">
        <f t="shared" si="9"/>
        <v>422.239931684601</v>
      </c>
      <c r="AC40" s="12">
        <f t="shared" si="9"/>
        <v>299.18469658294089</v>
      </c>
      <c r="AD40" s="12">
        <f t="shared" si="9"/>
        <v>294.34674965435448</v>
      </c>
      <c r="AE40" s="12">
        <f t="shared" si="9"/>
        <v>243.58872607986009</v>
      </c>
      <c r="AF40" s="12">
        <f t="shared" si="9"/>
        <v>203.00393542072791</v>
      </c>
      <c r="AG40" s="12">
        <f t="shared" si="9"/>
        <v>476.53795812918798</v>
      </c>
      <c r="AH40" s="12">
        <f t="shared" si="9"/>
        <v>166.24766329420825</v>
      </c>
      <c r="AI40" s="12">
        <f t="shared" si="9"/>
        <v>43.627434418712667</v>
      </c>
      <c r="AJ40" s="12">
        <f t="shared" si="9"/>
        <v>235.9205617282789</v>
      </c>
      <c r="AK40" s="12">
        <f t="shared" si="9"/>
        <v>285.48610254472004</v>
      </c>
      <c r="AL40" s="18">
        <f t="shared" si="9"/>
        <v>231.45532036128384</v>
      </c>
    </row>
    <row r="41" spans="1:38">
      <c r="A41" s="16"/>
      <c r="B41" s="12"/>
      <c r="C41" s="12"/>
      <c r="D41" s="12"/>
      <c r="E41" s="12"/>
      <c r="F41" s="12"/>
      <c r="G41" s="12"/>
      <c r="H41" s="18"/>
      <c r="U41" s="17">
        <v>2</v>
      </c>
      <c r="V41" s="12">
        <f t="shared" ref="V41:AK56" si="10">C4*C$20</f>
        <v>35.41571747416252</v>
      </c>
      <c r="W41" s="12">
        <f t="shared" si="9"/>
        <v>0</v>
      </c>
      <c r="X41" s="12">
        <f t="shared" si="9"/>
        <v>44.436335182955069</v>
      </c>
      <c r="Y41" s="12">
        <f t="shared" si="9"/>
        <v>273.1282170184997</v>
      </c>
      <c r="Z41" s="12">
        <f t="shared" si="9"/>
        <v>257.94215654492939</v>
      </c>
      <c r="AA41" s="12">
        <f t="shared" si="9"/>
        <v>268.18432904191525</v>
      </c>
      <c r="AB41" s="12">
        <f t="shared" si="9"/>
        <v>398.14575455830294</v>
      </c>
      <c r="AC41" s="12">
        <f t="shared" si="9"/>
        <v>273.11509923526529</v>
      </c>
      <c r="AD41" s="12">
        <f t="shared" si="9"/>
        <v>263.58393767409399</v>
      </c>
      <c r="AE41" s="12">
        <f t="shared" si="9"/>
        <v>219.53121870866025</v>
      </c>
      <c r="AF41" s="12">
        <f t="shared" si="9"/>
        <v>200.11373184634655</v>
      </c>
      <c r="AG41" s="12">
        <f t="shared" si="9"/>
        <v>456.11462948302591</v>
      </c>
      <c r="AH41" s="12">
        <f t="shared" si="9"/>
        <v>199.21786127021554</v>
      </c>
      <c r="AI41" s="12">
        <f t="shared" si="9"/>
        <v>79.03822260954027</v>
      </c>
      <c r="AJ41" s="12">
        <f t="shared" si="9"/>
        <v>201.14756751767686</v>
      </c>
      <c r="AK41" s="12">
        <f t="shared" si="9"/>
        <v>250.88589035856424</v>
      </c>
      <c r="AL41" s="18">
        <f t="shared" si="9"/>
        <v>196.0671434542468</v>
      </c>
    </row>
    <row r="42" spans="1:38" ht="15" thickBot="1">
      <c r="A42" s="63"/>
      <c r="B42" s="20"/>
      <c r="C42" s="70">
        <f>D39*D40</f>
        <v>0.35633179884035637</v>
      </c>
      <c r="D42" s="20"/>
      <c r="E42" s="20">
        <f>F39*F40</f>
        <v>0</v>
      </c>
      <c r="F42" s="20" t="s">
        <v>8</v>
      </c>
      <c r="G42" s="20"/>
      <c r="H42" s="71">
        <f>E42+C42</f>
        <v>0.35633179884035637</v>
      </c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U42" s="17">
        <v>3</v>
      </c>
      <c r="V42" s="12">
        <f t="shared" si="10"/>
        <v>75.235308449802986</v>
      </c>
      <c r="W42" s="12">
        <f t="shared" si="9"/>
        <v>44.436335182955069</v>
      </c>
      <c r="X42" s="12">
        <f t="shared" si="9"/>
        <v>0</v>
      </c>
      <c r="Y42" s="12">
        <f t="shared" si="9"/>
        <v>291.68873208474383</v>
      </c>
      <c r="Z42" s="12">
        <f t="shared" si="9"/>
        <v>213.54567105456343</v>
      </c>
      <c r="AA42" s="12">
        <f t="shared" si="9"/>
        <v>226.12164826396045</v>
      </c>
      <c r="AB42" s="12">
        <f t="shared" si="9"/>
        <v>354.40223799523591</v>
      </c>
      <c r="AC42" s="12">
        <f t="shared" si="9"/>
        <v>228.93534948956807</v>
      </c>
      <c r="AD42" s="12">
        <f t="shared" si="9"/>
        <v>219.64957303895184</v>
      </c>
      <c r="AE42" s="12">
        <f t="shared" si="9"/>
        <v>176.13361760590169</v>
      </c>
      <c r="AF42" s="12">
        <f t="shared" si="9"/>
        <v>175.53810902631469</v>
      </c>
      <c r="AG42" s="12">
        <f t="shared" si="9"/>
        <v>413.86441663557724</v>
      </c>
      <c r="AH42" s="12">
        <f t="shared" si="9"/>
        <v>225.40989687633373</v>
      </c>
      <c r="AI42" s="12">
        <f t="shared" si="9"/>
        <v>117.05948454950837</v>
      </c>
      <c r="AJ42" s="12">
        <f t="shared" si="9"/>
        <v>163.05880626550467</v>
      </c>
      <c r="AK42" s="12">
        <f t="shared" si="9"/>
        <v>226.64433982944462</v>
      </c>
      <c r="AL42" s="18">
        <f t="shared" si="9"/>
        <v>162.77018054803818</v>
      </c>
    </row>
    <row r="43" spans="1:38">
      <c r="U43" s="17">
        <v>4</v>
      </c>
      <c r="V43" s="12">
        <f t="shared" si="10"/>
        <v>243.12415046854719</v>
      </c>
      <c r="W43" s="12">
        <f t="shared" si="9"/>
        <v>273.1282170184997</v>
      </c>
      <c r="X43" s="12">
        <f t="shared" si="9"/>
        <v>291.68873208474383</v>
      </c>
      <c r="Y43" s="12">
        <f t="shared" si="9"/>
        <v>0</v>
      </c>
      <c r="Z43" s="12">
        <f t="shared" si="9"/>
        <v>430.58523917795372</v>
      </c>
      <c r="AA43" s="12">
        <f t="shared" si="9"/>
        <v>393.65678799828754</v>
      </c>
      <c r="AB43" s="12">
        <f t="shared" si="9"/>
        <v>523.92586826058493</v>
      </c>
      <c r="AC43" s="12">
        <f t="shared" si="9"/>
        <v>433.02117322658592</v>
      </c>
      <c r="AD43" s="12">
        <f t="shared" si="9"/>
        <v>460.99990848306385</v>
      </c>
      <c r="AE43" s="12">
        <f t="shared" si="9"/>
        <v>377.39239285121079</v>
      </c>
      <c r="AF43" s="12">
        <f t="shared" si="9"/>
        <v>243.50268764516562</v>
      </c>
      <c r="AG43" s="12">
        <f t="shared" si="9"/>
        <v>545.19424297983869</v>
      </c>
      <c r="AH43" s="12">
        <f t="shared" si="9"/>
        <v>85.530866119049492</v>
      </c>
      <c r="AI43" s="12">
        <f t="shared" si="9"/>
        <v>209.16282830150311</v>
      </c>
      <c r="AJ43" s="12">
        <f t="shared" si="9"/>
        <v>443.65343531531391</v>
      </c>
      <c r="AK43" s="12">
        <f t="shared" si="9"/>
        <v>518.33181927135797</v>
      </c>
      <c r="AL43" s="18">
        <f t="shared" si="9"/>
        <v>450.94909994727891</v>
      </c>
    </row>
    <row r="44" spans="1:38">
      <c r="U44" s="17">
        <v>5</v>
      </c>
      <c r="V44" s="12">
        <f t="shared" si="10"/>
        <v>285.38608101250298</v>
      </c>
      <c r="W44" s="12">
        <f t="shared" si="9"/>
        <v>257.94215654492939</v>
      </c>
      <c r="X44" s="12">
        <f t="shared" si="9"/>
        <v>213.54567105456346</v>
      </c>
      <c r="Y44" s="12">
        <f t="shared" si="9"/>
        <v>430.58523917795367</v>
      </c>
      <c r="Z44" s="12">
        <f t="shared" si="9"/>
        <v>0</v>
      </c>
      <c r="AA44" s="12">
        <f t="shared" si="9"/>
        <v>69.455125502039664</v>
      </c>
      <c r="AB44" s="12">
        <f t="shared" si="9"/>
        <v>146.08932876096961</v>
      </c>
      <c r="AC44" s="12">
        <f t="shared" si="9"/>
        <v>21.968778976333269</v>
      </c>
      <c r="AD44" s="12">
        <f t="shared" si="9"/>
        <v>46.120406617537434</v>
      </c>
      <c r="AE44" s="12">
        <f t="shared" si="9"/>
        <v>53.25280228115453</v>
      </c>
      <c r="AF44" s="12">
        <f t="shared" si="9"/>
        <v>196.18586926043142</v>
      </c>
      <c r="AG44" s="12">
        <f t="shared" si="9"/>
        <v>217.34893875517614</v>
      </c>
      <c r="AH44" s="12">
        <f t="shared" si="9"/>
        <v>394.82939421009377</v>
      </c>
      <c r="AI44" s="12">
        <f t="shared" si="9"/>
        <v>321.85836784012554</v>
      </c>
      <c r="AJ44" s="12">
        <f t="shared" si="9"/>
        <v>130.10141514607648</v>
      </c>
      <c r="AK44" s="12">
        <f t="shared" si="9"/>
        <v>234.1745320258795</v>
      </c>
      <c r="AL44" s="18">
        <f t="shared" si="9"/>
        <v>162.97627457082967</v>
      </c>
    </row>
    <row r="45" spans="1:38">
      <c r="C45" t="s">
        <v>64</v>
      </c>
      <c r="G45">
        <f>G39*3</f>
        <v>4431.2351795414834</v>
      </c>
      <c r="U45" s="17">
        <v>6</v>
      </c>
      <c r="V45" s="12">
        <f t="shared" si="10"/>
        <v>289.17855867575389</v>
      </c>
      <c r="W45" s="12">
        <f t="shared" si="9"/>
        <v>268.18432904191525</v>
      </c>
      <c r="X45" s="12">
        <f t="shared" si="9"/>
        <v>226.1216482639604</v>
      </c>
      <c r="Y45" s="12">
        <f t="shared" si="9"/>
        <v>393.65678799828754</v>
      </c>
      <c r="Z45" s="12">
        <f t="shared" si="9"/>
        <v>69.455125502039664</v>
      </c>
      <c r="AA45" s="12">
        <f t="shared" si="9"/>
        <v>0</v>
      </c>
      <c r="AB45" s="12">
        <f t="shared" si="9"/>
        <v>137.10365996034804</v>
      </c>
      <c r="AC45" s="12">
        <f t="shared" si="9"/>
        <v>54.816916820998749</v>
      </c>
      <c r="AD45" s="12">
        <f t="shared" si="9"/>
        <v>115.54084629340073</v>
      </c>
      <c r="AE45" s="12">
        <f t="shared" si="9"/>
        <v>55.11594960765737</v>
      </c>
      <c r="AF45" s="12">
        <f t="shared" si="9"/>
        <v>150.6555634966613</v>
      </c>
      <c r="AG45" s="12">
        <f t="shared" si="9"/>
        <v>187.93059434003794</v>
      </c>
      <c r="AH45" s="12">
        <f t="shared" si="9"/>
        <v>370.49370442246158</v>
      </c>
      <c r="AI45" s="12">
        <f t="shared" si="9"/>
        <v>319.2524065418915</v>
      </c>
      <c r="AJ45" s="12">
        <f t="shared" si="9"/>
        <v>189.22843379725697</v>
      </c>
      <c r="AK45" s="12">
        <f t="shared" si="9"/>
        <v>297.2839405593038</v>
      </c>
      <c r="AL45" s="18">
        <f t="shared" si="9"/>
        <v>220.94920483065883</v>
      </c>
    </row>
    <row r="46" spans="1:38">
      <c r="C46" t="s">
        <v>65</v>
      </c>
      <c r="G46">
        <f>G45/5280</f>
        <v>0.83924908703437184</v>
      </c>
      <c r="U46" s="17">
        <v>7</v>
      </c>
      <c r="V46" s="12">
        <f t="shared" si="10"/>
        <v>422.239931684601</v>
      </c>
      <c r="W46" s="12">
        <f t="shared" si="9"/>
        <v>398.14575455830294</v>
      </c>
      <c r="X46" s="12">
        <f t="shared" si="9"/>
        <v>354.40223799523591</v>
      </c>
      <c r="Y46" s="12">
        <f t="shared" si="9"/>
        <v>523.92586826058493</v>
      </c>
      <c r="Z46" s="12">
        <f t="shared" si="9"/>
        <v>146.08932876096961</v>
      </c>
      <c r="AA46" s="12">
        <f t="shared" si="9"/>
        <v>137.10365996034804</v>
      </c>
      <c r="AB46" s="12">
        <f t="shared" si="9"/>
        <v>0</v>
      </c>
      <c r="AC46" s="12">
        <f t="shared" si="9"/>
        <v>127.04302098859858</v>
      </c>
      <c r="AD46" s="12">
        <f t="shared" si="9"/>
        <v>166.51786372548233</v>
      </c>
      <c r="AE46" s="12">
        <f t="shared" si="9"/>
        <v>178.79249083232051</v>
      </c>
      <c r="AF46" s="12">
        <f t="shared" si="9"/>
        <v>281.09763747137629</v>
      </c>
      <c r="AG46" s="12">
        <f t="shared" si="9"/>
        <v>80.985227741250185</v>
      </c>
      <c r="AH46" s="12">
        <f t="shared" si="9"/>
        <v>506.4497087106385</v>
      </c>
      <c r="AI46" s="12">
        <f t="shared" si="9"/>
        <v>454.60608976349624</v>
      </c>
      <c r="AJ46" s="12">
        <f t="shared" si="9"/>
        <v>266.95448741353545</v>
      </c>
      <c r="AK46" s="12">
        <f t="shared" si="9"/>
        <v>357.85686355779404</v>
      </c>
      <c r="AL46" s="18">
        <f t="shared" si="9"/>
        <v>299.2056517337632</v>
      </c>
    </row>
    <row r="47" spans="1:38">
      <c r="C47" t="s">
        <v>66</v>
      </c>
      <c r="G47">
        <f>H39/60</f>
        <v>7</v>
      </c>
      <c r="U47" s="17">
        <v>8</v>
      </c>
      <c r="V47" s="12">
        <f t="shared" si="10"/>
        <v>299.18469658294089</v>
      </c>
      <c r="W47" s="12">
        <f t="shared" si="9"/>
        <v>273.11509923526529</v>
      </c>
      <c r="X47" s="12">
        <f t="shared" si="9"/>
        <v>228.93534948956807</v>
      </c>
      <c r="Y47" s="12">
        <f t="shared" si="9"/>
        <v>433.02117322658592</v>
      </c>
      <c r="Z47" s="12">
        <f t="shared" si="9"/>
        <v>21.968778976333269</v>
      </c>
      <c r="AA47" s="12">
        <f t="shared" si="9"/>
        <v>54.816916820998742</v>
      </c>
      <c r="AB47" s="12">
        <f t="shared" si="9"/>
        <v>127.04302098859857</v>
      </c>
      <c r="AC47" s="12">
        <f t="shared" si="9"/>
        <v>0</v>
      </c>
      <c r="AD47" s="12">
        <f t="shared" si="9"/>
        <v>63.794208341811625</v>
      </c>
      <c r="AE47" s="12">
        <f t="shared" si="9"/>
        <v>58.440074323805938</v>
      </c>
      <c r="AF47" s="12">
        <f t="shared" si="9"/>
        <v>194.30568622833704</v>
      </c>
      <c r="AG47" s="12">
        <f t="shared" si="9"/>
        <v>196.24129880676139</v>
      </c>
      <c r="AH47" s="12">
        <f t="shared" si="9"/>
        <v>401.34210495569926</v>
      </c>
      <c r="AI47" s="12">
        <f t="shared" si="9"/>
        <v>334.23445421028055</v>
      </c>
      <c r="AJ47" s="12">
        <f t="shared" si="9"/>
        <v>152.05756119461753</v>
      </c>
      <c r="AK47" s="12">
        <f t="shared" si="9"/>
        <v>255.62654057901639</v>
      </c>
      <c r="AL47" s="18">
        <f t="shared" si="9"/>
        <v>184.93928790034644</v>
      </c>
    </row>
    <row r="48" spans="1:38">
      <c r="C48" t="s">
        <v>67</v>
      </c>
      <c r="G48">
        <f>SUM(D29:D32)/D39</f>
        <v>0.32508084186991065</v>
      </c>
      <c r="U48" s="17">
        <v>9</v>
      </c>
      <c r="V48" s="12">
        <f t="shared" si="10"/>
        <v>294.34674965435448</v>
      </c>
      <c r="W48" s="12">
        <f t="shared" si="9"/>
        <v>263.58393767409399</v>
      </c>
      <c r="X48" s="12">
        <f t="shared" si="9"/>
        <v>219.64957303895184</v>
      </c>
      <c r="Y48" s="12">
        <f t="shared" si="9"/>
        <v>460.99990848306379</v>
      </c>
      <c r="Z48" s="12">
        <f t="shared" si="9"/>
        <v>46.120406617537434</v>
      </c>
      <c r="AA48" s="12">
        <f t="shared" si="9"/>
        <v>115.54084629340075</v>
      </c>
      <c r="AB48" s="12">
        <f t="shared" si="9"/>
        <v>166.51786372548233</v>
      </c>
      <c r="AC48" s="12">
        <f t="shared" si="9"/>
        <v>63.794208341811625</v>
      </c>
      <c r="AD48" s="12">
        <f t="shared" si="9"/>
        <v>0</v>
      </c>
      <c r="AE48" s="12">
        <f t="shared" si="9"/>
        <v>90.664956666995778</v>
      </c>
      <c r="AF48" s="12">
        <f t="shared" si="9"/>
        <v>234.26543137137057</v>
      </c>
      <c r="AG48" s="12">
        <f t="shared" si="9"/>
        <v>244.21262443256944</v>
      </c>
      <c r="AH48" s="12">
        <f t="shared" si="9"/>
        <v>418.58691675179392</v>
      </c>
      <c r="AI48" s="12">
        <f t="shared" si="9"/>
        <v>333.91043574757589</v>
      </c>
      <c r="AJ48" s="12">
        <f t="shared" si="9"/>
        <v>100.53876287995733</v>
      </c>
      <c r="AK48" s="12">
        <f t="shared" si="9"/>
        <v>196.03012242617947</v>
      </c>
      <c r="AL48" s="18">
        <f t="shared" si="9"/>
        <v>132.68848704068344</v>
      </c>
    </row>
    <row r="49" spans="3:38">
      <c r="C49" t="s">
        <v>68</v>
      </c>
      <c r="G49">
        <f>SUM(F29:F32)/F39</f>
        <v>0.32722533315231112</v>
      </c>
      <c r="U49" s="17">
        <v>10</v>
      </c>
      <c r="V49" s="12">
        <f t="shared" si="10"/>
        <v>243.58872607986012</v>
      </c>
      <c r="W49" s="12">
        <f t="shared" si="9"/>
        <v>219.53121870866028</v>
      </c>
      <c r="X49" s="12">
        <f t="shared" si="9"/>
        <v>176.13361760590169</v>
      </c>
      <c r="Y49" s="12">
        <f t="shared" si="9"/>
        <v>377.39239285121079</v>
      </c>
      <c r="Z49" s="12">
        <f t="shared" si="9"/>
        <v>53.252802281154523</v>
      </c>
      <c r="AA49" s="12">
        <f t="shared" si="9"/>
        <v>55.115949607657363</v>
      </c>
      <c r="AB49" s="12">
        <f t="shared" si="9"/>
        <v>178.79249083232051</v>
      </c>
      <c r="AC49" s="12">
        <f t="shared" si="9"/>
        <v>58.440074323805938</v>
      </c>
      <c r="AD49" s="12">
        <f t="shared" si="9"/>
        <v>90.664956666995778</v>
      </c>
      <c r="AE49" s="12">
        <f t="shared" si="9"/>
        <v>0</v>
      </c>
      <c r="AF49" s="12">
        <f t="shared" si="9"/>
        <v>144.14840241197871</v>
      </c>
      <c r="AG49" s="12">
        <f t="shared" si="9"/>
        <v>238.93956076898073</v>
      </c>
      <c r="AH49" s="12">
        <f t="shared" si="9"/>
        <v>343.23800472175236</v>
      </c>
      <c r="AI49" s="12">
        <f t="shared" si="9"/>
        <v>277.19471876766289</v>
      </c>
      <c r="AJ49" s="12">
        <f t="shared" si="9"/>
        <v>140.34652822183338</v>
      </c>
      <c r="AK49" s="12">
        <f t="shared" si="9"/>
        <v>249.56439084237218</v>
      </c>
      <c r="AL49" s="18">
        <f t="shared" si="9"/>
        <v>170.59544177993732</v>
      </c>
    </row>
    <row r="50" spans="3:38">
      <c r="U50" s="17">
        <v>11</v>
      </c>
      <c r="V50" s="12">
        <f t="shared" si="10"/>
        <v>203.00393542072791</v>
      </c>
      <c r="W50" s="12">
        <f t="shared" si="9"/>
        <v>200.11373184634655</v>
      </c>
      <c r="X50" s="12">
        <f t="shared" si="9"/>
        <v>175.53810902631469</v>
      </c>
      <c r="Y50" s="12">
        <f t="shared" si="9"/>
        <v>243.50268764516565</v>
      </c>
      <c r="Z50" s="12">
        <f t="shared" si="9"/>
        <v>196.18586926043142</v>
      </c>
      <c r="AA50" s="12">
        <f t="shared" si="9"/>
        <v>150.6555634966613</v>
      </c>
      <c r="AB50" s="12">
        <f t="shared" si="9"/>
        <v>281.09763747137629</v>
      </c>
      <c r="AC50" s="12">
        <f t="shared" si="9"/>
        <v>194.30568622833704</v>
      </c>
      <c r="AD50" s="12">
        <f t="shared" si="9"/>
        <v>234.26543137137054</v>
      </c>
      <c r="AE50" s="12">
        <f t="shared" si="9"/>
        <v>144.14840241197871</v>
      </c>
      <c r="AF50" s="12">
        <f t="shared" si="9"/>
        <v>0</v>
      </c>
      <c r="AG50" s="12">
        <f t="shared" si="9"/>
        <v>310.40995171196965</v>
      </c>
      <c r="AH50" s="12">
        <f t="shared" si="9"/>
        <v>229.52406256746684</v>
      </c>
      <c r="AI50" s="12">
        <f t="shared" si="9"/>
        <v>215.60524896378325</v>
      </c>
      <c r="AJ50" s="12">
        <f t="shared" si="9"/>
        <v>253.90774206554252</v>
      </c>
      <c r="AK50" s="12">
        <f t="shared" si="9"/>
        <v>355.60542381889445</v>
      </c>
      <c r="AL50" s="18">
        <f t="shared" si="9"/>
        <v>274.98992588644165</v>
      </c>
    </row>
    <row r="51" spans="3:38">
      <c r="U51" s="17">
        <v>12</v>
      </c>
      <c r="V51" s="12">
        <f t="shared" si="10"/>
        <v>476.53795812918798</v>
      </c>
      <c r="W51" s="12">
        <f t="shared" si="9"/>
        <v>456.11462948302585</v>
      </c>
      <c r="X51" s="12">
        <f t="shared" si="9"/>
        <v>413.86441663557724</v>
      </c>
      <c r="Y51" s="12">
        <f t="shared" si="9"/>
        <v>545.19424297983869</v>
      </c>
      <c r="Z51" s="12">
        <f t="shared" si="9"/>
        <v>217.34893875517614</v>
      </c>
      <c r="AA51" s="12">
        <f t="shared" si="9"/>
        <v>187.93059434003794</v>
      </c>
      <c r="AB51" s="12">
        <f t="shared" si="9"/>
        <v>80.985227741250185</v>
      </c>
      <c r="AC51" s="12">
        <f t="shared" si="9"/>
        <v>196.24129880676139</v>
      </c>
      <c r="AD51" s="12">
        <f t="shared" si="9"/>
        <v>244.21262443256944</v>
      </c>
      <c r="AE51" s="12">
        <f t="shared" si="9"/>
        <v>238.93956076898073</v>
      </c>
      <c r="AF51" s="12">
        <f t="shared" si="9"/>
        <v>310.40995171196965</v>
      </c>
      <c r="AG51" s="12">
        <f t="shared" si="9"/>
        <v>0</v>
      </c>
      <c r="AH51" s="12">
        <f t="shared" si="9"/>
        <v>539.93396275766452</v>
      </c>
      <c r="AI51" s="12">
        <f t="shared" si="9"/>
        <v>504.71867173682426</v>
      </c>
      <c r="AJ51" s="12">
        <f t="shared" si="9"/>
        <v>343.71766130424044</v>
      </c>
      <c r="AK51" s="12">
        <f t="shared" si="9"/>
        <v>437.85195352068683</v>
      </c>
      <c r="AL51" s="18">
        <f t="shared" si="9"/>
        <v>376.39033374729303</v>
      </c>
    </row>
    <row r="52" spans="3:38">
      <c r="U52" s="17">
        <v>13</v>
      </c>
      <c r="V52" s="12">
        <f t="shared" si="10"/>
        <v>166.24766329420825</v>
      </c>
      <c r="W52" s="12">
        <f t="shared" si="9"/>
        <v>199.21786127021554</v>
      </c>
      <c r="X52" s="12">
        <f t="shared" si="9"/>
        <v>225.40989687633373</v>
      </c>
      <c r="Y52" s="12">
        <f t="shared" si="9"/>
        <v>85.530866119049492</v>
      </c>
      <c r="Z52" s="12">
        <f t="shared" si="9"/>
        <v>394.82939421009377</v>
      </c>
      <c r="AA52" s="12">
        <f t="shared" si="9"/>
        <v>370.49370442246158</v>
      </c>
      <c r="AB52" s="12">
        <f t="shared" si="9"/>
        <v>506.44970871063845</v>
      </c>
      <c r="AC52" s="12">
        <f t="shared" si="9"/>
        <v>401.34210495569926</v>
      </c>
      <c r="AD52" s="12">
        <f t="shared" si="9"/>
        <v>418.58691675179392</v>
      </c>
      <c r="AE52" s="12">
        <f t="shared" si="9"/>
        <v>343.23800472175242</v>
      </c>
      <c r="AF52" s="12">
        <f t="shared" si="9"/>
        <v>229.52406256746684</v>
      </c>
      <c r="AG52" s="12">
        <f t="shared" si="9"/>
        <v>539.93396275766452</v>
      </c>
      <c r="AH52" s="12">
        <f t="shared" si="9"/>
        <v>0</v>
      </c>
      <c r="AI52" s="12">
        <f t="shared" si="9"/>
        <v>127.9721607205676</v>
      </c>
      <c r="AJ52" s="12">
        <f t="shared" si="9"/>
        <v>385.50102343587747</v>
      </c>
      <c r="AK52" s="12">
        <f t="shared" si="9"/>
        <v>449.4287392065018</v>
      </c>
      <c r="AL52" s="18">
        <f t="shared" si="9"/>
        <v>388.07023356065002</v>
      </c>
    </row>
    <row r="53" spans="3:38">
      <c r="U53" s="17">
        <v>14</v>
      </c>
      <c r="V53" s="12">
        <f t="shared" si="10"/>
        <v>43.627434418712667</v>
      </c>
      <c r="W53" s="12">
        <f t="shared" si="9"/>
        <v>79.03822260954027</v>
      </c>
      <c r="X53" s="12">
        <f t="shared" si="9"/>
        <v>117.05948454950837</v>
      </c>
      <c r="Y53" s="12">
        <f t="shared" si="9"/>
        <v>209.16282830150311</v>
      </c>
      <c r="Z53" s="12">
        <f t="shared" si="9"/>
        <v>321.85836784012554</v>
      </c>
      <c r="AA53" s="12">
        <f t="shared" si="9"/>
        <v>319.2524065418915</v>
      </c>
      <c r="AB53" s="12">
        <f t="shared" si="9"/>
        <v>454.60608976349624</v>
      </c>
      <c r="AC53" s="12">
        <f t="shared" si="9"/>
        <v>334.23445421028055</v>
      </c>
      <c r="AD53" s="12">
        <f t="shared" si="9"/>
        <v>333.91043574757589</v>
      </c>
      <c r="AE53" s="12">
        <f t="shared" si="9"/>
        <v>277.19471876766289</v>
      </c>
      <c r="AF53" s="12">
        <f t="shared" si="9"/>
        <v>215.60524896378325</v>
      </c>
      <c r="AG53" s="12">
        <f t="shared" si="9"/>
        <v>504.71867173682426</v>
      </c>
      <c r="AH53" s="12">
        <f t="shared" si="9"/>
        <v>127.9721607205676</v>
      </c>
      <c r="AI53" s="12">
        <f t="shared" si="9"/>
        <v>0</v>
      </c>
      <c r="AJ53" s="12">
        <f t="shared" si="9"/>
        <v>279.11449624635367</v>
      </c>
      <c r="AK53" s="12">
        <f t="shared" si="9"/>
        <v>328.16830545471561</v>
      </c>
      <c r="AL53" s="18">
        <f t="shared" si="9"/>
        <v>275.07923904373905</v>
      </c>
    </row>
    <row r="54" spans="3:38">
      <c r="U54" s="17">
        <v>15</v>
      </c>
      <c r="V54" s="12">
        <f t="shared" si="10"/>
        <v>235.9205617282789</v>
      </c>
      <c r="W54" s="12">
        <f t="shared" si="9"/>
        <v>201.14756751767686</v>
      </c>
      <c r="X54" s="12">
        <f t="shared" si="9"/>
        <v>163.05880626550467</v>
      </c>
      <c r="Y54" s="12">
        <f t="shared" si="9"/>
        <v>443.65343531531403</v>
      </c>
      <c r="Z54" s="12">
        <f t="shared" si="9"/>
        <v>130.10141514607648</v>
      </c>
      <c r="AA54" s="12">
        <f t="shared" si="9"/>
        <v>189.22843379725697</v>
      </c>
      <c r="AB54" s="12">
        <f t="shared" si="9"/>
        <v>266.95448741353545</v>
      </c>
      <c r="AC54" s="12">
        <f t="shared" si="9"/>
        <v>152.05756119461753</v>
      </c>
      <c r="AD54" s="12">
        <f t="shared" si="9"/>
        <v>100.53876287995733</v>
      </c>
      <c r="AE54" s="12">
        <f t="shared" si="9"/>
        <v>140.34652822183338</v>
      </c>
      <c r="AF54" s="12">
        <f t="shared" si="9"/>
        <v>253.90774206554249</v>
      </c>
      <c r="AG54" s="12">
        <f t="shared" si="9"/>
        <v>343.71766130424044</v>
      </c>
      <c r="AH54" s="12">
        <f t="shared" si="9"/>
        <v>385.50102343587753</v>
      </c>
      <c r="AI54" s="12">
        <f t="shared" si="9"/>
        <v>279.11449624635367</v>
      </c>
      <c r="AJ54" s="12">
        <f t="shared" si="9"/>
        <v>0</v>
      </c>
      <c r="AK54" s="12">
        <f t="shared" si="9"/>
        <v>109.24350736136221</v>
      </c>
      <c r="AL54" s="18">
        <f t="shared" si="9"/>
        <v>32.923290655312897</v>
      </c>
    </row>
    <row r="55" spans="3:38">
      <c r="U55" s="17">
        <v>16</v>
      </c>
      <c r="V55" s="12">
        <f t="shared" si="10"/>
        <v>285.48610254472004</v>
      </c>
      <c r="W55" s="12">
        <f t="shared" si="9"/>
        <v>250.88589035856424</v>
      </c>
      <c r="X55" s="12">
        <f t="shared" si="9"/>
        <v>226.64433982944459</v>
      </c>
      <c r="Y55" s="12">
        <f t="shared" si="9"/>
        <v>518.33181927135797</v>
      </c>
      <c r="Z55" s="12">
        <f t="shared" si="9"/>
        <v>234.17453202587953</v>
      </c>
      <c r="AA55" s="12">
        <f t="shared" si="9"/>
        <v>297.2839405593038</v>
      </c>
      <c r="AB55" s="12">
        <f t="shared" si="9"/>
        <v>357.85686355779404</v>
      </c>
      <c r="AC55" s="12">
        <f t="shared" si="9"/>
        <v>255.62654057901639</v>
      </c>
      <c r="AD55" s="12">
        <f t="shared" si="9"/>
        <v>196.03012242617947</v>
      </c>
      <c r="AE55" s="12">
        <f t="shared" si="9"/>
        <v>249.56439084237218</v>
      </c>
      <c r="AF55" s="12">
        <f t="shared" si="9"/>
        <v>355.60542381889445</v>
      </c>
      <c r="AG55" s="12">
        <f t="shared" si="9"/>
        <v>437.85195352068683</v>
      </c>
      <c r="AH55" s="12">
        <f t="shared" si="9"/>
        <v>449.42873920650186</v>
      </c>
      <c r="AI55" s="12">
        <f t="shared" si="9"/>
        <v>328.16830545471561</v>
      </c>
      <c r="AJ55" s="12">
        <f t="shared" si="9"/>
        <v>109.24350736136221</v>
      </c>
      <c r="AK55" s="12">
        <f t="shared" si="9"/>
        <v>0</v>
      </c>
      <c r="AL55" s="18">
        <f t="shared" ref="AL55:AL56" si="11">S18*S$20</f>
        <v>81.447413962744818</v>
      </c>
    </row>
    <row r="56" spans="3:38" ht="15" thickBot="1">
      <c r="U56" s="19">
        <v>17</v>
      </c>
      <c r="V56" s="20">
        <f t="shared" si="10"/>
        <v>231.45532036128384</v>
      </c>
      <c r="W56" s="20">
        <f t="shared" si="10"/>
        <v>196.0671434542468</v>
      </c>
      <c r="X56" s="20">
        <f t="shared" si="10"/>
        <v>162.77018054803818</v>
      </c>
      <c r="Y56" s="20">
        <f t="shared" si="10"/>
        <v>450.94909994727897</v>
      </c>
      <c r="Z56" s="20">
        <f t="shared" si="10"/>
        <v>162.97627457082967</v>
      </c>
      <c r="AA56" s="20">
        <f t="shared" si="10"/>
        <v>220.9492048306588</v>
      </c>
      <c r="AB56" s="20">
        <f t="shared" si="10"/>
        <v>299.2056517337632</v>
      </c>
      <c r="AC56" s="20">
        <f t="shared" si="10"/>
        <v>184.93928790034644</v>
      </c>
      <c r="AD56" s="20">
        <f t="shared" si="10"/>
        <v>132.68848704068344</v>
      </c>
      <c r="AE56" s="20">
        <f t="shared" si="10"/>
        <v>170.59544177993732</v>
      </c>
      <c r="AF56" s="20">
        <f t="shared" si="10"/>
        <v>274.98992588644165</v>
      </c>
      <c r="AG56" s="20">
        <f t="shared" si="10"/>
        <v>376.39033374729303</v>
      </c>
      <c r="AH56" s="20">
        <f t="shared" si="10"/>
        <v>388.07023356065002</v>
      </c>
      <c r="AI56" s="20">
        <f t="shared" si="10"/>
        <v>275.07923904373905</v>
      </c>
      <c r="AJ56" s="20">
        <f t="shared" si="10"/>
        <v>32.923290655312897</v>
      </c>
      <c r="AK56" s="20">
        <f t="shared" si="10"/>
        <v>81.447413962744832</v>
      </c>
      <c r="AL56" s="21">
        <f t="shared" si="11"/>
        <v>0</v>
      </c>
    </row>
  </sheetData>
  <conditionalFormatting sqref="C22:C38">
    <cfRule type="expression" dxfId="2" priority="1">
      <formula>MATCH(C22,$M$22:$M$30,0)</formula>
    </cfRule>
  </conditionalFormatting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D5CEBA-ECEC-4206-AFE3-0871FD147AA1}">
  <dimension ref="A1:AM56"/>
  <sheetViews>
    <sheetView topLeftCell="A13" workbookViewId="0">
      <selection activeCell="G47" sqref="G47"/>
    </sheetView>
  </sheetViews>
  <sheetFormatPr defaultRowHeight="14.25"/>
  <cols>
    <col min="1" max="1" width="9.5" bestFit="1" customWidth="1"/>
    <col min="2" max="2" width="14.75" bestFit="1" customWidth="1"/>
    <col min="3" max="3" width="16.875" customWidth="1"/>
    <col min="4" max="4" width="12.5" bestFit="1" customWidth="1"/>
    <col min="5" max="5" width="7.75" bestFit="1" customWidth="1"/>
    <col min="6" max="6" width="8.375" bestFit="1" customWidth="1"/>
    <col min="7" max="7" width="7.375" bestFit="1" customWidth="1"/>
    <col min="8" max="8" width="8" customWidth="1"/>
    <col min="9" max="19" width="6.75" customWidth="1"/>
    <col min="20" max="20" width="18.25" customWidth="1"/>
    <col min="21" max="21" width="12.75" bestFit="1" customWidth="1"/>
    <col min="22" max="38" width="5.5" customWidth="1"/>
    <col min="39" max="39" width="15.75" bestFit="1" customWidth="1"/>
  </cols>
  <sheetData>
    <row r="1" spans="1:39" ht="48.75" customHeight="1" thickBot="1">
      <c r="B1" s="32" t="s">
        <v>41</v>
      </c>
      <c r="C1" s="33" t="s">
        <v>5</v>
      </c>
      <c r="D1" s="33"/>
      <c r="E1" s="33"/>
      <c r="F1" s="33"/>
      <c r="G1" s="33"/>
      <c r="H1" s="33"/>
      <c r="I1" s="33"/>
      <c r="J1" s="33"/>
      <c r="K1" s="33"/>
      <c r="L1" s="33"/>
      <c r="M1" s="33"/>
      <c r="N1" s="33"/>
      <c r="O1" s="33"/>
      <c r="P1" s="33"/>
      <c r="Q1" s="33"/>
      <c r="R1" s="33"/>
      <c r="S1" s="34"/>
      <c r="T1" s="13" t="s">
        <v>40</v>
      </c>
      <c r="U1" s="13" t="s">
        <v>11</v>
      </c>
      <c r="V1" s="14" t="s">
        <v>6</v>
      </c>
      <c r="W1" s="14"/>
      <c r="X1" s="14"/>
      <c r="Y1" s="14"/>
      <c r="Z1" s="14"/>
      <c r="AA1" s="14"/>
      <c r="AB1" s="14"/>
      <c r="AC1" s="14"/>
      <c r="AD1" s="14"/>
      <c r="AE1" s="14"/>
      <c r="AF1" s="14"/>
      <c r="AG1" s="14"/>
      <c r="AH1" s="14"/>
      <c r="AI1" s="14"/>
      <c r="AJ1" s="14"/>
      <c r="AK1" s="14"/>
      <c r="AL1" s="15"/>
    </row>
    <row r="2" spans="1:39">
      <c r="B2" s="16" t="s">
        <v>5</v>
      </c>
      <c r="C2" s="5">
        <v>1</v>
      </c>
      <c r="D2" s="5">
        <v>2</v>
      </c>
      <c r="E2" s="5">
        <v>3</v>
      </c>
      <c r="F2" s="5">
        <v>4</v>
      </c>
      <c r="G2" s="5">
        <v>5</v>
      </c>
      <c r="H2" s="5">
        <v>6</v>
      </c>
      <c r="I2" s="5">
        <v>7</v>
      </c>
      <c r="J2" s="5">
        <v>8</v>
      </c>
      <c r="K2" s="5">
        <v>9</v>
      </c>
      <c r="L2" s="5">
        <v>10</v>
      </c>
      <c r="M2" s="5">
        <v>11</v>
      </c>
      <c r="N2" s="5">
        <v>12</v>
      </c>
      <c r="O2" s="5">
        <v>13</v>
      </c>
      <c r="P2" s="5">
        <v>14</v>
      </c>
      <c r="Q2" s="5">
        <v>15</v>
      </c>
      <c r="R2" s="5">
        <v>16</v>
      </c>
      <c r="S2" s="22">
        <v>17</v>
      </c>
      <c r="U2" s="16" t="s">
        <v>12</v>
      </c>
      <c r="V2" s="5">
        <v>1</v>
      </c>
      <c r="W2" s="5">
        <v>2</v>
      </c>
      <c r="X2" s="5">
        <v>3</v>
      </c>
      <c r="Y2" s="5">
        <v>4</v>
      </c>
      <c r="Z2" s="5">
        <v>5</v>
      </c>
      <c r="AA2" s="5">
        <v>6</v>
      </c>
      <c r="AB2" s="5">
        <v>7</v>
      </c>
      <c r="AC2" s="5">
        <v>8</v>
      </c>
      <c r="AD2" s="5">
        <v>9</v>
      </c>
      <c r="AE2" s="5">
        <v>10</v>
      </c>
      <c r="AF2" s="5">
        <v>11</v>
      </c>
      <c r="AG2" s="5">
        <v>12</v>
      </c>
      <c r="AH2" s="5">
        <v>13</v>
      </c>
      <c r="AI2" s="5">
        <v>14</v>
      </c>
      <c r="AJ2" s="5">
        <v>15</v>
      </c>
      <c r="AK2" s="5">
        <v>16</v>
      </c>
      <c r="AL2" s="22">
        <v>17</v>
      </c>
      <c r="AM2" s="9" t="s">
        <v>13</v>
      </c>
    </row>
    <row r="3" spans="1:39" ht="15">
      <c r="A3" s="12"/>
      <c r="B3" s="17">
        <v>1</v>
      </c>
      <c r="C3" s="43">
        <f>(getDistance(coord!C1,coord!D1,coord!$C$1,coord!$D$1)*1000)/$C$20</f>
        <v>0</v>
      </c>
      <c r="D3" s="44">
        <f>(getDistance(coord!C1,coord!D1,coord!$C$2,coord!$D$2)*1000)/$D$20</f>
        <v>9.7939859857844019E-3</v>
      </c>
      <c r="E3" s="44">
        <f>(getDistance(coord!$C1,coord!$D1,coord!$C$3,coord!$D$3)*1000)/$E$20</f>
        <v>2.2698884083943889E-2</v>
      </c>
      <c r="F3" s="44">
        <f>(getDistance(coord!$C1,coord!$D1,coord!$C$4,coord!$D$4)*1000)/$F$20</f>
        <v>4.1041595442076105E-2</v>
      </c>
      <c r="G3" s="44">
        <f>(getDistance(coord!$C1,coord!$D1,coord!$C$5,coord!$D$5)*1000)/$G$20</f>
        <v>8.9692706304415254E-2</v>
      </c>
      <c r="H3" s="44">
        <f>(getDistance(coord!$C1,coord!$D1,coord!$C$6,coord!$D$6)*1000)/$H$20</f>
        <v>8.6451824708535505E-2</v>
      </c>
      <c r="I3" s="44">
        <f>(getDistance(coord!$C1,coord!$D1,coord!$C$7,coord!$D$7)*1000)/$I$20</f>
        <v>8.9811228695136011E-2</v>
      </c>
      <c r="J3" s="44">
        <f>(getDistance(coord!$C1,coord!$D1,coord!$C$8,coord!$D$8)*1000)/$J$20</f>
        <v>9.1240820893187149E-2</v>
      </c>
      <c r="K3" s="44">
        <f>(getDistance(coord!$C1,coord!$D1,coord!$C$9,coord!$D$9)*1000)/$K$20</f>
        <v>8.7047462622908689E-2</v>
      </c>
      <c r="L3" s="44">
        <f>(getDistance(coord!$C1,coord!$D1,coord!$C$10,coord!$D$10)*1000)/$L$20</f>
        <v>8.0740347669411905E-2</v>
      </c>
      <c r="M3" s="44">
        <f>(getDistance(coord!$C1,coord!$D1,coord!$C$11,coord!$D$11)*1000)/$M$20</f>
        <v>5.5422256969853041E-2</v>
      </c>
      <c r="N3" s="44">
        <f>(getDistance(coord!$C1,coord!$D1,coord!$C$12,coord!$D$12)*1000)/$N$20</f>
        <v>8.5548369994808526E-2</v>
      </c>
      <c r="O3" s="44">
        <f>(getDistance(coord!$C1,coord!$D1,coord!$C$13,coord!$D$13)*1000)/$O$20</f>
        <v>3.1776523621703266E-2</v>
      </c>
      <c r="P3" s="44">
        <f>(getDistance(coord!$C1,coord!$D1,coord!$C$14,coord!$D$14)*1000)/$P$20</f>
        <v>1.0336778634729865E-2</v>
      </c>
      <c r="Q3" s="44">
        <f>(getDistance(coord!$C1,coord!$D1,coord!$C$15,coord!$D$15)*1000)/$Q$20</f>
        <v>6.8833375128825133E-2</v>
      </c>
      <c r="R3" s="44">
        <f>(getDistance(coord!$C1,coord!$D1,coord!$C$16,coord!$D$16)*1000)/$R$20</f>
        <v>6.1611762184374974E-2</v>
      </c>
      <c r="S3" s="44">
        <f>(getDistance(coord!$C1,coord!$D1,coord!$C$17,coord!$D$17)*1000)/$S$20</f>
        <v>6.3560494570447018E-2</v>
      </c>
      <c r="T3" s="8" t="s">
        <v>39</v>
      </c>
      <c r="U3" s="17">
        <v>8</v>
      </c>
      <c r="V3" s="12">
        <v>1.3793103448275862E-2</v>
      </c>
      <c r="W3" s="12">
        <v>1.9607843137254902E-2</v>
      </c>
      <c r="X3" s="12">
        <v>6.0606060606060608E-2</v>
      </c>
      <c r="Y3" s="12">
        <v>9.5238095238095247E-3</v>
      </c>
      <c r="Z3" s="12">
        <v>2.6315789473684209E-2</v>
      </c>
      <c r="AA3" s="12">
        <v>1.3192612137203167E-2</v>
      </c>
      <c r="AB3" s="12">
        <v>2.1739130434782608E-2</v>
      </c>
      <c r="AC3" s="12">
        <v>1.8181818181818181E-2</v>
      </c>
      <c r="AD3" s="12">
        <v>8.0000000000000002E-3</v>
      </c>
      <c r="AE3" s="12">
        <v>4.9295774647887321E-2</v>
      </c>
      <c r="AF3" s="12">
        <v>1.2048192771084338E-2</v>
      </c>
      <c r="AG3" s="12">
        <v>1.1764705882352941E-2</v>
      </c>
      <c r="AH3" s="12">
        <v>1.2345679012345678E-2</v>
      </c>
      <c r="AI3" s="12">
        <v>1.3157894736842105E-2</v>
      </c>
      <c r="AJ3" s="12">
        <v>1.3513513513513514E-2</v>
      </c>
      <c r="AK3" s="12">
        <v>1.8292682926829267E-2</v>
      </c>
      <c r="AL3" s="18">
        <v>9.1743119266055051E-3</v>
      </c>
      <c r="AM3">
        <f>AVERAGE(V3:AL3)</f>
        <v>1.9444289550608812E-2</v>
      </c>
    </row>
    <row r="4" spans="1:39" ht="15">
      <c r="A4" s="12"/>
      <c r="B4" s="17">
        <v>2</v>
      </c>
      <c r="C4" s="45">
        <f>(getDistance(coord!C2,coord!D2,coord!$C$1,coord!$D$1)*1000)/$C$20</f>
        <v>9.2469745750658385E-3</v>
      </c>
      <c r="D4" s="46">
        <f>(getDistance(coord!C2,coord!D2,coord!$C$2,coord!$D$2)*1000)/$D$20</f>
        <v>0</v>
      </c>
      <c r="E4" s="45">
        <f>(getDistance(coord!$C2,coord!$D2,coord!$C$3,coord!$D$3)*1000)/$E$20</f>
        <v>1.3406673571440857E-2</v>
      </c>
      <c r="F4" s="45">
        <f>(getDistance(coord!$C2,coord!$D2,coord!$C$4,coord!$D$4)*1000)/$F$20</f>
        <v>4.6106558172381198E-2</v>
      </c>
      <c r="G4" s="45">
        <f>(getDistance(coord!$C2,coord!$D2,coord!$C$5,coord!$D$5)*1000)/$G$20</f>
        <v>8.1067478863828216E-2</v>
      </c>
      <c r="H4" s="45">
        <f>(getDistance(coord!$C2,coord!$D2,coord!$C$6,coord!$D$6)*1000)/$H$20</f>
        <v>8.0175462212965953E-2</v>
      </c>
      <c r="I4" s="45">
        <f>(getDistance(coord!$C2,coord!$D2,coord!$C$7,coord!$D$7)*1000)/$I$20</f>
        <v>8.468635184258988E-2</v>
      </c>
      <c r="J4" s="45">
        <f>(getDistance(coord!$C2,coord!$D2,coord!$C$8,coord!$D$8)*1000)/$J$20</f>
        <v>8.3290509632205356E-2</v>
      </c>
      <c r="K4" s="45">
        <f>(getDistance(coord!$C2,coord!$D2,coord!$C$9,coord!$D$9)*1000)/$K$20</f>
        <v>7.7949945055034039E-2</v>
      </c>
      <c r="L4" s="45">
        <f>(getDistance(coord!$C2,coord!$D2,coord!$C$10,coord!$D$10)*1000)/$L$20</f>
        <v>7.2766203954019684E-2</v>
      </c>
      <c r="M4" s="45">
        <f>(getDistance(coord!$C2,coord!$D2,coord!$C$11,coord!$D$11)*1000)/$M$20</f>
        <v>5.4633200319977884E-2</v>
      </c>
      <c r="N4" s="45">
        <f>(getDistance(coord!$C2,coord!$D2,coord!$C$12,coord!$D$12)*1000)/$N$20</f>
        <v>8.1881962218171789E-2</v>
      </c>
      <c r="O4" s="45">
        <f>(getDistance(coord!$C2,coord!$D2,coord!$C$13,coord!$D$13)*1000)/$O$20</f>
        <v>3.8078436406743466E-2</v>
      </c>
      <c r="P4" s="45">
        <f>(getDistance(coord!$C2,coord!$D2,coord!$C$14,coord!$D$14)*1000)/$P$20</f>
        <v>1.8726762682311E-2</v>
      </c>
      <c r="Q4" s="45">
        <f>(getDistance(coord!$C2,coord!$D2,coord!$C$15,coord!$D$15)*1000)/$Q$20</f>
        <v>5.8687830639966236E-2</v>
      </c>
      <c r="R4" s="45">
        <f>(getDistance(coord!$C2,coord!$D2,coord!$C$16,coord!$D$16)*1000)/$R$20</f>
        <v>5.4144568419983552E-2</v>
      </c>
      <c r="S4" s="45">
        <f>(getDistance(coord!$C2,coord!$D2,coord!$C$17,coord!$D$17)*1000)/$S$20</f>
        <v>5.3842463364049263E-2</v>
      </c>
      <c r="T4" s="8" t="s">
        <v>15</v>
      </c>
      <c r="U4" s="17">
        <v>9</v>
      </c>
      <c r="V4" s="12">
        <v>3.4482758620689655E-2</v>
      </c>
      <c r="W4" s="12">
        <v>1.9607843137254902E-2</v>
      </c>
      <c r="X4" s="12">
        <v>6.0606060606060608E-2</v>
      </c>
      <c r="Y4" s="12">
        <v>9.5238095238095247E-3</v>
      </c>
      <c r="Z4" s="12">
        <v>4.3859649122807015E-2</v>
      </c>
      <c r="AA4" s="12">
        <v>1.3192612137203167E-2</v>
      </c>
      <c r="AB4" s="12">
        <v>2.1739130434782608E-2</v>
      </c>
      <c r="AC4" s="12">
        <v>1.8181818181818181E-2</v>
      </c>
      <c r="AD4" s="12">
        <v>1.6E-2</v>
      </c>
      <c r="AE4" s="12">
        <v>5.6338028169014086E-2</v>
      </c>
      <c r="AF4" s="12">
        <v>2.4096385542168676E-2</v>
      </c>
      <c r="AG4" s="12">
        <v>2.3529411764705882E-2</v>
      </c>
      <c r="AH4" s="12">
        <v>2.4691358024691357E-2</v>
      </c>
      <c r="AI4" s="12">
        <v>3.9473684210526314E-2</v>
      </c>
      <c r="AJ4" s="12">
        <v>4.0540540540540543E-2</v>
      </c>
      <c r="AK4" s="12">
        <v>2.4390243902439025E-2</v>
      </c>
      <c r="AL4" s="18">
        <v>3.669724770642202E-2</v>
      </c>
      <c r="AM4">
        <f t="shared" ref="AM4:AM19" si="0">AVERAGE(V4:AL4)</f>
        <v>2.982062244852551E-2</v>
      </c>
    </row>
    <row r="5" spans="1:39" ht="15">
      <c r="A5" s="12"/>
      <c r="B5" s="17">
        <v>3</v>
      </c>
      <c r="C5" s="45">
        <f>(getDistance(coord!C3,coord!D3,coord!$C$1,coord!$D$1)*1000)/$C$20</f>
        <v>1.9643791909343934E-2</v>
      </c>
      <c r="D5" s="45">
        <f>(getDistance(coord!C3,coord!D3,coord!$C$2,coord!$D$2)*1000)/$D$20</f>
        <v>1.2288579056995987E-2</v>
      </c>
      <c r="E5" s="46">
        <f>(getDistance(coord!$C3,coord!$D3,coord!$C$3,coord!$D$3)*1000)/$E$20</f>
        <v>0</v>
      </c>
      <c r="F5" s="45">
        <f>(getDistance(coord!$C3,coord!$D3,coord!$C$4,coord!$D$4)*1000)/$F$20</f>
        <v>4.9239744032680575E-2</v>
      </c>
      <c r="G5" s="45">
        <f>(getDistance(coord!$C3,coord!$D3,coord!$C$5,coord!$D$5)*1000)/$G$20</f>
        <v>6.7114307356976877E-2</v>
      </c>
      <c r="H5" s="45">
        <f>(getDistance(coord!$C3,coord!$D3,coord!$C$6,coord!$D$6)*1000)/$H$20</f>
        <v>6.7600548215057135E-2</v>
      </c>
      <c r="I5" s="45">
        <f>(getDistance(coord!$C3,coord!$D3,coord!$C$7,coord!$D$7)*1000)/$I$20</f>
        <v>7.5382023485248112E-2</v>
      </c>
      <c r="J5" s="45">
        <f>(getDistance(coord!$C3,coord!$D3,coord!$C$8,coord!$D$8)*1000)/$J$20</f>
        <v>6.9817238172495161E-2</v>
      </c>
      <c r="K5" s="45">
        <f>(getDistance(coord!$C3,coord!$D3,coord!$C$9,coord!$D$9)*1000)/$K$20</f>
        <v>6.4957190869945655E-2</v>
      </c>
      <c r="L5" s="45">
        <f>(getDistance(coord!$C3,coord!$D3,coord!$C$10,coord!$D$10)*1000)/$L$20</f>
        <v>5.8381558747137567E-2</v>
      </c>
      <c r="M5" s="45">
        <f>(getDistance(coord!$C3,coord!$D3,coord!$C$11,coord!$D$11)*1000)/$M$20</f>
        <v>4.7923791064915143E-2</v>
      </c>
      <c r="N5" s="45">
        <f>(getDistance(coord!$C3,coord!$D3,coord!$C$12,coord!$D$12)*1000)/$N$20</f>
        <v>7.4297179559466797E-2</v>
      </c>
      <c r="O5" s="45">
        <f>(getDistance(coord!$C3,coord!$D3,coord!$C$13,coord!$D$13)*1000)/$O$20</f>
        <v>4.3084773468247912E-2</v>
      </c>
      <c r="P5" s="45">
        <f>(getDistance(coord!$C3,coord!$D3,coord!$C$14,coord!$D$14)*1000)/$P$20</f>
        <v>2.7735254089680056E-2</v>
      </c>
      <c r="Q5" s="45">
        <f>(getDistance(coord!$C3,coord!$D3,coord!$C$15,coord!$D$15)*1000)/$Q$20</f>
        <v>4.7574861205438287E-2</v>
      </c>
      <c r="R5" s="45">
        <f>(getDistance(coord!$C3,coord!$D3,coord!$C$16,coord!$D$16)*1000)/$R$20</f>
        <v>4.891291394410003E-2</v>
      </c>
      <c r="S5" s="45">
        <f>(getDistance(coord!$C3,coord!$D3,coord!$C$17,coord!$D$17)*1000)/$S$20</f>
        <v>4.4698705395085934E-2</v>
      </c>
      <c r="T5" s="8" t="s">
        <v>16</v>
      </c>
      <c r="U5" s="17">
        <v>10</v>
      </c>
      <c r="V5" s="12">
        <v>4.8275862068965517E-2</v>
      </c>
      <c r="W5" s="12">
        <v>3.9215686274509803E-2</v>
      </c>
      <c r="X5" s="12">
        <v>6.0606060606060608E-2</v>
      </c>
      <c r="Y5" s="12">
        <v>1.9047619047619049E-2</v>
      </c>
      <c r="Z5" s="12">
        <v>6.1403508771929821E-2</v>
      </c>
      <c r="AA5" s="12">
        <v>2.6385224274406333E-2</v>
      </c>
      <c r="AB5" s="12">
        <v>4.3478260869565216E-2</v>
      </c>
      <c r="AC5" s="12">
        <v>3.6363636363636362E-2</v>
      </c>
      <c r="AD5" s="12">
        <v>2.4E-2</v>
      </c>
      <c r="AE5" s="12">
        <v>6.3380281690140844E-2</v>
      </c>
      <c r="AF5" s="12">
        <v>3.614457831325301E-2</v>
      </c>
      <c r="AG5" s="12">
        <v>3.5294117647058823E-2</v>
      </c>
      <c r="AH5" s="12">
        <v>3.7037037037037035E-2</v>
      </c>
      <c r="AI5" s="12">
        <v>6.5789473684210523E-2</v>
      </c>
      <c r="AJ5" s="12">
        <v>6.7567567567567571E-2</v>
      </c>
      <c r="AK5" s="12">
        <v>3.048780487804878E-2</v>
      </c>
      <c r="AL5" s="18">
        <v>6.4220183486238536E-2</v>
      </c>
      <c r="AM5">
        <f t="shared" si="0"/>
        <v>4.4629229563543996E-2</v>
      </c>
    </row>
    <row r="6" spans="1:39" ht="15">
      <c r="A6" s="12"/>
      <c r="B6" s="17">
        <v>4</v>
      </c>
      <c r="C6" s="45">
        <f>(getDistance(coord!C4,coord!D4,coord!$C$1,coord!$D$1)*1000)/$C$20</f>
        <v>6.3479240244314714E-2</v>
      </c>
      <c r="D6" s="45">
        <f>(getDistance(coord!C4,coord!D4,coord!$C$2,coord!$D$2)*1000)/$D$20</f>
        <v>7.5531829384877472E-2</v>
      </c>
      <c r="E6" s="45">
        <f>(getDistance(coord!$C4,coord!$D4,coord!$C$3,coord!$D$3)*1000)/$E$20</f>
        <v>8.800400841849014E-2</v>
      </c>
      <c r="F6" s="46">
        <f>(getDistance(coord!$C4,coord!$D4,coord!$C$4,coord!$D$4)*1000)/$F$20</f>
        <v>0</v>
      </c>
      <c r="G6" s="45">
        <f>(getDistance(coord!$C4,coord!$D4,coord!$C$5,coord!$D$5)*1000)/$G$20</f>
        <v>0.13532669589065421</v>
      </c>
      <c r="H6" s="45">
        <f>(getDistance(coord!$C4,coord!$D4,coord!$C$6,coord!$D$6)*1000)/$H$20</f>
        <v>0.11768627586774991</v>
      </c>
      <c r="I6" s="45">
        <f>(getDistance(coord!$C4,coord!$D4,coord!$C$7,coord!$D$7)*1000)/$I$20</f>
        <v>0.11144001891511569</v>
      </c>
      <c r="J6" s="45">
        <f>(getDistance(coord!$C4,coord!$D4,coord!$C$8,coord!$D$8)*1000)/$J$20</f>
        <v>0.13205624405448768</v>
      </c>
      <c r="K6" s="45">
        <f>(getDistance(coord!$C4,coord!$D4,coord!$C$9,coord!$D$9)*1000)/$K$20</f>
        <v>0.13633197020169702</v>
      </c>
      <c r="L6" s="45">
        <f>(getDistance(coord!$C4,coord!$D4,coord!$C$10,coord!$D$10)*1000)/$L$20</f>
        <v>0.12509114644578523</v>
      </c>
      <c r="M6" s="45">
        <f>(getDistance(coord!$C4,coord!$D4,coord!$C$11,coord!$D$11)*1000)/$M$20</f>
        <v>6.6478851750094006E-2</v>
      </c>
      <c r="N6" s="45">
        <f>(getDistance(coord!$C4,coord!$D4,coord!$C$12,coord!$D$12)*1000)/$N$20</f>
        <v>9.7873585979555255E-2</v>
      </c>
      <c r="O6" s="45">
        <f>(getDistance(coord!$C4,coord!$D4,coord!$C$13,coord!$D$13)*1000)/$O$20</f>
        <v>1.6348341587255268E-2</v>
      </c>
      <c r="P6" s="45">
        <f>(getDistance(coord!$C4,coord!$D4,coord!$C$14,coord!$D$14)*1000)/$P$20</f>
        <v>4.9557575034467172E-2</v>
      </c>
      <c r="Q6" s="45">
        <f>(getDistance(coord!$C4,coord!$D4,coord!$C$15,coord!$D$15)*1000)/$Q$20</f>
        <v>0.1294425679412515</v>
      </c>
      <c r="R6" s="45">
        <f>(getDistance(coord!$C4,coord!$D4,coord!$C$16,coord!$D$16)*1000)/$R$20</f>
        <v>0.11186301713772151</v>
      </c>
      <c r="S6" s="45">
        <f>(getDistance(coord!$C4,coord!$D4,coord!$C$17,coord!$D$17)*1000)/$S$20</f>
        <v>0.12383620205405937</v>
      </c>
      <c r="T6" s="8" t="s">
        <v>17</v>
      </c>
      <c r="U6" s="17">
        <v>11</v>
      </c>
      <c r="V6" s="12">
        <v>5.5172413793103448E-2</v>
      </c>
      <c r="W6" s="12">
        <v>5.8823529411764705E-2</v>
      </c>
      <c r="X6" s="12">
        <v>6.0606060606060608E-2</v>
      </c>
      <c r="Y6" s="12">
        <v>2.8571428571428571E-2</v>
      </c>
      <c r="Z6" s="12">
        <v>7.0175438596491224E-2</v>
      </c>
      <c r="AA6" s="12">
        <v>3.9577836411609502E-2</v>
      </c>
      <c r="AB6" s="12">
        <v>6.5217391304347824E-2</v>
      </c>
      <c r="AC6" s="12">
        <v>3.6363636363636362E-2</v>
      </c>
      <c r="AD6" s="12">
        <v>3.2000000000000001E-2</v>
      </c>
      <c r="AE6" s="12">
        <v>6.3380281690140844E-2</v>
      </c>
      <c r="AF6" s="12">
        <v>4.8192771084337352E-2</v>
      </c>
      <c r="AG6" s="12">
        <v>4.7058823529411764E-2</v>
      </c>
      <c r="AH6" s="12">
        <v>6.1728395061728392E-2</v>
      </c>
      <c r="AI6" s="12">
        <v>7.8947368421052627E-2</v>
      </c>
      <c r="AJ6" s="12">
        <v>8.1081081081081086E-2</v>
      </c>
      <c r="AK6" s="12">
        <v>3.6585365853658534E-2</v>
      </c>
      <c r="AL6" s="18">
        <v>9.1743119266055051E-2</v>
      </c>
      <c r="AM6">
        <f t="shared" si="0"/>
        <v>5.6189702414465192E-2</v>
      </c>
    </row>
    <row r="7" spans="1:39" ht="15">
      <c r="A7" s="12"/>
      <c r="B7" s="17">
        <v>5</v>
      </c>
      <c r="C7" s="45">
        <f>(getDistance(coord!C5,coord!D5,coord!$C$1,coord!$D$1)*1000)/$C$20</f>
        <v>7.4513747663746827E-2</v>
      </c>
      <c r="D7" s="45">
        <f>(getDistance(coord!C5,coord!D5,coord!$C$2,coord!$D$2)*1000)/$D$20</f>
        <v>7.1332223275925158E-2</v>
      </c>
      <c r="E7" s="45">
        <f>(getDistance(coord!$C5,coord!$D5,coord!$C$3,coord!$D$3)*1000)/$E$20</f>
        <v>6.4427840249098367E-2</v>
      </c>
      <c r="F7" s="45">
        <f>(getDistance(coord!$C5,coord!$D5,coord!$C$4,coord!$D$4)*1000)/$F$20</f>
        <v>7.2686753478064511E-2</v>
      </c>
      <c r="G7" s="46">
        <f>(getDistance(coord!$C5,coord!$D5,coord!$C$5,coord!$D$5)*1000)/$G$20</f>
        <v>0</v>
      </c>
      <c r="H7" s="45">
        <f>(getDistance(coord!$C5,coord!$D5,coord!$C$6,coord!$D$6)*1000)/$H$20</f>
        <v>2.0764064813478561E-2</v>
      </c>
      <c r="I7" s="45">
        <f>(getDistance(coord!$C5,coord!$D5,coord!$C$7,coord!$D$7)*1000)/$I$20</f>
        <v>3.1073475364880684E-2</v>
      </c>
      <c r="J7" s="45">
        <f>(getDistance(coord!$C5,coord!$D5,coord!$C$8,coord!$D$8)*1000)/$J$20</f>
        <v>6.6997057360049812E-3</v>
      </c>
      <c r="K7" s="45">
        <f>(getDistance(coord!$C5,coord!$D5,coord!$C$9,coord!$D$9)*1000)/$K$20</f>
        <v>1.3639234596297669E-2</v>
      </c>
      <c r="L7" s="45">
        <f>(getDistance(coord!$C5,coord!$D5,coord!$C$10,coord!$D$10)*1000)/$L$20</f>
        <v>1.7651267526811714E-2</v>
      </c>
      <c r="M7" s="45">
        <f>(getDistance(coord!$C5,coord!$D5,coord!$C$11,coord!$D$11)*1000)/$M$20</f>
        <v>5.3560851603546879E-2</v>
      </c>
      <c r="N7" s="45">
        <f>(getDistance(coord!$C5,coord!$D5,coord!$C$12,coord!$D$12)*1000)/$N$20</f>
        <v>3.9018607255554762E-2</v>
      </c>
      <c r="O7" s="45">
        <f>(getDistance(coord!$C5,coord!$D5,coord!$C$13,coord!$D$13)*1000)/$O$20</f>
        <v>7.5467560403881626E-2</v>
      </c>
      <c r="P7" s="45">
        <f>(getDistance(coord!$C5,coord!$D5,coord!$C$14,coord!$D$14)*1000)/$P$20</f>
        <v>7.6258866569330716E-2</v>
      </c>
      <c r="Q7" s="45">
        <f>(getDistance(coord!$C5,coord!$D5,coord!$C$15,coord!$D$15)*1000)/$Q$20</f>
        <v>3.7959046248182332E-2</v>
      </c>
      <c r="R7" s="45">
        <f>(getDistance(coord!$C5,coord!$D5,coord!$C$16,coord!$D$16)*1000)/$R$20</f>
        <v>5.0538031267408988E-2</v>
      </c>
      <c r="S7" s="45">
        <f>(getDistance(coord!$C5,coord!$D5,coord!$C$17,coord!$D$17)*1000)/$S$20</f>
        <v>4.4755301363570019E-2</v>
      </c>
      <c r="T7" s="8" t="s">
        <v>18</v>
      </c>
      <c r="U7" s="17">
        <v>12</v>
      </c>
      <c r="V7" s="12">
        <v>6.2068965517241378E-2</v>
      </c>
      <c r="W7" s="12">
        <v>5.8823529411764705E-2</v>
      </c>
      <c r="X7" s="12">
        <v>6.0606060606060608E-2</v>
      </c>
      <c r="Y7" s="12">
        <v>4.7619047619047616E-2</v>
      </c>
      <c r="Z7" s="12">
        <v>7.0175438596491224E-2</v>
      </c>
      <c r="AA7" s="12">
        <v>6.3324538258575203E-2</v>
      </c>
      <c r="AB7" s="12">
        <v>6.5217391304347824E-2</v>
      </c>
      <c r="AC7" s="12">
        <v>5.4545454545454543E-2</v>
      </c>
      <c r="AD7" s="12">
        <v>0.04</v>
      </c>
      <c r="AE7" s="12">
        <v>6.3380281690140844E-2</v>
      </c>
      <c r="AF7" s="12">
        <v>6.0240963855421686E-2</v>
      </c>
      <c r="AG7" s="12">
        <v>5.8823529411764705E-2</v>
      </c>
      <c r="AH7" s="12">
        <v>8.6419753086419748E-2</v>
      </c>
      <c r="AI7" s="12">
        <v>9.2105263157894732E-2</v>
      </c>
      <c r="AJ7" s="12">
        <v>8.1081081081081086E-2</v>
      </c>
      <c r="AK7" s="12">
        <v>4.2682926829268296E-2</v>
      </c>
      <c r="AL7" s="18">
        <v>9.1743119266055051E-2</v>
      </c>
      <c r="AM7">
        <f t="shared" si="0"/>
        <v>6.4638667308060546E-2</v>
      </c>
    </row>
    <row r="8" spans="1:39" ht="15">
      <c r="A8" s="12"/>
      <c r="B8" s="17">
        <v>6</v>
      </c>
      <c r="C8" s="45">
        <f>(getDistance(coord!C6,coord!D6,coord!$C$1,coord!$D$1)*1000)/$C$20</f>
        <v>7.5503956165217129E-2</v>
      </c>
      <c r="D8" s="45">
        <f>(getDistance(coord!C6,coord!D6,coord!$C$2,coord!$D$2)*1000)/$D$20</f>
        <v>7.416462936716553E-2</v>
      </c>
      <c r="E8" s="45">
        <f>(getDistance(coord!$C6,coord!$D6,coord!$C$3,coord!$D$3)*1000)/$E$20</f>
        <v>6.8222078018574397E-2</v>
      </c>
      <c r="F8" s="45">
        <f>(getDistance(coord!$C6,coord!$D6,coord!$C$4,coord!$D$4)*1000)/$F$20</f>
        <v>6.6452890858092556E-2</v>
      </c>
      <c r="G8" s="45">
        <f>(getDistance(coord!$C6,coord!$D6,coord!$C$5,coord!$D$5)*1000)/$G$20</f>
        <v>2.1828738636758608E-2</v>
      </c>
      <c r="H8" s="46">
        <f>(getDistance(coord!$C6,coord!$D6,coord!$C$6,coord!$D$6)*1000)/$H$20</f>
        <v>0</v>
      </c>
      <c r="I8" s="45">
        <f>(getDistance(coord!$C6,coord!$D6,coord!$C$7,coord!$D$7)*1000)/$I$20</f>
        <v>2.9162206687823905E-2</v>
      </c>
      <c r="J8" s="45">
        <f>(getDistance(coord!$C6,coord!$D6,coord!$C$8,coord!$D$8)*1000)/$J$20</f>
        <v>1.6717233691112079E-2</v>
      </c>
      <c r="K8" s="45">
        <f>(getDistance(coord!$C6,coord!$D6,coord!$C$9,coord!$D$9)*1000)/$K$20</f>
        <v>3.4169011585670317E-2</v>
      </c>
      <c r="L8" s="45">
        <f>(getDistance(coord!$C6,coord!$D6,coord!$C$10,coord!$D$10)*1000)/$L$20</f>
        <v>1.8268829617316084E-2</v>
      </c>
      <c r="M8" s="45">
        <f>(getDistance(coord!$C6,coord!$D6,coord!$C$11,coord!$D$11)*1000)/$M$20</f>
        <v>4.1130588610241409E-2</v>
      </c>
      <c r="N8" s="45">
        <f>(getDistance(coord!$C6,coord!$D6,coord!$C$12,coord!$D$12)*1000)/$N$20</f>
        <v>3.3737409043053328E-2</v>
      </c>
      <c r="O8" s="45">
        <f>(getDistance(coord!$C6,coord!$D6,coord!$C$13,coord!$D$13)*1000)/$O$20</f>
        <v>7.0816044670883788E-2</v>
      </c>
      <c r="P8" s="45">
        <f>(getDistance(coord!$C6,coord!$D6,coord!$C$14,coord!$D$14)*1000)/$P$20</f>
        <v>7.5641428358044008E-2</v>
      </c>
      <c r="Q8" s="45">
        <f>(getDistance(coord!$C6,coord!$D6,coord!$C$15,coord!$D$15)*1000)/$Q$20</f>
        <v>5.5210243961729924E-2</v>
      </c>
      <c r="R8" s="45">
        <f>(getDistance(coord!$C6,coord!$D6,coord!$C$16,coord!$D$16)*1000)/$R$20</f>
        <v>6.4157895195982612E-2</v>
      </c>
      <c r="S8" s="45">
        <f>(getDistance(coord!$C6,coord!$D6,coord!$C$17,coord!$D$17)*1000)/$S$20</f>
        <v>6.067538526253205E-2</v>
      </c>
      <c r="T8" s="8" t="s">
        <v>19</v>
      </c>
      <c r="U8" s="17">
        <v>13</v>
      </c>
      <c r="V8" s="10">
        <v>7.586206896551724E-2</v>
      </c>
      <c r="W8" s="10">
        <v>7.8431372549019607E-2</v>
      </c>
      <c r="X8" s="12">
        <v>6.0606060606060608E-2</v>
      </c>
      <c r="Y8" s="12">
        <v>6.6666666666666666E-2</v>
      </c>
      <c r="Z8" s="12">
        <v>7.0175438596491224E-2</v>
      </c>
      <c r="AA8" s="12">
        <v>7.9155672823219003E-2</v>
      </c>
      <c r="AB8" s="12">
        <v>8.6956521739130432E-2</v>
      </c>
      <c r="AC8" s="12">
        <v>5.4545454545454543E-2</v>
      </c>
      <c r="AD8" s="12">
        <v>5.6000000000000001E-2</v>
      </c>
      <c r="AE8" s="12">
        <v>6.3380281690140844E-2</v>
      </c>
      <c r="AF8" s="12">
        <v>7.2289156626506021E-2</v>
      </c>
      <c r="AG8" s="12">
        <v>7.0588235294117646E-2</v>
      </c>
      <c r="AH8" s="12">
        <v>9.8765432098765427E-2</v>
      </c>
      <c r="AI8" s="12">
        <v>9.2105263157894732E-2</v>
      </c>
      <c r="AJ8" s="12">
        <v>8.1081081081081086E-2</v>
      </c>
      <c r="AK8" s="12">
        <v>5.4878048780487805E-2</v>
      </c>
      <c r="AL8" s="18">
        <v>9.1743119266055051E-2</v>
      </c>
      <c r="AM8">
        <f t="shared" si="0"/>
        <v>7.3719404381565184E-2</v>
      </c>
    </row>
    <row r="9" spans="1:39" ht="15">
      <c r="A9" s="12"/>
      <c r="B9" s="17">
        <v>7</v>
      </c>
      <c r="C9" s="45">
        <f>(getDistance(coord!C7,coord!D7,coord!$C$1,coord!$D$1)*1000)/$C$20</f>
        <v>0.11024602044878865</v>
      </c>
      <c r="D9" s="45">
        <f>(getDistance(coord!C7,coord!D7,coord!$C$2,coord!$D$2)*1000)/$D$20</f>
        <v>0.11010461508476854</v>
      </c>
      <c r="E9" s="45">
        <f>(getDistance(coord!$C7,coord!$D7,coord!$C$3,coord!$D$3)*1000)/$E$20</f>
        <v>0.10692499951284801</v>
      </c>
      <c r="F9" s="45">
        <f>(getDistance(coord!$C7,coord!$D7,coord!$C$4,coord!$D$4)*1000)/$F$20</f>
        <v>8.8443511207543263E-2</v>
      </c>
      <c r="G9" s="45">
        <f>(getDistance(coord!$C7,coord!$D7,coord!$C$5,coord!$D$5)*1000)/$G$20</f>
        <v>4.5913757294255543E-2</v>
      </c>
      <c r="H9" s="45">
        <f>(getDistance(coord!$C7,coord!$D7,coord!$C$6,coord!$D$6)*1000)/$H$20</f>
        <v>4.0988037398308211E-2</v>
      </c>
      <c r="I9" s="46">
        <f>(getDistance(coord!$C7,coord!$D7,coord!$C$7,coord!$D$7)*1000)/$I$20</f>
        <v>0</v>
      </c>
      <c r="J9" s="45">
        <f>(getDistance(coord!$C7,coord!$D7,coord!$C$8,coord!$D$8)*1000)/$J$20</f>
        <v>3.8743657867997619E-2</v>
      </c>
      <c r="K9" s="45">
        <f>(getDistance(coord!$C7,coord!$D7,coord!$C$9,coord!$D$9)*1000)/$K$20</f>
        <v>4.9244496620776908E-2</v>
      </c>
      <c r="L9" s="45">
        <f>(getDistance(coord!$C7,coord!$D7,coord!$C$10,coord!$D$10)*1000)/$L$20</f>
        <v>5.9262873544274626E-2</v>
      </c>
      <c r="M9" s="45">
        <f>(getDistance(coord!$C7,coord!$D7,coord!$C$11,coord!$D$11)*1000)/$M$20</f>
        <v>7.6742677255341979E-2</v>
      </c>
      <c r="N9" s="45">
        <f>(getDistance(coord!$C7,coord!$D7,coord!$C$12,coord!$D$12)*1000)/$N$20</f>
        <v>1.4538514946681543E-2</v>
      </c>
      <c r="O9" s="45">
        <f>(getDistance(coord!$C7,coord!$D7,coord!$C$13,coord!$D$13)*1000)/$O$20</f>
        <v>9.6802630564305797E-2</v>
      </c>
      <c r="P9" s="45">
        <f>(getDistance(coord!$C7,coord!$D7,coord!$C$14,coord!$D$14)*1000)/$P$20</f>
        <v>0.10771118170244345</v>
      </c>
      <c r="Q9" s="45">
        <f>(getDistance(coord!$C7,coord!$D7,coord!$C$15,coord!$D$15)*1000)/$Q$20</f>
        <v>7.7887990092287598E-2</v>
      </c>
      <c r="R9" s="45">
        <f>(getDistance(coord!$C7,coord!$D7,coord!$C$16,coord!$D$16)*1000)/$R$20</f>
        <v>7.7230351239655826E-2</v>
      </c>
      <c r="S9" s="45">
        <f>(getDistance(coord!$C7,coord!$D7,coord!$C$17,coord!$D$17)*1000)/$S$20</f>
        <v>8.2165573782386259E-2</v>
      </c>
      <c r="T9" s="8" t="s">
        <v>20</v>
      </c>
      <c r="U9" s="17">
        <v>14</v>
      </c>
      <c r="V9" s="10">
        <v>7.586206896551724E-2</v>
      </c>
      <c r="W9" s="10">
        <v>7.8431372549019607E-2</v>
      </c>
      <c r="X9" s="12">
        <v>6.0606060606060608E-2</v>
      </c>
      <c r="Y9" s="12">
        <v>8.5714285714285715E-2</v>
      </c>
      <c r="Z9" s="12">
        <v>7.0175438596491224E-2</v>
      </c>
      <c r="AA9" s="12">
        <v>7.9155672823219003E-2</v>
      </c>
      <c r="AB9" s="12">
        <v>8.6956521739130432E-2</v>
      </c>
      <c r="AC9" s="12">
        <v>7.2727272727272724E-2</v>
      </c>
      <c r="AD9" s="12">
        <v>7.1999999999999995E-2</v>
      </c>
      <c r="AE9" s="12">
        <v>6.3380281690140844E-2</v>
      </c>
      <c r="AF9" s="12">
        <v>8.4337349397590355E-2</v>
      </c>
      <c r="AG9" s="12">
        <v>8.2352941176470587E-2</v>
      </c>
      <c r="AH9" s="12">
        <v>9.8765432098765427E-2</v>
      </c>
      <c r="AI9" s="12">
        <v>9.2105263157894732E-2</v>
      </c>
      <c r="AJ9" s="12">
        <v>8.1081081081081086E-2</v>
      </c>
      <c r="AK9" s="12">
        <v>6.7073170731707321E-2</v>
      </c>
      <c r="AL9" s="18">
        <v>8.2568807339449546E-2</v>
      </c>
      <c r="AM9">
        <f t="shared" si="0"/>
        <v>7.8429001199652737E-2</v>
      </c>
    </row>
    <row r="10" spans="1:39" ht="15">
      <c r="A10" s="12"/>
      <c r="B10" s="17">
        <v>8</v>
      </c>
      <c r="C10" s="45">
        <f>(getDistance(coord!C8,coord!D8,coord!$C$1,coord!$D$1)*1000)/$C$20</f>
        <v>7.8116539205215205E-2</v>
      </c>
      <c r="D10" s="45">
        <f>(getDistance(coord!C8,coord!D8,coord!$C$2,coord!$D$2)*1000)/$D$20</f>
        <v>7.5528201747367199E-2</v>
      </c>
      <c r="E10" s="45">
        <f>(getDistance(coord!$C8,coord!$D8,coord!$C$3,coord!$D$3)*1000)/$E$20</f>
        <v>6.9070986320844893E-2</v>
      </c>
      <c r="F10" s="45">
        <f>(getDistance(coord!$C8,coord!$D8,coord!$C$4,coord!$D$4)*1000)/$F$20</f>
        <v>7.3097961577115442E-2</v>
      </c>
      <c r="G10" s="45">
        <f>(getDistance(coord!$C8,coord!$D8,coord!$C$5,coord!$D$5)*1000)/$G$20</f>
        <v>6.9044686187920493E-3</v>
      </c>
      <c r="H10" s="45">
        <f>(getDistance(coord!$C8,coord!$D8,coord!$C$6,coord!$D$6)*1000)/$H$20</f>
        <v>1.6387876424078383E-2</v>
      </c>
      <c r="I10" s="45">
        <f>(getDistance(coord!$C8,coord!$D8,coord!$C$7,coord!$D$7)*1000)/$I$20</f>
        <v>2.7022289830822523E-2</v>
      </c>
      <c r="J10" s="46">
        <f>(getDistance(coord!$C8,coord!$D8,coord!$C$8,coord!$D$8)*1000)/$J$20</f>
        <v>0</v>
      </c>
      <c r="K10" s="45">
        <f>(getDistance(coord!$C8,coord!$D8,coord!$C$9,coord!$D$9)*1000)/$K$20</f>
        <v>1.8865925894248264E-2</v>
      </c>
      <c r="L10" s="45">
        <f>(getDistance(coord!$C8,coord!$D8,coord!$C$10,coord!$D$10)*1000)/$L$20</f>
        <v>1.9370649843554015E-2</v>
      </c>
      <c r="M10" s="45">
        <f>(getDistance(coord!$C8,coord!$D8,coord!$C$11,coord!$D$11)*1000)/$M$20</f>
        <v>5.3047541420967771E-2</v>
      </c>
      <c r="N10" s="45">
        <f>(getDistance(coord!$C8,coord!$D8,coord!$C$12,coord!$D$12)*1000)/$N$20</f>
        <v>3.5229351517956919E-2</v>
      </c>
      <c r="O10" s="45">
        <f>(getDistance(coord!$C8,coord!$D8,coord!$C$13,coord!$D$13)*1000)/$O$20</f>
        <v>7.6712397791357037E-2</v>
      </c>
      <c r="P10" s="45">
        <f>(getDistance(coord!$C8,coord!$D8,coord!$C$14,coord!$D$14)*1000)/$P$20</f>
        <v>7.9191169760593288E-2</v>
      </c>
      <c r="Q10" s="45">
        <f>(getDistance(coord!$C8,coord!$D8,coord!$C$15,coord!$D$15)*1000)/$Q$20</f>
        <v>4.4365082357417922E-2</v>
      </c>
      <c r="R10" s="45">
        <f>(getDistance(coord!$C8,coord!$D8,coord!$C$16,coord!$D$16)*1000)/$R$20</f>
        <v>5.516766485577608E-2</v>
      </c>
      <c r="S10" s="45">
        <f>(getDistance(coord!$C8,coord!$D8,coord!$C$17,coord!$D$17)*1000)/$S$20</f>
        <v>5.0786616553483946E-2</v>
      </c>
      <c r="T10" s="8" t="s">
        <v>21</v>
      </c>
      <c r="U10" s="17">
        <v>15</v>
      </c>
      <c r="V10" s="10">
        <v>8.2758620689655171E-2</v>
      </c>
      <c r="W10" s="10">
        <v>9.8039215686274508E-2</v>
      </c>
      <c r="X10" s="12">
        <v>6.0606060606060608E-2</v>
      </c>
      <c r="Y10" s="12">
        <v>0.11428571428571428</v>
      </c>
      <c r="Z10" s="12">
        <v>7.0175438596491224E-2</v>
      </c>
      <c r="AA10" s="12">
        <v>7.9155672823219003E-2</v>
      </c>
      <c r="AB10" s="12">
        <v>8.6956521739130432E-2</v>
      </c>
      <c r="AC10" s="12">
        <v>7.2727272727272724E-2</v>
      </c>
      <c r="AD10" s="12">
        <v>9.6000000000000002E-2</v>
      </c>
      <c r="AE10" s="12">
        <v>6.3380281690140844E-2</v>
      </c>
      <c r="AF10" s="12">
        <v>9.6385542168674704E-2</v>
      </c>
      <c r="AG10" s="12">
        <v>9.4117647058823528E-2</v>
      </c>
      <c r="AH10" s="12">
        <v>9.8765432098765427E-2</v>
      </c>
      <c r="AI10" s="12">
        <v>9.2105263157894732E-2</v>
      </c>
      <c r="AJ10" s="12">
        <v>8.1081081081081086E-2</v>
      </c>
      <c r="AK10" s="12">
        <v>7.926829268292683E-2</v>
      </c>
      <c r="AL10" s="18">
        <v>8.2568807339449546E-2</v>
      </c>
      <c r="AM10">
        <f t="shared" si="0"/>
        <v>8.519863908421027E-2</v>
      </c>
    </row>
    <row r="11" spans="1:39" ht="15">
      <c r="A11" s="12"/>
      <c r="B11" s="17">
        <v>9</v>
      </c>
      <c r="C11" s="45">
        <f>(getDistance(coord!C9,coord!D9,coord!$C$1,coord!$D$1)*1000)/$C$20</f>
        <v>7.6853360723040068E-2</v>
      </c>
      <c r="D11" s="45">
        <f>(getDistance(coord!C9,coord!D9,coord!$C$2,coord!$D$2)*1000)/$D$20</f>
        <v>7.2892421099228111E-2</v>
      </c>
      <c r="E11" s="45">
        <f>(getDistance(coord!$C9,coord!$D9,coord!$C$3,coord!$D$3)*1000)/$E$20</f>
        <v>6.6269419242501834E-2</v>
      </c>
      <c r="F11" s="45">
        <f>(getDistance(coord!$C9,coord!$D9,coord!$C$4,coord!$D$4)*1000)/$F$20</f>
        <v>7.7821029734533517E-2</v>
      </c>
      <c r="G11" s="45">
        <f>(getDistance(coord!$C9,coord!$D9,coord!$C$5,coord!$D$5)*1000)/$G$20</f>
        <v>1.4494974915072205E-2</v>
      </c>
      <c r="H11" s="45">
        <f>(getDistance(coord!$C9,coord!$D9,coord!$C$6,coord!$D$6)*1000)/$H$20</f>
        <v>3.4541692980885677E-2</v>
      </c>
      <c r="I11" s="45">
        <f>(getDistance(coord!$C9,coord!$D9,coord!$C$7,coord!$D$7)*1000)/$I$20</f>
        <v>3.5418663225925767E-2</v>
      </c>
      <c r="J11" s="45">
        <f>(getDistance(coord!$C9,coord!$D9,coord!$C$8,coord!$D$8)*1000)/$J$20</f>
        <v>1.9454992196515256E-2</v>
      </c>
      <c r="K11" s="46">
        <f>(getDistance(coord!$C9,coord!$D9,coord!$C$9,coord!$D$9)*1000)/$K$20</f>
        <v>0</v>
      </c>
      <c r="L11" s="45">
        <f>(getDistance(coord!$C9,coord!$D9,coord!$C$10,coord!$D$10)*1000)/$L$20</f>
        <v>3.0051966035264915E-2</v>
      </c>
      <c r="M11" s="45">
        <f>(getDistance(coord!$C9,coord!$D9,coord!$C$11,coord!$D$11)*1000)/$M$20</f>
        <v>6.3956981472842303E-2</v>
      </c>
      <c r="N11" s="45">
        <f>(getDistance(coord!$C9,coord!$D9,coord!$C$12,coord!$D$12)*1000)/$N$20</f>
        <v>4.3841191653188123E-2</v>
      </c>
      <c r="O11" s="45">
        <f>(getDistance(coord!$C9,coord!$D9,coord!$C$13,coord!$D$13)*1000)/$O$20</f>
        <v>8.0008565439865093E-2</v>
      </c>
      <c r="P11" s="45">
        <f>(getDistance(coord!$C9,coord!$D9,coord!$C$14,coord!$D$14)*1000)/$P$20</f>
        <v>7.9114399096281499E-2</v>
      </c>
      <c r="Q11" s="45">
        <f>(getDistance(coord!$C9,coord!$D9,coord!$C$15,coord!$D$15)*1000)/$Q$20</f>
        <v>2.9333697451410307E-2</v>
      </c>
      <c r="R11" s="45">
        <f>(getDistance(coord!$C9,coord!$D9,coord!$C$16,coord!$D$16)*1000)/$R$20</f>
        <v>4.2305951765213359E-2</v>
      </c>
      <c r="S11" s="45">
        <f>(getDistance(coord!$C9,coord!$D9,coord!$C$17,coord!$D$17)*1000)/$S$20</f>
        <v>3.6437900182833403E-2</v>
      </c>
      <c r="T11" s="8" t="s">
        <v>22</v>
      </c>
      <c r="U11" s="17">
        <v>16</v>
      </c>
      <c r="V11" s="10">
        <v>8.2758620689655171E-2</v>
      </c>
      <c r="W11" s="10">
        <v>9.8039215686274508E-2</v>
      </c>
      <c r="X11" s="12">
        <v>6.0606060606060608E-2</v>
      </c>
      <c r="Y11" s="12">
        <v>0.11428571428571428</v>
      </c>
      <c r="Z11" s="12">
        <v>7.0175438596491224E-2</v>
      </c>
      <c r="AA11" s="12">
        <v>7.9155672823219003E-2</v>
      </c>
      <c r="AB11" s="12">
        <v>8.6956521739130432E-2</v>
      </c>
      <c r="AC11" s="12">
        <v>7.2727272727272724E-2</v>
      </c>
      <c r="AD11" s="12">
        <v>9.6000000000000002E-2</v>
      </c>
      <c r="AE11" s="12">
        <v>6.3380281690140844E-2</v>
      </c>
      <c r="AF11" s="12">
        <v>9.6385542168674704E-2</v>
      </c>
      <c r="AG11" s="12">
        <v>9.4117647058823528E-2</v>
      </c>
      <c r="AH11" s="12">
        <v>9.8765432098765427E-2</v>
      </c>
      <c r="AI11" s="12">
        <v>9.2105263157894732E-2</v>
      </c>
      <c r="AJ11" s="12">
        <v>8.1081081081081086E-2</v>
      </c>
      <c r="AK11" s="12">
        <v>9.1463414634146339E-2</v>
      </c>
      <c r="AL11" s="18">
        <v>7.3394495412844041E-2</v>
      </c>
      <c r="AM11">
        <f t="shared" si="0"/>
        <v>8.5376333791540512E-2</v>
      </c>
    </row>
    <row r="12" spans="1:39" ht="15">
      <c r="A12" s="12"/>
      <c r="B12" s="17">
        <v>10</v>
      </c>
      <c r="C12" s="45">
        <f>(getDistance(coord!C10,coord!D10,coord!$C$1,coord!$D$1)*1000)/$C$20</f>
        <v>6.3600540027924646E-2</v>
      </c>
      <c r="D12" s="45">
        <f>(getDistance(coord!C10,coord!D10,coord!$C$2,coord!$D$2)*1000)/$D$20</f>
        <v>6.0709928608488055E-2</v>
      </c>
      <c r="E12" s="45">
        <f>(getDistance(coord!$C10,coord!$D10,coord!$C$3,coord!$D$3)*1000)/$E$20</f>
        <v>5.3140429031264647E-2</v>
      </c>
      <c r="F12" s="45">
        <f>(getDistance(coord!$C10,coord!$D10,coord!$C$4,coord!$D$4)*1000)/$F$20</f>
        <v>6.3707311184292334E-2</v>
      </c>
      <c r="G12" s="45">
        <f>(getDistance(coord!$C10,coord!$D10,coord!$C$5,coord!$D$5)*1000)/$G$20</f>
        <v>1.6736583430925735E-2</v>
      </c>
      <c r="H12" s="45">
        <f>(getDistance(coord!$C10,coord!$D10,coord!$C$6,coord!$D$6)*1000)/$H$20</f>
        <v>1.6477274234803704E-2</v>
      </c>
      <c r="I12" s="45">
        <f>(getDistance(coord!$C10,coord!$D10,coord!$C$7,coord!$D$7)*1000)/$I$20</f>
        <v>3.8029499528976364E-2</v>
      </c>
      <c r="J12" s="45">
        <f>(getDistance(coord!$C10,coord!$D10,coord!$C$8,coord!$D$8)*1000)/$J$20</f>
        <v>1.7822169433337764E-2</v>
      </c>
      <c r="K12" s="45">
        <f>(getDistance(coord!$C10,coord!$D10,coord!$C$9,coord!$D$9)*1000)/$K$20</f>
        <v>2.6812439532441078E-2</v>
      </c>
      <c r="L12" s="46">
        <f>(getDistance(coord!$C10,coord!$D10,coord!$C$10,coord!$D$10)*1000)/$L$20</f>
        <v>0</v>
      </c>
      <c r="M12" s="45">
        <f>(getDistance(coord!$C10,coord!$D10,coord!$C$11,coord!$D$11)*1000)/$M$20</f>
        <v>3.9354063672278637E-2</v>
      </c>
      <c r="N12" s="45">
        <f>(getDistance(coord!$C10,coord!$D10,coord!$C$12,coord!$D$12)*1000)/$N$20</f>
        <v>4.2894568213011769E-2</v>
      </c>
      <c r="O12" s="45">
        <f>(getDistance(coord!$C10,coord!$D10,coord!$C$13,coord!$D$13)*1000)/$O$20</f>
        <v>6.5606399204571786E-2</v>
      </c>
      <c r="P12" s="45">
        <f>(getDistance(coord!$C10,coord!$D10,coord!$C$14,coord!$D$14)*1000)/$P$20</f>
        <v>6.5676574494798801E-2</v>
      </c>
      <c r="Q12" s="45">
        <f>(getDistance(coord!$C10,coord!$D10,coord!$C$15,coord!$D$15)*1000)/$Q$20</f>
        <v>4.0948212204785242E-2</v>
      </c>
      <c r="R12" s="45">
        <f>(getDistance(coord!$C10,coord!$D10,coord!$C$16,coord!$D$16)*1000)/$R$20</f>
        <v>5.3859370950850576E-2</v>
      </c>
      <c r="S12" s="45">
        <f>(getDistance(coord!$C10,coord!$D10,coord!$C$17,coord!$D$17)*1000)/$S$20</f>
        <v>4.684761894464741E-2</v>
      </c>
      <c r="T12" s="8" t="s">
        <v>23</v>
      </c>
      <c r="U12" s="17">
        <v>17</v>
      </c>
      <c r="V12" s="10">
        <v>8.2758620689655171E-2</v>
      </c>
      <c r="W12" s="10">
        <v>9.8039215686274508E-2</v>
      </c>
      <c r="X12" s="12">
        <v>6.0606060606060608E-2</v>
      </c>
      <c r="Y12" s="12">
        <v>0.11428571428571428</v>
      </c>
      <c r="Z12" s="12">
        <v>7.0175438596491224E-2</v>
      </c>
      <c r="AA12" s="12">
        <v>7.9155672823219003E-2</v>
      </c>
      <c r="AB12" s="12">
        <v>8.6956521739130432E-2</v>
      </c>
      <c r="AC12" s="12">
        <v>7.2727272727272724E-2</v>
      </c>
      <c r="AD12" s="12">
        <v>9.6000000000000002E-2</v>
      </c>
      <c r="AE12" s="12">
        <v>5.6338028169014086E-2</v>
      </c>
      <c r="AF12" s="12">
        <v>9.6385542168674704E-2</v>
      </c>
      <c r="AG12" s="12">
        <v>9.4117647058823528E-2</v>
      </c>
      <c r="AH12" s="12">
        <v>8.6419753086419748E-2</v>
      </c>
      <c r="AI12" s="12">
        <v>7.8947368421052627E-2</v>
      </c>
      <c r="AJ12" s="12">
        <v>8.1081081081081086E-2</v>
      </c>
      <c r="AK12" s="12">
        <v>9.7560975609756101E-2</v>
      </c>
      <c r="AL12" s="18">
        <v>7.3394495412844041E-2</v>
      </c>
      <c r="AM12">
        <f t="shared" si="0"/>
        <v>8.3820553421263766E-2</v>
      </c>
    </row>
    <row r="13" spans="1:39" ht="15">
      <c r="A13" s="12"/>
      <c r="B13" s="17">
        <v>11</v>
      </c>
      <c r="C13" s="45">
        <f>(getDistance(coord!C11,coord!D11,coord!$C$1,coord!$D$1)*1000)/$C$20</f>
        <v>5.3003930552678102E-2</v>
      </c>
      <c r="D13" s="45">
        <f>(getDistance(coord!C11,coord!D11,coord!$C$2,coord!$D$2)*1000)/$D$20</f>
        <v>5.5340149093294128E-2</v>
      </c>
      <c r="E13" s="45">
        <f>(getDistance(coord!$C11,coord!$D11,coord!$C$3,coord!$D$3)*1000)/$E$20</f>
        <v>5.2960760993775863E-2</v>
      </c>
      <c r="F13" s="45">
        <f>(getDistance(coord!$C11,coord!$D11,coord!$C$4,coord!$D$4)*1000)/$F$20</f>
        <v>4.1105496003302211E-2</v>
      </c>
      <c r="G13" s="45">
        <f>(getDistance(coord!$C11,coord!$D11,coord!$C$5,coord!$D$5)*1000)/$G$20</f>
        <v>6.1658373422498379E-2</v>
      </c>
      <c r="H13" s="45">
        <f>(getDistance(coord!$C11,coord!$D11,coord!$C$6,coord!$D$6)*1000)/$H$20</f>
        <v>4.5039467747617051E-2</v>
      </c>
      <c r="I13" s="45">
        <f>(getDistance(coord!$C11,coord!$D11,coord!$C$7,coord!$D$7)*1000)/$I$20</f>
        <v>5.9789996895561061E-2</v>
      </c>
      <c r="J13" s="45">
        <f>(getDistance(coord!$C11,coord!$D11,coord!$C$8,coord!$D$8)*1000)/$J$20</f>
        <v>5.9256407557506004E-2</v>
      </c>
      <c r="K13" s="45">
        <f>(getDistance(coord!$C11,coord!$D11,coord!$C$9,coord!$D$9)*1000)/$K$20</f>
        <v>6.9279553469114658E-2</v>
      </c>
      <c r="L13" s="45">
        <f>(getDistance(coord!$C11,coord!$D11,coord!$C$10,coord!$D$10)*1000)/$L$20</f>
        <v>4.7779683050346779E-2</v>
      </c>
      <c r="M13" s="46">
        <f>(getDistance(coord!$C11,coord!$D11,coord!$C$11,coord!$D$11)*1000)/$M$20</f>
        <v>0</v>
      </c>
      <c r="N13" s="45">
        <f>(getDistance(coord!$C11,coord!$D11,coord!$C$12,coord!$D$12)*1000)/$N$20</f>
        <v>5.572497415185388E-2</v>
      </c>
      <c r="O13" s="45">
        <f>(getDistance(coord!$C11,coord!$D11,coord!$C$13,coord!$D$13)*1000)/$O$20</f>
        <v>4.3871153743780165E-2</v>
      </c>
      <c r="P13" s="45">
        <f>(getDistance(coord!$C11,coord!$D11,coord!$C$14,coord!$D$14)*1000)/$P$20</f>
        <v>5.1083997047246268E-2</v>
      </c>
      <c r="Q13" s="45">
        <f>(getDistance(coord!$C11,coord!$D11,coord!$C$15,coord!$D$15)*1000)/$Q$20</f>
        <v>7.4081405748092202E-2</v>
      </c>
      <c r="R13" s="45">
        <f>(getDistance(coord!$C11,coord!$D11,coord!$C$16,coord!$D$16)*1000)/$R$20</f>
        <v>7.6744460092839653E-2</v>
      </c>
      <c r="S13" s="45">
        <f>(getDistance(coord!$C11,coord!$D11,coord!$C$17,coord!$D$17)*1000)/$S$20</f>
        <v>7.5515635864192812E-2</v>
      </c>
      <c r="T13" s="8" t="s">
        <v>24</v>
      </c>
      <c r="U13" s="17">
        <v>18</v>
      </c>
      <c r="V13" s="10">
        <v>8.2758620689655171E-2</v>
      </c>
      <c r="W13" s="10">
        <v>9.8039215686274508E-2</v>
      </c>
      <c r="X13" s="12">
        <v>6.0606060606060608E-2</v>
      </c>
      <c r="Y13" s="12">
        <v>0.11428571428571428</v>
      </c>
      <c r="Z13" s="12">
        <v>7.0175438596491224E-2</v>
      </c>
      <c r="AA13" s="12">
        <v>7.9155672823219003E-2</v>
      </c>
      <c r="AB13" s="12">
        <v>6.5217391304347824E-2</v>
      </c>
      <c r="AC13" s="12">
        <v>7.2727272727272724E-2</v>
      </c>
      <c r="AD13" s="12">
        <v>9.6000000000000002E-2</v>
      </c>
      <c r="AE13" s="12">
        <v>5.6338028169014086E-2</v>
      </c>
      <c r="AF13" s="12">
        <v>8.4337349397590355E-2</v>
      </c>
      <c r="AG13" s="12">
        <v>9.4117647058823528E-2</v>
      </c>
      <c r="AH13" s="12">
        <v>7.407407407407407E-2</v>
      </c>
      <c r="AI13" s="12">
        <v>6.5789473684210523E-2</v>
      </c>
      <c r="AJ13" s="12">
        <v>6.7567567567567571E-2</v>
      </c>
      <c r="AK13" s="12">
        <v>9.7560975609756101E-2</v>
      </c>
      <c r="AL13" s="18">
        <v>6.4220183486238536E-2</v>
      </c>
      <c r="AM13">
        <f t="shared" si="0"/>
        <v>7.8998275633312381E-2</v>
      </c>
    </row>
    <row r="14" spans="1:39" ht="15">
      <c r="A14" s="12"/>
      <c r="B14" s="17">
        <v>12</v>
      </c>
      <c r="C14" s="45">
        <f>(getDistance(coord!C12,coord!D12,coord!$C$1,coord!$D$1)*1000)/$C$20</f>
        <v>0.12442312897060948</v>
      </c>
      <c r="D14" s="45">
        <f>(getDistance(coord!C12,coord!D12,coord!$C$2,coord!$D$2)*1000)/$D$20</f>
        <v>0.12613552986261042</v>
      </c>
      <c r="E14" s="45">
        <f>(getDistance(coord!$C12,coord!$D12,coord!$C$3,coord!$D$3)*1000)/$E$20</f>
        <v>0.12486504824989027</v>
      </c>
      <c r="F14" s="45">
        <f>(getDistance(coord!$C12,coord!$D12,coord!$C$4,coord!$D$4)*1000)/$F$20</f>
        <v>9.2033808712977699E-2</v>
      </c>
      <c r="G14" s="45">
        <f>(getDistance(coord!$C12,coord!$D12,coord!$C$5,coord!$D$5)*1000)/$G$20</f>
        <v>6.8309619236441591E-2</v>
      </c>
      <c r="H14" s="45">
        <f>(getDistance(coord!$C12,coord!$D12,coord!$C$6,coord!$D$6)*1000)/$H$20</f>
        <v>5.6183082430647978E-2</v>
      </c>
      <c r="I14" s="45">
        <f>(getDistance(coord!$C12,coord!$D12,coord!$C$7,coord!$D$7)*1000)/$I$20</f>
        <v>1.722571046413977E-2</v>
      </c>
      <c r="J14" s="45">
        <f>(getDistance(coord!$C12,coord!$D12,coord!$C$8,coord!$D$8)*1000)/$J$20</f>
        <v>5.9846701388051766E-2</v>
      </c>
      <c r="K14" s="45">
        <f>(getDistance(coord!$C12,coord!$D12,coord!$C$9,coord!$D$9)*1000)/$K$20</f>
        <v>7.2221246955502236E-2</v>
      </c>
      <c r="L14" s="45">
        <f>(getDistance(coord!$C12,coord!$D12,coord!$C$10,coord!$D$10)*1000)/$L$20</f>
        <v>7.919932715662388E-2</v>
      </c>
      <c r="M14" s="45">
        <f>(getDistance(coord!$C12,coord!$D12,coord!$C$11,coord!$D$11)*1000)/$M$20</f>
        <v>8.4745254194830075E-2</v>
      </c>
      <c r="N14" s="46">
        <f>(getDistance(coord!$C12,coord!$D12,coord!$C$12,coord!$D$12)*1000)/$N$20</f>
        <v>0</v>
      </c>
      <c r="O14" s="45">
        <f>(getDistance(coord!$C12,coord!$D12,coord!$C$13,coord!$D$13)*1000)/$O$20</f>
        <v>0.10320279985749732</v>
      </c>
      <c r="P14" s="45">
        <f>(getDistance(coord!$C12,coord!$D12,coord!$C$14,coord!$D$14)*1000)/$P$20</f>
        <v>0.11958450576045555</v>
      </c>
      <c r="Q14" s="45">
        <f>(getDistance(coord!$C12,coord!$D12,coord!$C$15,coord!$D$15)*1000)/$Q$20</f>
        <v>0.10028480156895668</v>
      </c>
      <c r="R14" s="45">
        <f>(getDistance(coord!$C12,coord!$D12,coord!$C$16,coord!$D$16)*1000)/$R$20</f>
        <v>9.4494373602843837E-2</v>
      </c>
      <c r="S14" s="45">
        <f>(getDistance(coord!$C12,coord!$D12,coord!$C$17,coord!$D$17)*1000)/$S$20</f>
        <v>0.10336144240353058</v>
      </c>
      <c r="T14" s="8" t="s">
        <v>25</v>
      </c>
      <c r="U14" s="17">
        <v>19</v>
      </c>
      <c r="V14" s="10">
        <v>8.2758620689655171E-2</v>
      </c>
      <c r="W14" s="10">
        <v>9.8039215686274508E-2</v>
      </c>
      <c r="X14" s="12">
        <v>6.0606060606060608E-2</v>
      </c>
      <c r="Y14" s="12">
        <v>9.5238095238095233E-2</v>
      </c>
      <c r="Z14" s="12">
        <v>7.0175438596491224E-2</v>
      </c>
      <c r="AA14" s="12">
        <v>7.9155672823219003E-2</v>
      </c>
      <c r="AB14" s="12">
        <v>6.5217391304347824E-2</v>
      </c>
      <c r="AC14" s="12">
        <v>7.2727272727272724E-2</v>
      </c>
      <c r="AD14" s="12">
        <v>9.6000000000000002E-2</v>
      </c>
      <c r="AE14" s="12">
        <v>6.3380281690140844E-2</v>
      </c>
      <c r="AF14" s="12">
        <v>7.2289156626506021E-2</v>
      </c>
      <c r="AG14" s="12">
        <v>8.2352941176470587E-2</v>
      </c>
      <c r="AH14" s="12">
        <v>6.1728395061728392E-2</v>
      </c>
      <c r="AI14" s="12">
        <v>5.2631578947368418E-2</v>
      </c>
      <c r="AJ14" s="12">
        <v>5.4054054054054057E-2</v>
      </c>
      <c r="AK14" s="12">
        <v>8.5365853658536592E-2</v>
      </c>
      <c r="AL14" s="18">
        <v>5.5045871559633031E-2</v>
      </c>
      <c r="AM14">
        <f t="shared" si="0"/>
        <v>7.3339170614462018E-2</v>
      </c>
    </row>
    <row r="15" spans="1:39" ht="15">
      <c r="A15" s="12"/>
      <c r="B15" s="17">
        <v>13</v>
      </c>
      <c r="C15" s="45">
        <f>(getDistance(coord!C13,coord!D13,coord!$C$1,coord!$D$1)*1000)/$C$20</f>
        <v>4.3406939779412235E-2</v>
      </c>
      <c r="D15" s="45">
        <f>(getDistance(coord!C13,coord!D13,coord!$C$2,coord!$D$2)*1000)/$D$20</f>
        <v>5.5092401920754E-2</v>
      </c>
      <c r="E15" s="45">
        <f>(getDistance(coord!$C13,coord!$D13,coord!$C$3,coord!$D$3)*1000)/$E$20</f>
        <v>6.8007338920972327E-2</v>
      </c>
      <c r="F15" s="45">
        <f>(getDistance(coord!$C13,coord!$D13,coord!$C$4,coord!$D$4)*1000)/$F$20</f>
        <v>1.4438397823923838E-2</v>
      </c>
      <c r="G15" s="45">
        <f>(getDistance(coord!$C13,coord!$D13,coord!$C$5,coord!$D$5)*1000)/$G$20</f>
        <v>0.1240891523847116</v>
      </c>
      <c r="H15" s="45">
        <f>(getDistance(coord!$C13,coord!$D13,coord!$C$6,coord!$D$6)*1000)/$H$20</f>
        <v>0.11076152027668346</v>
      </c>
      <c r="I15" s="45">
        <f>(getDistance(coord!$C13,coord!$D13,coord!$C$7,coord!$D$7)*1000)/$I$20</f>
        <v>0.10772280686510681</v>
      </c>
      <c r="J15" s="45">
        <f>(getDistance(coord!$C13,coord!$D13,coord!$C$8,coord!$D$8)*1000)/$J$20</f>
        <v>0.12239524124525568</v>
      </c>
      <c r="K15" s="45">
        <f>(getDistance(coord!$C13,coord!$D13,coord!$C$9,coord!$D$9)*1000)/$K$20</f>
        <v>0.12378913316752277</v>
      </c>
      <c r="L15" s="45">
        <f>(getDistance(coord!$C13,coord!$D13,coord!$C$10,coord!$D$10)*1000)/$L$20</f>
        <v>0.11377027287175775</v>
      </c>
      <c r="M15" s="45">
        <f>(getDistance(coord!$C13,coord!$D13,coord!$C$11,coord!$D$11)*1000)/$M$20</f>
        <v>6.2662536812475564E-2</v>
      </c>
      <c r="N15" s="45">
        <f>(getDistance(coord!$C13,coord!$D13,coord!$C$12,coord!$D$12)*1000)/$N$20</f>
        <v>9.6929257430178856E-2</v>
      </c>
      <c r="O15" s="46">
        <f>(getDistance(coord!$C13,coord!$D13,coord!$C$13,coord!$D$13)*1000)/$O$20</f>
        <v>0</v>
      </c>
      <c r="P15" s="45">
        <f>(getDistance(coord!$C13,coord!$D13,coord!$C$14,coord!$D$14)*1000)/$P$20</f>
        <v>3.0320827121779963E-2</v>
      </c>
      <c r="Q15" s="45">
        <f>(getDistance(coord!$C13,coord!$D13,coord!$C$15,coord!$D$15)*1000)/$Q$20</f>
        <v>0.11247572642383664</v>
      </c>
      <c r="R15" s="45">
        <f>(getDistance(coord!$C13,coord!$D13,coord!$C$16,coord!$D$16)*1000)/$R$20</f>
        <v>9.6992800532127305E-2</v>
      </c>
      <c r="S15" s="45">
        <f>(getDistance(coord!$C13,coord!$D13,coord!$C$17,coord!$D$17)*1000)/$S$20</f>
        <v>0.10656888739771539</v>
      </c>
      <c r="T15" s="8" t="s">
        <v>26</v>
      </c>
      <c r="U15" s="17">
        <v>20</v>
      </c>
      <c r="V15" s="10">
        <v>6.2068965517241378E-2</v>
      </c>
      <c r="W15" s="10">
        <v>5.8823529411764705E-2</v>
      </c>
      <c r="X15" s="12">
        <v>6.0606060606060608E-2</v>
      </c>
      <c r="Y15" s="12">
        <v>6.6666666666666666E-2</v>
      </c>
      <c r="Z15" s="12">
        <v>6.1403508771929821E-2</v>
      </c>
      <c r="AA15" s="12">
        <v>7.9155672823219003E-2</v>
      </c>
      <c r="AB15" s="12">
        <v>4.3478260869565216E-2</v>
      </c>
      <c r="AC15" s="12">
        <v>0.16363636363636364</v>
      </c>
      <c r="AD15" s="12">
        <v>7.1999999999999995E-2</v>
      </c>
      <c r="AE15" s="12">
        <v>6.3380281690140844E-2</v>
      </c>
      <c r="AF15" s="12">
        <v>6.0240963855421686E-2</v>
      </c>
      <c r="AG15" s="12">
        <v>7.0588235294117646E-2</v>
      </c>
      <c r="AH15" s="12">
        <v>4.9382716049382713E-2</v>
      </c>
      <c r="AI15" s="12">
        <v>3.9473684210526314E-2</v>
      </c>
      <c r="AJ15" s="12">
        <v>5.4054054054054057E-2</v>
      </c>
      <c r="AK15" s="12">
        <v>7.926829268292683E-2</v>
      </c>
      <c r="AL15" s="18">
        <v>4.5871559633027525E-2</v>
      </c>
      <c r="AM15">
        <f t="shared" si="0"/>
        <v>6.647640092778874E-2</v>
      </c>
    </row>
    <row r="16" spans="1:39" ht="15">
      <c r="A16" s="12"/>
      <c r="B16" s="17">
        <v>14</v>
      </c>
      <c r="C16" s="45">
        <f>(getDistance(coord!C14,coord!D14,coord!$C$1,coord!$D$1)*1000)/$C$20</f>
        <v>1.1391037810811092E-2</v>
      </c>
      <c r="D16" s="45">
        <f>(getDistance(coord!C14,coord!D14,coord!$C$2,coord!$D$2)*1000)/$D$20</f>
        <v>2.1857505644037514E-2</v>
      </c>
      <c r="E16" s="45">
        <f>(getDistance(coord!$C14,coord!$D14,coord!$C$3,coord!$D$3)*1000)/$E$20</f>
        <v>3.5317455666289209E-2</v>
      </c>
      <c r="F16" s="45">
        <f>(getDistance(coord!$C14,coord!$D14,coord!$C$4,coord!$D$4)*1000)/$F$20</f>
        <v>3.5308611522660197E-2</v>
      </c>
      <c r="G16" s="45">
        <f>(getDistance(coord!$C14,coord!$D14,coord!$C$5,coord!$D$5)*1000)/$G$20</f>
        <v>0.10115541709631623</v>
      </c>
      <c r="H16" s="45">
        <f>(getDistance(coord!$C14,coord!$D14,coord!$C$6,coord!$D$6)*1000)/$H$20</f>
        <v>9.5442598560997072E-2</v>
      </c>
      <c r="I16" s="45">
        <f>(getDistance(coord!$C14,coord!$D14,coord!$C$7,coord!$D$7)*1000)/$I$20</f>
        <v>9.6695571475339706E-2</v>
      </c>
      <c r="J16" s="45">
        <f>(getDistance(coord!$C14,coord!$D14,coord!$C$8,coord!$D$8)*1000)/$J$20</f>
        <v>0.10192976553023066</v>
      </c>
      <c r="K16" s="45">
        <f>(getDistance(coord!$C14,coord!$D14,coord!$C$9,coord!$D$9)*1000)/$K$20</f>
        <v>9.8747671612708338E-2</v>
      </c>
      <c r="L16" s="45">
        <f>(getDistance(coord!$C14,coord!$D14,coord!$C$10,coord!$D$10)*1000)/$L$20</f>
        <v>9.1879449125607152E-2</v>
      </c>
      <c r="M16" s="45">
        <f>(getDistance(coord!$C14,coord!$D14,coord!$C$11,coord!$D$11)*1000)/$M$20</f>
        <v>5.8862551050327262E-2</v>
      </c>
      <c r="N16" s="45">
        <f>(getDistance(coord!$C14,coord!$D14,coord!$C$12,coord!$D$12)*1000)/$N$20</f>
        <v>9.0607388008584963E-2</v>
      </c>
      <c r="O16" s="45">
        <f>(getDistance(coord!$C14,coord!$D14,coord!$C$13,coord!$D$13)*1000)/$O$20</f>
        <v>2.4460556662748552E-2</v>
      </c>
      <c r="P16" s="46">
        <f>(getDistance(coord!$C14,coord!$D14,coord!$C$14,coord!$D$14)*1000)/$P$20</f>
        <v>0</v>
      </c>
      <c r="Q16" s="45">
        <f>(getDistance(coord!$C14,coord!$D14,coord!$C$15,coord!$D$15)*1000)/$Q$20</f>
        <v>8.1435855710390165E-2</v>
      </c>
      <c r="R16" s="45">
        <f>(getDistance(coord!$C14,coord!$D14,coord!$C$16,coord!$D$16)*1000)/$R$20</f>
        <v>7.0823158857472049E-2</v>
      </c>
      <c r="S16" s="45">
        <f>(getDistance(coord!$C14,coord!$D14,coord!$C$17,coord!$D$17)*1000)/$S$20</f>
        <v>7.5540162362182181E-2</v>
      </c>
      <c r="T16" s="8" t="s">
        <v>27</v>
      </c>
      <c r="U16" s="17">
        <v>21</v>
      </c>
      <c r="V16" s="10">
        <v>5.5172413793103448E-2</v>
      </c>
      <c r="W16" s="10">
        <v>3.9215686274509803E-2</v>
      </c>
      <c r="X16" s="12">
        <v>6.0606060606060608E-2</v>
      </c>
      <c r="Y16" s="12">
        <v>4.7619047619047616E-2</v>
      </c>
      <c r="Z16" s="12">
        <v>5.2631578947368418E-2</v>
      </c>
      <c r="AA16" s="12">
        <v>6.5963060686015831E-2</v>
      </c>
      <c r="AB16" s="12">
        <v>4.3478260869565216E-2</v>
      </c>
      <c r="AC16" s="12">
        <v>5.4545454545454543E-2</v>
      </c>
      <c r="AD16" s="12">
        <v>5.6000000000000001E-2</v>
      </c>
      <c r="AE16" s="12">
        <v>5.6338028169014086E-2</v>
      </c>
      <c r="AF16" s="12">
        <v>4.8192771084337352E-2</v>
      </c>
      <c r="AG16" s="12">
        <v>5.8823529411764705E-2</v>
      </c>
      <c r="AH16" s="12">
        <v>3.7037037037037035E-2</v>
      </c>
      <c r="AI16" s="12">
        <v>2.6315789473684209E-2</v>
      </c>
      <c r="AJ16" s="12">
        <v>4.0540540540540543E-2</v>
      </c>
      <c r="AK16" s="12">
        <v>7.3170731707317069E-2</v>
      </c>
      <c r="AL16" s="18">
        <v>3.669724770642202E-2</v>
      </c>
      <c r="AM16">
        <f t="shared" si="0"/>
        <v>5.0138072851249556E-2</v>
      </c>
    </row>
    <row r="17" spans="1:39" ht="15">
      <c r="A17" s="12"/>
      <c r="B17" s="17">
        <v>15</v>
      </c>
      <c r="C17" s="45">
        <f>(getDistance(coord!C15,coord!D15,coord!$C$1,coord!$D$1)*1000)/$C$20</f>
        <v>6.159839731125575E-2</v>
      </c>
      <c r="D17" s="45">
        <f>(getDistance(coord!C15,coord!D15,coord!$C$2,coord!$D$2)*1000)/$D$20</f>
        <v>5.5626049614270444E-2</v>
      </c>
      <c r="E17" s="45">
        <f>(getDistance(coord!$C15,coord!$D15,coord!$C$3,coord!$D$3)*1000)/$E$20</f>
        <v>4.9195690408532458E-2</v>
      </c>
      <c r="F17" s="45">
        <f>(getDistance(coord!$C15,coord!$D15,coord!$C$4,coord!$D$4)*1000)/$F$20</f>
        <v>7.4892785326375819E-2</v>
      </c>
      <c r="G17" s="45">
        <f>(getDistance(coord!$C15,coord!$D15,coord!$C$5,coord!$D$5)*1000)/$G$20</f>
        <v>4.088898791800083E-2</v>
      </c>
      <c r="H17" s="45">
        <f>(getDistance(coord!$C15,coord!$D15,coord!$C$6,coord!$D$6)*1000)/$H$20</f>
        <v>5.6571080039354259E-2</v>
      </c>
      <c r="I17" s="45">
        <f>(getDistance(coord!$C15,coord!$D15,coord!$C$7,coord!$D$7)*1000)/$I$20</f>
        <v>5.6781722241748413E-2</v>
      </c>
      <c r="J17" s="45">
        <f>(getDistance(coord!$C15,coord!$D15,coord!$C$8,coord!$D$8)*1000)/$J$20</f>
        <v>4.6372213769185183E-2</v>
      </c>
      <c r="K17" s="45">
        <f>(getDistance(coord!$C15,coord!$D15,coord!$C$9,coord!$D$9)*1000)/$K$20</f>
        <v>2.9732430251815069E-2</v>
      </c>
      <c r="L17" s="45">
        <f>(getDistance(coord!$C15,coord!$D15,coord!$C$10,coord!$D$10)*1000)/$L$20</f>
        <v>4.6519507142997685E-2</v>
      </c>
      <c r="M17" s="45">
        <f>(getDistance(coord!$C15,coord!$D15,coord!$C$11,coord!$D$11)*1000)/$M$20</f>
        <v>6.931954347696262E-2</v>
      </c>
      <c r="N17" s="45">
        <f>(getDistance(coord!$C15,coord!$D15,coord!$C$12,coord!$D$12)*1000)/$N$20</f>
        <v>6.1704393451557905E-2</v>
      </c>
      <c r="O17" s="45">
        <f>(getDistance(coord!$C15,coord!$D15,coord!$C$13,coord!$D$13)*1000)/$O$20</f>
        <v>7.3684538685649656E-2</v>
      </c>
      <c r="P17" s="45">
        <f>(getDistance(coord!$C15,coord!$D15,coord!$C$14,coord!$D$14)*1000)/$P$20</f>
        <v>6.6131433119642771E-2</v>
      </c>
      <c r="Q17" s="46">
        <f>(getDistance(coord!$C15,coord!$D15,coord!$C$15,coord!$D$15)*1000)/$Q$20</f>
        <v>0</v>
      </c>
      <c r="R17" s="45">
        <f>(getDistance(coord!$C15,coord!$D15,coord!$C$16,coord!$D$16)*1000)/$R$20</f>
        <v>2.3576226428328278E-2</v>
      </c>
      <c r="S17" s="45">
        <f>(getDistance(coord!$C15,coord!$D15,coord!$C$17,coord!$D$17)*1000)/$S$20</f>
        <v>9.0411429457393569E-3</v>
      </c>
      <c r="T17" s="8" t="s">
        <v>28</v>
      </c>
      <c r="U17" s="17">
        <v>22</v>
      </c>
      <c r="V17" s="10">
        <v>4.8275862068965517E-2</v>
      </c>
      <c r="W17" s="10">
        <v>1.9607843137254902E-2</v>
      </c>
      <c r="X17" s="12">
        <v>6.0606060606060608E-2</v>
      </c>
      <c r="Y17" s="12">
        <v>2.8571428571428571E-2</v>
      </c>
      <c r="Z17" s="12">
        <v>5.2631578947368418E-2</v>
      </c>
      <c r="AA17" s="12">
        <v>6.5963060686015831E-2</v>
      </c>
      <c r="AB17" s="12">
        <v>4.3478260869565216E-2</v>
      </c>
      <c r="AC17" s="12">
        <v>5.4545454545454543E-2</v>
      </c>
      <c r="AD17" s="12">
        <v>4.8000000000000001E-2</v>
      </c>
      <c r="AE17" s="12">
        <v>5.6338028169014086E-2</v>
      </c>
      <c r="AF17" s="12">
        <v>3.614457831325301E-2</v>
      </c>
      <c r="AG17" s="12">
        <v>4.7058823529411764E-2</v>
      </c>
      <c r="AH17" s="12">
        <v>3.7037037037037035E-2</v>
      </c>
      <c r="AI17" s="12">
        <v>2.6315789473684209E-2</v>
      </c>
      <c r="AJ17" s="12">
        <v>4.0540540540540543E-2</v>
      </c>
      <c r="AK17" s="12">
        <v>4.2682926829268296E-2</v>
      </c>
      <c r="AL17" s="18">
        <v>3.669724770642202E-2</v>
      </c>
      <c r="AM17">
        <f t="shared" si="0"/>
        <v>4.3793795354749684E-2</v>
      </c>
    </row>
    <row r="18" spans="1:39" ht="15">
      <c r="A18" s="10"/>
      <c r="B18" s="17">
        <v>16</v>
      </c>
      <c r="C18" s="45">
        <f>(getDistance(coord!C16,coord!D16,coord!$C$1,coord!$D$1)*1000)/$C$20</f>
        <v>7.4539863090210934E-2</v>
      </c>
      <c r="D18" s="45">
        <f>(getDistance(coord!C16,coord!D16,coord!$C$2,coord!$D$2)*1000)/$D$20</f>
        <v>6.9380858823358496E-2</v>
      </c>
      <c r="E18" s="45">
        <f>(getDistance(coord!$C16,coord!$D16,coord!$C$3,coord!$D$3)*1000)/$E$20</f>
        <v>6.8379776783968532E-2</v>
      </c>
      <c r="F18" s="45">
        <f>(getDistance(coord!$C16,coord!$D16,coord!$C$4,coord!$D$4)*1000)/$F$20</f>
        <v>8.7499184224573673E-2</v>
      </c>
      <c r="G18" s="45">
        <f>(getDistance(coord!$C16,coord!$D16,coord!$C$5,coord!$D$5)*1000)/$G$20</f>
        <v>7.3597659179639202E-2</v>
      </c>
      <c r="H18" s="45">
        <f>(getDistance(coord!$C16,coord!$D16,coord!$C$6,coord!$D$6)*1000)/$H$20</f>
        <v>8.8874981726127858E-2</v>
      </c>
      <c r="I18" s="45">
        <f>(getDistance(coord!$C16,coord!$D16,coord!$C$7,coord!$D$7)*1000)/$I$20</f>
        <v>7.6116828848675294E-2</v>
      </c>
      <c r="J18" s="45">
        <f>(getDistance(coord!$C16,coord!$D16,coord!$C$8,coord!$D$8)*1000)/$J$20</f>
        <v>7.7957113685623414E-2</v>
      </c>
      <c r="K18" s="45">
        <f>(getDistance(coord!$C16,coord!$D16,coord!$C$9,coord!$D$9)*1000)/$K$20</f>
        <v>5.7972186799735002E-2</v>
      </c>
      <c r="L18" s="45">
        <f>(getDistance(coord!$C16,coord!$D16,coord!$C$10,coord!$D$10)*1000)/$L$20</f>
        <v>8.2721052024025188E-2</v>
      </c>
      <c r="M18" s="45">
        <f>(getDistance(coord!$C16,coord!$D16,coord!$C$11,coord!$D$11)*1000)/$M$20</f>
        <v>9.708410399984746E-2</v>
      </c>
      <c r="N18" s="45">
        <f>(getDistance(coord!$C16,coord!$D16,coord!$C$12,coord!$D$12)*1000)/$N$20</f>
        <v>7.8603436061609189E-2</v>
      </c>
      <c r="O18" s="45">
        <f>(getDistance(coord!$C16,coord!$D16,coord!$C$13,coord!$D$13)*1000)/$O$20</f>
        <v>8.5903661228574124E-2</v>
      </c>
      <c r="P18" s="45">
        <f>(getDistance(coord!$C16,coord!$D16,coord!$C$14,coord!$D$14)*1000)/$P$20</f>
        <v>7.7753898977035094E-2</v>
      </c>
      <c r="Q18" s="45">
        <f>(getDistance(coord!$C16,coord!$D16,coord!$C$15,coord!$D$15)*1000)/$Q$20</f>
        <v>3.1873437683884037E-2</v>
      </c>
      <c r="R18" s="46">
        <f>(getDistance(coord!$C16,coord!$D16,coord!$C$16,coord!$D$16)*1000)/$R$20</f>
        <v>0</v>
      </c>
      <c r="S18" s="45">
        <f>(getDistance(coord!$C16,coord!$D16,coord!$C$17,coord!$D$17)*1000)/$S$20</f>
        <v>2.2366467553544888E-2</v>
      </c>
      <c r="T18" s="8" t="s">
        <v>29</v>
      </c>
      <c r="U18" s="17">
        <v>23</v>
      </c>
      <c r="V18" s="12">
        <v>2.7586206896551724E-2</v>
      </c>
      <c r="W18" s="12">
        <v>1.9607843137254902E-2</v>
      </c>
      <c r="X18" s="12">
        <v>6.0606060606060608E-2</v>
      </c>
      <c r="Y18" s="12">
        <v>1.9047619047619049E-2</v>
      </c>
      <c r="Z18" s="12">
        <v>3.5087719298245612E-2</v>
      </c>
      <c r="AA18" s="12">
        <v>3.9577836411609502E-2</v>
      </c>
      <c r="AB18" s="12">
        <v>4.3478260869565216E-2</v>
      </c>
      <c r="AC18" s="12">
        <v>3.6363636363636362E-2</v>
      </c>
      <c r="AD18" s="12">
        <v>4.8000000000000001E-2</v>
      </c>
      <c r="AE18" s="12">
        <v>4.9295774647887321E-2</v>
      </c>
      <c r="AF18" s="12">
        <v>3.614457831325301E-2</v>
      </c>
      <c r="AG18" s="12">
        <v>2.3529411764705882E-2</v>
      </c>
      <c r="AH18" s="12">
        <v>2.4691358024691357E-2</v>
      </c>
      <c r="AI18" s="12">
        <v>2.6315789473684209E-2</v>
      </c>
      <c r="AJ18" s="12">
        <v>2.7027027027027029E-2</v>
      </c>
      <c r="AK18" s="12">
        <v>4.2682926829268296E-2</v>
      </c>
      <c r="AL18" s="18">
        <v>3.669724770642202E-2</v>
      </c>
      <c r="AM18">
        <f t="shared" si="0"/>
        <v>3.504348802455777E-2</v>
      </c>
    </row>
    <row r="19" spans="1:39" ht="15.75" thickBot="1">
      <c r="A19" s="10"/>
      <c r="B19" s="19">
        <v>17</v>
      </c>
      <c r="C19" s="47">
        <f>(getDistance(coord!C17,coord!D17,coord!$C$1,coord!$D$1)*1000)/$C$20</f>
        <v>6.0432531522365308E-2</v>
      </c>
      <c r="D19" s="47">
        <f>(getDistance(coord!C17,coord!D17,coord!$C$2,coord!$D$2)*1000)/$D$20</f>
        <v>5.4221091431074626E-2</v>
      </c>
      <c r="E19" s="47">
        <f>(getDistance(coord!$C17,coord!$D17,coord!$C$3,coord!$D$3)*1000)/$E$20</f>
        <v>4.9108610527564232E-2</v>
      </c>
      <c r="F19" s="47">
        <f>(getDistance(coord!$C17,coord!$D17,coord!$C$4,coord!$D$4)*1000)/$F$20</f>
        <v>7.6124360699406909E-2</v>
      </c>
      <c r="G19" s="47">
        <f>(getDistance(coord!$C17,coord!$D17,coord!$C$5,coord!$D$5)*1000)/$G$20</f>
        <v>5.1221079450713469E-2</v>
      </c>
      <c r="H19" s="47">
        <f>(getDistance(coord!$C17,coord!$D17,coord!$C$6,coord!$D$6)*1000)/$H$20</f>
        <v>6.6054212362709239E-2</v>
      </c>
      <c r="I19" s="47">
        <f>(getDistance(coord!$C17,coord!$D17,coord!$C$7,coord!$D$7)*1000)/$I$20</f>
        <v>6.3641605632909978E-2</v>
      </c>
      <c r="J19" s="47">
        <f>(getDistance(coord!$C17,coord!$D17,coord!$C$8,coord!$D$8)*1000)/$J$20</f>
        <v>5.6399985146804513E-2</v>
      </c>
      <c r="K19" s="47">
        <f>(getDistance(coord!$C17,coord!$D17,coord!$C$9,coord!$D$9)*1000)/$K$20</f>
        <v>3.9240100764582453E-2</v>
      </c>
      <c r="L19" s="47">
        <f>(getDistance(coord!$C17,coord!$D17,coord!$C$10,coord!$D$10)*1000)/$L$20</f>
        <v>5.6545865245065975E-2</v>
      </c>
      <c r="M19" s="47">
        <f>(getDistance(coord!$C17,coord!$D17,coord!$C$11,coord!$D$11)*1000)/$M$20</f>
        <v>7.5075206325497953E-2</v>
      </c>
      <c r="N19" s="47">
        <f>(getDistance(coord!$C17,coord!$D17,coord!$C$12,coord!$D$12)*1000)/$N$20</f>
        <v>6.7569810514766349E-2</v>
      </c>
      <c r="O19" s="47">
        <f>(getDistance(coord!$C17,coord!$D17,coord!$C$13,coord!$D$13)*1000)/$O$20</f>
        <v>7.4175616662935109E-2</v>
      </c>
      <c r="P19" s="47">
        <f>(getDistance(coord!$C17,coord!$D17,coord!$C$14,coord!$D$14)*1000)/$P$20</f>
        <v>6.5175347551160764E-2</v>
      </c>
      <c r="Q19" s="47">
        <f>(getDistance(coord!$C17,coord!$D17,coord!$C$15,coord!$D$15)*1000)/$Q$20</f>
        <v>9.6058656335458042E-3</v>
      </c>
      <c r="R19" s="47">
        <f>(getDistance(coord!$C17,coord!$D17,coord!$C$16,coord!$D$16)*1000)/$R$20</f>
        <v>1.757745352532147E-2</v>
      </c>
      <c r="S19" s="54">
        <f>(getDistance(coord!$C17,coord!$D17,coord!$C$17,coord!$D$17)*1000)/$S$20</f>
        <v>0</v>
      </c>
      <c r="T19" s="8" t="s">
        <v>30</v>
      </c>
      <c r="U19" s="19">
        <v>24</v>
      </c>
      <c r="V19" s="20">
        <v>2.7586206896551724E-2</v>
      </c>
      <c r="W19" s="20">
        <v>1.9607843137254902E-2</v>
      </c>
      <c r="X19" s="20">
        <v>3.0303030303030304E-2</v>
      </c>
      <c r="Y19" s="20">
        <v>1.9047619047619049E-2</v>
      </c>
      <c r="Z19" s="20">
        <v>3.5087719298245612E-2</v>
      </c>
      <c r="AA19" s="20">
        <v>3.9577836411609502E-2</v>
      </c>
      <c r="AB19" s="20">
        <v>4.3478260869565216E-2</v>
      </c>
      <c r="AC19" s="20">
        <v>3.6363636363636362E-2</v>
      </c>
      <c r="AD19" s="20">
        <v>4.8000000000000001E-2</v>
      </c>
      <c r="AE19" s="20">
        <v>4.9295774647887321E-2</v>
      </c>
      <c r="AF19" s="20">
        <v>3.614457831325301E-2</v>
      </c>
      <c r="AG19" s="20">
        <v>1.1764705882352941E-2</v>
      </c>
      <c r="AH19" s="20">
        <v>1.2345679012345678E-2</v>
      </c>
      <c r="AI19" s="20">
        <v>2.6315789473684209E-2</v>
      </c>
      <c r="AJ19" s="20">
        <v>2.7027027027027029E-2</v>
      </c>
      <c r="AK19" s="20">
        <v>3.6585365853658534E-2</v>
      </c>
      <c r="AL19" s="21">
        <v>2.7522935779816515E-2</v>
      </c>
      <c r="AM19">
        <f t="shared" si="0"/>
        <v>3.0944353430443401E-2</v>
      </c>
    </row>
    <row r="20" spans="1:39" ht="15" thickBot="1">
      <c r="B20" s="8"/>
      <c r="C20" s="51">
        <v>3829.978895979646</v>
      </c>
      <c r="D20" s="51">
        <v>3616.0678119784002</v>
      </c>
      <c r="E20" s="51">
        <v>3314.493706896405</v>
      </c>
      <c r="F20" s="51">
        <v>5923.847449148986</v>
      </c>
      <c r="G20" s="51">
        <v>3181.8203817365966</v>
      </c>
      <c r="H20" s="51">
        <v>3344.9676701526337</v>
      </c>
      <c r="I20" s="51">
        <v>4701.4158231582978</v>
      </c>
      <c r="J20" s="51">
        <v>3279.0662518609661</v>
      </c>
      <c r="K20" s="51">
        <v>3381.4512311458216</v>
      </c>
      <c r="L20" s="51">
        <v>3016.9392764720842</v>
      </c>
      <c r="M20" s="51">
        <v>3662.8594091928085</v>
      </c>
      <c r="N20" s="51">
        <v>5570.3920268510847</v>
      </c>
      <c r="O20" s="51">
        <v>5231.7763035809749</v>
      </c>
      <c r="P20" s="51">
        <v>4220.6025649162793</v>
      </c>
      <c r="Q20" s="51">
        <v>3427.4152805487406</v>
      </c>
      <c r="R20" s="51">
        <v>4633.6298853195376</v>
      </c>
      <c r="S20" s="51">
        <v>3641.4965290232485</v>
      </c>
      <c r="V20">
        <v>725</v>
      </c>
      <c r="W20">
        <v>255</v>
      </c>
      <c r="X20">
        <v>165</v>
      </c>
      <c r="Y20">
        <v>525</v>
      </c>
      <c r="Z20">
        <v>570</v>
      </c>
      <c r="AA20">
        <v>379</v>
      </c>
      <c r="AB20">
        <v>230</v>
      </c>
      <c r="AC20">
        <v>275</v>
      </c>
      <c r="AD20">
        <v>625</v>
      </c>
      <c r="AE20">
        <v>710</v>
      </c>
      <c r="AF20">
        <v>415</v>
      </c>
      <c r="AG20">
        <v>425</v>
      </c>
      <c r="AH20">
        <v>405</v>
      </c>
      <c r="AI20">
        <v>380</v>
      </c>
      <c r="AJ20">
        <v>370</v>
      </c>
      <c r="AK20">
        <v>820</v>
      </c>
      <c r="AL20">
        <v>545</v>
      </c>
    </row>
    <row r="21" spans="1:39">
      <c r="A21" s="67" t="s">
        <v>4</v>
      </c>
      <c r="B21" s="14" t="s">
        <v>7</v>
      </c>
      <c r="C21" s="61" t="s">
        <v>9</v>
      </c>
      <c r="D21" s="61" t="s">
        <v>2</v>
      </c>
      <c r="E21" s="61" t="s">
        <v>1</v>
      </c>
      <c r="F21" s="61" t="s">
        <v>0</v>
      </c>
      <c r="G21" s="61"/>
      <c r="H21" s="62"/>
      <c r="U21" s="16" t="s">
        <v>12</v>
      </c>
      <c r="V21" s="5">
        <v>1</v>
      </c>
      <c r="W21" s="5">
        <v>2</v>
      </c>
      <c r="X21" s="5">
        <v>3</v>
      </c>
      <c r="Y21" s="5">
        <v>4</v>
      </c>
      <c r="Z21" s="5">
        <v>5</v>
      </c>
      <c r="AA21" s="5">
        <v>6</v>
      </c>
      <c r="AB21" s="5">
        <v>7</v>
      </c>
      <c r="AC21" s="5">
        <v>8</v>
      </c>
      <c r="AD21" s="5">
        <v>9</v>
      </c>
      <c r="AE21" s="5">
        <v>10</v>
      </c>
      <c r="AF21" s="5">
        <v>11</v>
      </c>
      <c r="AG21" s="5">
        <v>12</v>
      </c>
      <c r="AH21" s="5">
        <v>13</v>
      </c>
      <c r="AI21" s="5">
        <v>14</v>
      </c>
      <c r="AJ21" s="5">
        <v>15</v>
      </c>
      <c r="AK21" s="5">
        <v>16</v>
      </c>
      <c r="AL21" s="22">
        <v>17</v>
      </c>
    </row>
    <row r="22" spans="1:39">
      <c r="A22" s="17">
        <v>8</v>
      </c>
      <c r="B22" s="17">
        <v>11</v>
      </c>
      <c r="C22" s="4" t="str">
        <f>VLOOKUP(B22,$B$3:$T$19,19,1)</f>
        <v>Thunder Mtn</v>
      </c>
      <c r="D22" s="49">
        <f>ABS(E22)</f>
        <v>0</v>
      </c>
      <c r="E22" s="12"/>
      <c r="F22" s="12">
        <f>INDEX($U$2:$AL$19,MATCH(A22,$U$2:$U$19,0),MATCH(B22,$U$2:$AL$2,0))</f>
        <v>1.2048192771084338E-2</v>
      </c>
      <c r="G22" s="12"/>
      <c r="H22" s="18">
        <f>INDEX($U$21:$AL$38,MATCH(A22,$U$21:$U$38,0),MATCH(B22,$U$21:$AL$21,0))</f>
        <v>5</v>
      </c>
      <c r="M22" t="s">
        <v>17</v>
      </c>
      <c r="U22" s="17">
        <v>8</v>
      </c>
      <c r="V22">
        <f t="shared" ref="V22:AL36" si="1">V3*V$20</f>
        <v>10</v>
      </c>
      <c r="W22">
        <f t="shared" si="1"/>
        <v>5</v>
      </c>
      <c r="X22">
        <f t="shared" si="1"/>
        <v>10</v>
      </c>
      <c r="Y22">
        <f t="shared" si="1"/>
        <v>5.0000000000000009</v>
      </c>
      <c r="Z22">
        <f t="shared" si="1"/>
        <v>15</v>
      </c>
      <c r="AA22">
        <f t="shared" si="1"/>
        <v>5</v>
      </c>
      <c r="AB22">
        <f t="shared" si="1"/>
        <v>5</v>
      </c>
      <c r="AC22">
        <f t="shared" si="1"/>
        <v>5</v>
      </c>
      <c r="AD22">
        <f t="shared" si="1"/>
        <v>5</v>
      </c>
      <c r="AE22">
        <f t="shared" si="1"/>
        <v>35</v>
      </c>
      <c r="AF22">
        <f t="shared" si="1"/>
        <v>5</v>
      </c>
      <c r="AG22">
        <f t="shared" si="1"/>
        <v>5</v>
      </c>
      <c r="AH22">
        <f t="shared" si="1"/>
        <v>5</v>
      </c>
      <c r="AI22">
        <f t="shared" si="1"/>
        <v>5</v>
      </c>
      <c r="AJ22">
        <f t="shared" si="1"/>
        <v>5</v>
      </c>
      <c r="AK22">
        <f t="shared" si="1"/>
        <v>14.999999999999998</v>
      </c>
      <c r="AL22">
        <f t="shared" si="1"/>
        <v>5</v>
      </c>
    </row>
    <row r="23" spans="1:39">
      <c r="A23" s="17">
        <v>9</v>
      </c>
      <c r="B23" s="17">
        <v>6</v>
      </c>
      <c r="C23" s="4" t="str">
        <f t="shared" ref="C23:C38" si="2">VLOOKUP(B23,$B$3:$T$19,19,1)</f>
        <v>Dumbo</v>
      </c>
      <c r="D23" s="49">
        <f t="shared" ref="D23:D38" si="3">ABS(E23)</f>
        <v>4.5039467747617051E-2</v>
      </c>
      <c r="E23" s="38">
        <f t="shared" ref="E23:E38" si="4">INDEX($B$2:$S$19,MATCH(B22,$B$2:$B$19,0),MATCH(B23,$B$2:$S$2,0))</f>
        <v>4.5039467747617051E-2</v>
      </c>
      <c r="F23" s="12">
        <f t="shared" ref="F23:F38" si="5">INDEX($U$2:$AL$19,MATCH(A23,$U$2:$U$19,0),MATCH(B23,$U$2:$AL$2,0))</f>
        <v>1.3192612137203167E-2</v>
      </c>
      <c r="G23" s="38">
        <f>INDEX($U$39:$AL$56,MATCH(B22,$U$39:$U$56,0),MATCH(B23,$U$39:$AL$39,0))</f>
        <v>150.6555634966613</v>
      </c>
      <c r="H23" s="18">
        <f t="shared" ref="H23:H38" si="6">INDEX($U$21:$AL$38,MATCH(A23,$U$21:$U$38,0),MATCH(B23,$U$21:$AL$21,0))</f>
        <v>5</v>
      </c>
      <c r="M23" t="s">
        <v>14</v>
      </c>
      <c r="U23" s="17">
        <v>9</v>
      </c>
      <c r="V23">
        <f t="shared" si="1"/>
        <v>25</v>
      </c>
      <c r="W23">
        <f t="shared" si="1"/>
        <v>5</v>
      </c>
      <c r="X23">
        <f t="shared" si="1"/>
        <v>10</v>
      </c>
      <c r="Y23">
        <f t="shared" si="1"/>
        <v>5.0000000000000009</v>
      </c>
      <c r="Z23">
        <f t="shared" si="1"/>
        <v>25</v>
      </c>
      <c r="AA23">
        <f t="shared" si="1"/>
        <v>5</v>
      </c>
      <c r="AB23">
        <f t="shared" si="1"/>
        <v>5</v>
      </c>
      <c r="AC23">
        <f t="shared" si="1"/>
        <v>5</v>
      </c>
      <c r="AD23">
        <f t="shared" si="1"/>
        <v>10</v>
      </c>
      <c r="AE23">
        <f t="shared" si="1"/>
        <v>40</v>
      </c>
      <c r="AF23">
        <f t="shared" si="1"/>
        <v>10</v>
      </c>
      <c r="AG23">
        <f t="shared" si="1"/>
        <v>10</v>
      </c>
      <c r="AH23">
        <f t="shared" si="1"/>
        <v>10</v>
      </c>
      <c r="AI23">
        <f t="shared" si="1"/>
        <v>15</v>
      </c>
      <c r="AJ23">
        <f t="shared" si="1"/>
        <v>15</v>
      </c>
      <c r="AK23">
        <f t="shared" si="1"/>
        <v>20</v>
      </c>
      <c r="AL23">
        <f t="shared" si="1"/>
        <v>20</v>
      </c>
    </row>
    <row r="24" spans="1:39">
      <c r="A24" s="17">
        <v>10</v>
      </c>
      <c r="B24" s="17">
        <v>4</v>
      </c>
      <c r="C24" s="4" t="str">
        <f t="shared" si="2"/>
        <v>Splash Mtn</v>
      </c>
      <c r="D24" s="49">
        <f t="shared" si="3"/>
        <v>6.6452890858092556E-2</v>
      </c>
      <c r="E24" s="38">
        <f t="shared" si="4"/>
        <v>6.6452890858092556E-2</v>
      </c>
      <c r="F24" s="12">
        <f t="shared" si="5"/>
        <v>1.9047619047619049E-2</v>
      </c>
      <c r="G24" s="38">
        <f t="shared" ref="G24:G38" si="7">INDEX($U$39:$AL$56,MATCH(B23,$U$39:$U$56,0),MATCH(B24,$U$39:$AL$39,0))</f>
        <v>393.65678799828754</v>
      </c>
      <c r="H24" s="18">
        <f t="shared" si="6"/>
        <v>10.000000000000002</v>
      </c>
      <c r="M24" t="s">
        <v>25</v>
      </c>
      <c r="U24" s="17">
        <v>10</v>
      </c>
      <c r="V24">
        <f t="shared" si="1"/>
        <v>35</v>
      </c>
      <c r="W24">
        <f t="shared" si="1"/>
        <v>10</v>
      </c>
      <c r="X24">
        <f t="shared" si="1"/>
        <v>10</v>
      </c>
      <c r="Y24">
        <f t="shared" si="1"/>
        <v>10.000000000000002</v>
      </c>
      <c r="Z24">
        <f t="shared" si="1"/>
        <v>35</v>
      </c>
      <c r="AA24">
        <f t="shared" si="1"/>
        <v>10</v>
      </c>
      <c r="AB24">
        <f t="shared" si="1"/>
        <v>10</v>
      </c>
      <c r="AC24">
        <f t="shared" si="1"/>
        <v>10</v>
      </c>
      <c r="AD24">
        <f t="shared" si="1"/>
        <v>15</v>
      </c>
      <c r="AE24">
        <f t="shared" si="1"/>
        <v>45</v>
      </c>
      <c r="AF24">
        <f t="shared" si="1"/>
        <v>15</v>
      </c>
      <c r="AG24">
        <f t="shared" si="1"/>
        <v>15</v>
      </c>
      <c r="AH24">
        <f t="shared" si="1"/>
        <v>15</v>
      </c>
      <c r="AI24">
        <f t="shared" si="1"/>
        <v>25</v>
      </c>
      <c r="AJ24">
        <f t="shared" si="1"/>
        <v>25</v>
      </c>
      <c r="AK24">
        <f t="shared" si="1"/>
        <v>25</v>
      </c>
      <c r="AL24">
        <f t="shared" si="1"/>
        <v>35</v>
      </c>
    </row>
    <row r="25" spans="1:39">
      <c r="A25" s="17">
        <v>11</v>
      </c>
      <c r="B25" s="17">
        <v>9</v>
      </c>
      <c r="C25" s="4" t="str">
        <f t="shared" si="2"/>
        <v>Matterhorn</v>
      </c>
      <c r="D25" s="49">
        <f t="shared" si="3"/>
        <v>0.13633197020169702</v>
      </c>
      <c r="E25" s="38">
        <f t="shared" si="4"/>
        <v>0.13633197020169702</v>
      </c>
      <c r="F25" s="12">
        <f t="shared" si="5"/>
        <v>3.2000000000000001E-2</v>
      </c>
      <c r="G25" s="38">
        <f t="shared" si="7"/>
        <v>460.99990848306385</v>
      </c>
      <c r="H25" s="18">
        <f t="shared" si="6"/>
        <v>20</v>
      </c>
      <c r="M25" t="s">
        <v>29</v>
      </c>
      <c r="U25" s="17">
        <v>11</v>
      </c>
      <c r="V25">
        <f t="shared" si="1"/>
        <v>40</v>
      </c>
      <c r="W25">
        <f t="shared" si="1"/>
        <v>15</v>
      </c>
      <c r="X25">
        <f t="shared" si="1"/>
        <v>10</v>
      </c>
      <c r="Y25">
        <f t="shared" si="1"/>
        <v>15</v>
      </c>
      <c r="Z25">
        <f t="shared" si="1"/>
        <v>40</v>
      </c>
      <c r="AA25">
        <f t="shared" si="1"/>
        <v>15.000000000000002</v>
      </c>
      <c r="AB25">
        <f t="shared" si="1"/>
        <v>15</v>
      </c>
      <c r="AC25">
        <f t="shared" si="1"/>
        <v>10</v>
      </c>
      <c r="AD25">
        <f t="shared" si="1"/>
        <v>20</v>
      </c>
      <c r="AE25">
        <f t="shared" si="1"/>
        <v>45</v>
      </c>
      <c r="AF25">
        <f t="shared" si="1"/>
        <v>20</v>
      </c>
      <c r="AG25">
        <f t="shared" si="1"/>
        <v>20</v>
      </c>
      <c r="AH25">
        <f t="shared" si="1"/>
        <v>25</v>
      </c>
      <c r="AI25">
        <f t="shared" si="1"/>
        <v>30</v>
      </c>
      <c r="AJ25">
        <f t="shared" si="1"/>
        <v>30</v>
      </c>
      <c r="AK25">
        <f t="shared" si="1"/>
        <v>29.999999999999996</v>
      </c>
      <c r="AL25">
        <f t="shared" si="1"/>
        <v>50</v>
      </c>
    </row>
    <row r="26" spans="1:39">
      <c r="A26" s="17">
        <v>12</v>
      </c>
      <c r="B26" s="17">
        <v>16</v>
      </c>
      <c r="C26" s="4" t="str">
        <f t="shared" si="2"/>
        <v>Space Mtn</v>
      </c>
      <c r="D26" s="49">
        <f t="shared" si="3"/>
        <v>4.2305951765213359E-2</v>
      </c>
      <c r="E26" s="38">
        <f t="shared" si="4"/>
        <v>4.2305951765213359E-2</v>
      </c>
      <c r="F26" s="12">
        <f t="shared" si="5"/>
        <v>4.2682926829268296E-2</v>
      </c>
      <c r="G26" s="38">
        <f t="shared" si="7"/>
        <v>196.03012242617947</v>
      </c>
      <c r="H26" s="18">
        <f t="shared" si="6"/>
        <v>35</v>
      </c>
      <c r="M26" t="s">
        <v>28</v>
      </c>
      <c r="U26" s="17">
        <v>12</v>
      </c>
      <c r="V26">
        <f t="shared" si="1"/>
        <v>45</v>
      </c>
      <c r="W26">
        <f t="shared" si="1"/>
        <v>15</v>
      </c>
      <c r="X26">
        <f t="shared" si="1"/>
        <v>10</v>
      </c>
      <c r="Y26">
        <f t="shared" si="1"/>
        <v>25</v>
      </c>
      <c r="Z26">
        <f t="shared" si="1"/>
        <v>40</v>
      </c>
      <c r="AA26">
        <f t="shared" si="1"/>
        <v>24</v>
      </c>
      <c r="AB26">
        <f t="shared" si="1"/>
        <v>15</v>
      </c>
      <c r="AC26">
        <f t="shared" si="1"/>
        <v>15</v>
      </c>
      <c r="AD26">
        <f t="shared" si="1"/>
        <v>25</v>
      </c>
      <c r="AE26">
        <f t="shared" si="1"/>
        <v>45</v>
      </c>
      <c r="AF26">
        <f t="shared" si="1"/>
        <v>25</v>
      </c>
      <c r="AG26">
        <f t="shared" si="1"/>
        <v>25</v>
      </c>
      <c r="AH26">
        <f t="shared" si="1"/>
        <v>35</v>
      </c>
      <c r="AI26">
        <f t="shared" si="1"/>
        <v>35</v>
      </c>
      <c r="AJ26">
        <f t="shared" si="1"/>
        <v>30</v>
      </c>
      <c r="AK26">
        <f t="shared" si="1"/>
        <v>35</v>
      </c>
      <c r="AL26">
        <f t="shared" si="1"/>
        <v>50</v>
      </c>
    </row>
    <row r="27" spans="1:39">
      <c r="A27" s="17">
        <v>13</v>
      </c>
      <c r="B27" s="17">
        <v>8</v>
      </c>
      <c r="C27" s="4" t="str">
        <f t="shared" si="2"/>
        <v>Mad Tea</v>
      </c>
      <c r="D27" s="49">
        <f t="shared" si="3"/>
        <v>7.7957113685623414E-2</v>
      </c>
      <c r="E27" s="38">
        <f t="shared" si="4"/>
        <v>7.7957113685623414E-2</v>
      </c>
      <c r="F27" s="12">
        <f t="shared" si="5"/>
        <v>5.4545454545454543E-2</v>
      </c>
      <c r="G27" s="38">
        <f t="shared" si="7"/>
        <v>255.62654057901639</v>
      </c>
      <c r="H27" s="18">
        <f t="shared" si="6"/>
        <v>15</v>
      </c>
      <c r="M27" t="s">
        <v>30</v>
      </c>
      <c r="U27" s="17">
        <v>13</v>
      </c>
      <c r="V27">
        <f t="shared" si="1"/>
        <v>55</v>
      </c>
      <c r="W27">
        <f t="shared" si="1"/>
        <v>20</v>
      </c>
      <c r="X27">
        <f t="shared" si="1"/>
        <v>10</v>
      </c>
      <c r="Y27">
        <f t="shared" si="1"/>
        <v>35</v>
      </c>
      <c r="Z27">
        <f t="shared" si="1"/>
        <v>40</v>
      </c>
      <c r="AA27">
        <f t="shared" si="1"/>
        <v>30.000000000000004</v>
      </c>
      <c r="AB27">
        <f t="shared" si="1"/>
        <v>20</v>
      </c>
      <c r="AC27">
        <f t="shared" si="1"/>
        <v>15</v>
      </c>
      <c r="AD27">
        <f t="shared" si="1"/>
        <v>35</v>
      </c>
      <c r="AE27">
        <f t="shared" si="1"/>
        <v>45</v>
      </c>
      <c r="AF27">
        <f t="shared" si="1"/>
        <v>30</v>
      </c>
      <c r="AG27">
        <f t="shared" si="1"/>
        <v>30</v>
      </c>
      <c r="AH27">
        <f t="shared" si="1"/>
        <v>40</v>
      </c>
      <c r="AI27">
        <f t="shared" si="1"/>
        <v>35</v>
      </c>
      <c r="AJ27">
        <f t="shared" si="1"/>
        <v>30</v>
      </c>
      <c r="AK27">
        <f t="shared" si="1"/>
        <v>45</v>
      </c>
      <c r="AL27">
        <f t="shared" si="1"/>
        <v>50</v>
      </c>
    </row>
    <row r="28" spans="1:39">
      <c r="A28" s="17">
        <v>14</v>
      </c>
      <c r="B28" s="17">
        <v>1</v>
      </c>
      <c r="C28" s="4" t="str">
        <f t="shared" si="2"/>
        <v>Indiana Jones</v>
      </c>
      <c r="D28" s="49">
        <f t="shared" si="3"/>
        <v>7.8116539205215205E-2</v>
      </c>
      <c r="E28" s="38">
        <f t="shared" si="4"/>
        <v>7.8116539205215205E-2</v>
      </c>
      <c r="F28" s="12">
        <f t="shared" si="5"/>
        <v>7.586206896551724E-2</v>
      </c>
      <c r="G28" s="38">
        <f t="shared" si="7"/>
        <v>299.18469658294089</v>
      </c>
      <c r="H28" s="18">
        <f t="shared" si="6"/>
        <v>55</v>
      </c>
      <c r="M28" t="s">
        <v>24</v>
      </c>
      <c r="U28" s="17">
        <v>14</v>
      </c>
      <c r="V28">
        <f t="shared" si="1"/>
        <v>55</v>
      </c>
      <c r="W28">
        <f t="shared" si="1"/>
        <v>20</v>
      </c>
      <c r="X28">
        <f t="shared" si="1"/>
        <v>10</v>
      </c>
      <c r="Y28">
        <f t="shared" si="1"/>
        <v>45</v>
      </c>
      <c r="Z28">
        <f t="shared" si="1"/>
        <v>40</v>
      </c>
      <c r="AA28">
        <f t="shared" si="1"/>
        <v>30.000000000000004</v>
      </c>
      <c r="AB28">
        <f t="shared" si="1"/>
        <v>20</v>
      </c>
      <c r="AC28">
        <f t="shared" si="1"/>
        <v>20</v>
      </c>
      <c r="AD28">
        <f t="shared" si="1"/>
        <v>45</v>
      </c>
      <c r="AE28">
        <f t="shared" si="1"/>
        <v>45</v>
      </c>
      <c r="AF28">
        <f t="shared" si="1"/>
        <v>35</v>
      </c>
      <c r="AG28">
        <f t="shared" si="1"/>
        <v>35</v>
      </c>
      <c r="AH28">
        <f t="shared" si="1"/>
        <v>40</v>
      </c>
      <c r="AI28">
        <f t="shared" si="1"/>
        <v>35</v>
      </c>
      <c r="AJ28">
        <f t="shared" si="1"/>
        <v>30</v>
      </c>
      <c r="AK28">
        <f t="shared" si="1"/>
        <v>55</v>
      </c>
      <c r="AL28">
        <f t="shared" si="1"/>
        <v>45</v>
      </c>
    </row>
    <row r="29" spans="1:39">
      <c r="A29" s="17">
        <v>15</v>
      </c>
      <c r="B29" s="17">
        <v>5</v>
      </c>
      <c r="C29" s="29" t="str">
        <f t="shared" si="2"/>
        <v>Alice in Wonderland</v>
      </c>
      <c r="D29" s="48">
        <f t="shared" si="3"/>
        <v>8.9692706304415254E-2</v>
      </c>
      <c r="E29" s="36">
        <f t="shared" si="4"/>
        <v>8.9692706304415254E-2</v>
      </c>
      <c r="F29" s="27">
        <f t="shared" si="5"/>
        <v>7.0175438596491224E-2</v>
      </c>
      <c r="G29" s="38">
        <f t="shared" si="7"/>
        <v>285.38608101250298</v>
      </c>
      <c r="H29" s="18">
        <f t="shared" si="6"/>
        <v>40</v>
      </c>
      <c r="M29" t="s">
        <v>26</v>
      </c>
      <c r="U29" s="17">
        <v>15</v>
      </c>
      <c r="V29">
        <f t="shared" si="1"/>
        <v>60</v>
      </c>
      <c r="W29">
        <f t="shared" si="1"/>
        <v>25</v>
      </c>
      <c r="X29">
        <f t="shared" si="1"/>
        <v>10</v>
      </c>
      <c r="Y29">
        <f t="shared" si="1"/>
        <v>60</v>
      </c>
      <c r="Z29">
        <f t="shared" si="1"/>
        <v>40</v>
      </c>
      <c r="AA29">
        <f t="shared" si="1"/>
        <v>30.000000000000004</v>
      </c>
      <c r="AB29">
        <f t="shared" si="1"/>
        <v>20</v>
      </c>
      <c r="AC29">
        <f t="shared" si="1"/>
        <v>20</v>
      </c>
      <c r="AD29">
        <f t="shared" si="1"/>
        <v>60</v>
      </c>
      <c r="AE29">
        <f t="shared" si="1"/>
        <v>45</v>
      </c>
      <c r="AF29">
        <f t="shared" si="1"/>
        <v>40</v>
      </c>
      <c r="AG29">
        <f t="shared" si="1"/>
        <v>40</v>
      </c>
      <c r="AH29">
        <f t="shared" si="1"/>
        <v>40</v>
      </c>
      <c r="AI29">
        <f t="shared" si="1"/>
        <v>35</v>
      </c>
      <c r="AJ29">
        <f t="shared" si="1"/>
        <v>30</v>
      </c>
      <c r="AK29">
        <f t="shared" si="1"/>
        <v>65</v>
      </c>
      <c r="AL29">
        <f t="shared" si="1"/>
        <v>45</v>
      </c>
    </row>
    <row r="30" spans="1:39">
      <c r="A30" s="17">
        <v>16</v>
      </c>
      <c r="B30" s="17">
        <v>3</v>
      </c>
      <c r="C30" s="4" t="str">
        <f t="shared" si="2"/>
        <v>Tiki room</v>
      </c>
      <c r="D30" s="49">
        <f t="shared" si="3"/>
        <v>6.4427840249098367E-2</v>
      </c>
      <c r="E30" s="38">
        <f t="shared" si="4"/>
        <v>6.4427840249098367E-2</v>
      </c>
      <c r="F30" s="1">
        <f t="shared" si="5"/>
        <v>6.0606060606060608E-2</v>
      </c>
      <c r="G30" s="38">
        <f t="shared" si="7"/>
        <v>213.54567105456346</v>
      </c>
      <c r="H30" s="18">
        <f t="shared" si="6"/>
        <v>10</v>
      </c>
      <c r="M30" t="s">
        <v>22</v>
      </c>
      <c r="U30" s="17">
        <v>16</v>
      </c>
      <c r="V30">
        <f t="shared" si="1"/>
        <v>60</v>
      </c>
      <c r="W30">
        <f t="shared" si="1"/>
        <v>25</v>
      </c>
      <c r="X30">
        <f t="shared" si="1"/>
        <v>10</v>
      </c>
      <c r="Y30">
        <f t="shared" si="1"/>
        <v>60</v>
      </c>
      <c r="Z30">
        <f t="shared" si="1"/>
        <v>40</v>
      </c>
      <c r="AA30">
        <f t="shared" si="1"/>
        <v>30.000000000000004</v>
      </c>
      <c r="AB30">
        <f t="shared" si="1"/>
        <v>20</v>
      </c>
      <c r="AC30">
        <f t="shared" si="1"/>
        <v>20</v>
      </c>
      <c r="AD30">
        <f t="shared" si="1"/>
        <v>60</v>
      </c>
      <c r="AE30">
        <f t="shared" si="1"/>
        <v>45</v>
      </c>
      <c r="AF30">
        <f t="shared" si="1"/>
        <v>40</v>
      </c>
      <c r="AG30">
        <f t="shared" si="1"/>
        <v>40</v>
      </c>
      <c r="AH30">
        <f t="shared" si="1"/>
        <v>40</v>
      </c>
      <c r="AI30">
        <f t="shared" si="1"/>
        <v>35</v>
      </c>
      <c r="AJ30">
        <f t="shared" si="1"/>
        <v>30</v>
      </c>
      <c r="AK30">
        <f t="shared" si="1"/>
        <v>75</v>
      </c>
      <c r="AL30">
        <f t="shared" si="1"/>
        <v>40</v>
      </c>
    </row>
    <row r="31" spans="1:39">
      <c r="A31" s="17">
        <v>17</v>
      </c>
      <c r="B31" s="17">
        <v>10</v>
      </c>
      <c r="C31" s="4" t="str">
        <f t="shared" si="2"/>
        <v>Peter Pan</v>
      </c>
      <c r="D31" s="49">
        <f t="shared" si="3"/>
        <v>5.8381558747137567E-2</v>
      </c>
      <c r="E31" s="38">
        <f t="shared" si="4"/>
        <v>5.8381558747137567E-2</v>
      </c>
      <c r="F31" s="1">
        <f t="shared" si="5"/>
        <v>5.6338028169014086E-2</v>
      </c>
      <c r="G31" s="38">
        <f t="shared" si="7"/>
        <v>176.13361760590169</v>
      </c>
      <c r="H31" s="18">
        <f t="shared" si="6"/>
        <v>40</v>
      </c>
      <c r="U31" s="17">
        <v>17</v>
      </c>
      <c r="V31">
        <f t="shared" si="1"/>
        <v>60</v>
      </c>
      <c r="W31">
        <f t="shared" si="1"/>
        <v>25</v>
      </c>
      <c r="X31">
        <f t="shared" si="1"/>
        <v>10</v>
      </c>
      <c r="Y31">
        <f t="shared" si="1"/>
        <v>60</v>
      </c>
      <c r="Z31">
        <f t="shared" si="1"/>
        <v>40</v>
      </c>
      <c r="AA31">
        <f t="shared" si="1"/>
        <v>30.000000000000004</v>
      </c>
      <c r="AB31">
        <f t="shared" si="1"/>
        <v>20</v>
      </c>
      <c r="AC31">
        <f t="shared" si="1"/>
        <v>20</v>
      </c>
      <c r="AD31">
        <f t="shared" si="1"/>
        <v>60</v>
      </c>
      <c r="AE31">
        <f t="shared" si="1"/>
        <v>40</v>
      </c>
      <c r="AF31">
        <f t="shared" si="1"/>
        <v>40</v>
      </c>
      <c r="AG31">
        <f t="shared" si="1"/>
        <v>40</v>
      </c>
      <c r="AH31">
        <f t="shared" si="1"/>
        <v>35</v>
      </c>
      <c r="AI31">
        <f t="shared" si="1"/>
        <v>30</v>
      </c>
      <c r="AJ31">
        <f t="shared" si="1"/>
        <v>30</v>
      </c>
      <c r="AK31">
        <f t="shared" si="1"/>
        <v>80</v>
      </c>
      <c r="AL31">
        <f t="shared" si="1"/>
        <v>40</v>
      </c>
    </row>
    <row r="32" spans="1:39">
      <c r="A32" s="17">
        <v>18</v>
      </c>
      <c r="B32" s="17">
        <v>17</v>
      </c>
      <c r="C32" s="24" t="str">
        <f t="shared" si="2"/>
        <v>Star Tours</v>
      </c>
      <c r="D32" s="50">
        <f t="shared" si="3"/>
        <v>4.684761894464741E-2</v>
      </c>
      <c r="E32" s="41">
        <f t="shared" si="4"/>
        <v>4.684761894464741E-2</v>
      </c>
      <c r="F32" s="28">
        <f t="shared" si="5"/>
        <v>6.4220183486238536E-2</v>
      </c>
      <c r="G32" s="38">
        <f t="shared" si="7"/>
        <v>170.59544177993732</v>
      </c>
      <c r="H32" s="18">
        <f t="shared" si="6"/>
        <v>35</v>
      </c>
      <c r="U32" s="17">
        <v>18</v>
      </c>
      <c r="V32">
        <f t="shared" si="1"/>
        <v>60</v>
      </c>
      <c r="W32">
        <f t="shared" si="1"/>
        <v>25</v>
      </c>
      <c r="X32">
        <f t="shared" si="1"/>
        <v>10</v>
      </c>
      <c r="Y32">
        <f t="shared" si="1"/>
        <v>60</v>
      </c>
      <c r="Z32">
        <f t="shared" si="1"/>
        <v>40</v>
      </c>
      <c r="AA32">
        <f t="shared" si="1"/>
        <v>30.000000000000004</v>
      </c>
      <c r="AB32">
        <f t="shared" si="1"/>
        <v>15</v>
      </c>
      <c r="AC32">
        <f t="shared" si="1"/>
        <v>20</v>
      </c>
      <c r="AD32">
        <f t="shared" si="1"/>
        <v>60</v>
      </c>
      <c r="AE32">
        <f t="shared" si="1"/>
        <v>40</v>
      </c>
      <c r="AF32">
        <f t="shared" si="1"/>
        <v>35</v>
      </c>
      <c r="AG32">
        <f t="shared" si="1"/>
        <v>40</v>
      </c>
      <c r="AH32">
        <f t="shared" si="1"/>
        <v>30</v>
      </c>
      <c r="AI32">
        <f t="shared" si="1"/>
        <v>25</v>
      </c>
      <c r="AJ32">
        <f t="shared" si="1"/>
        <v>25</v>
      </c>
      <c r="AK32">
        <f t="shared" si="1"/>
        <v>80</v>
      </c>
      <c r="AL32">
        <f t="shared" si="1"/>
        <v>35</v>
      </c>
    </row>
    <row r="33" spans="1:38">
      <c r="A33" s="17">
        <v>19</v>
      </c>
      <c r="B33" s="17">
        <v>15</v>
      </c>
      <c r="C33" s="4" t="str">
        <f t="shared" si="2"/>
        <v>Buzz Lightyear</v>
      </c>
      <c r="D33" s="49">
        <f t="shared" si="3"/>
        <v>9.6058656335458042E-3</v>
      </c>
      <c r="E33" s="38">
        <f t="shared" si="4"/>
        <v>9.6058656335458042E-3</v>
      </c>
      <c r="F33" s="12">
        <f t="shared" si="5"/>
        <v>5.4054054054054057E-2</v>
      </c>
      <c r="G33" s="38">
        <f t="shared" si="7"/>
        <v>32.923290655312897</v>
      </c>
      <c r="H33" s="18">
        <f t="shared" si="6"/>
        <v>20</v>
      </c>
      <c r="U33" s="17">
        <v>19</v>
      </c>
      <c r="V33">
        <f t="shared" si="1"/>
        <v>60</v>
      </c>
      <c r="W33">
        <f t="shared" si="1"/>
        <v>25</v>
      </c>
      <c r="X33">
        <f t="shared" si="1"/>
        <v>10</v>
      </c>
      <c r="Y33">
        <f t="shared" si="1"/>
        <v>50</v>
      </c>
      <c r="Z33">
        <f t="shared" si="1"/>
        <v>40</v>
      </c>
      <c r="AA33">
        <f t="shared" si="1"/>
        <v>30.000000000000004</v>
      </c>
      <c r="AB33">
        <f t="shared" si="1"/>
        <v>15</v>
      </c>
      <c r="AC33">
        <f t="shared" si="1"/>
        <v>20</v>
      </c>
      <c r="AD33">
        <f t="shared" si="1"/>
        <v>60</v>
      </c>
      <c r="AE33">
        <f t="shared" si="1"/>
        <v>45</v>
      </c>
      <c r="AF33">
        <f t="shared" si="1"/>
        <v>30</v>
      </c>
      <c r="AG33">
        <f t="shared" si="1"/>
        <v>35</v>
      </c>
      <c r="AH33">
        <f t="shared" si="1"/>
        <v>25</v>
      </c>
      <c r="AI33">
        <f t="shared" si="1"/>
        <v>20</v>
      </c>
      <c r="AJ33">
        <f t="shared" si="1"/>
        <v>20</v>
      </c>
      <c r="AK33">
        <f t="shared" si="1"/>
        <v>70</v>
      </c>
      <c r="AL33">
        <f t="shared" si="1"/>
        <v>30</v>
      </c>
    </row>
    <row r="34" spans="1:38">
      <c r="A34" s="17">
        <v>20</v>
      </c>
      <c r="B34" s="17">
        <v>7</v>
      </c>
      <c r="C34" s="4" t="str">
        <f t="shared" si="2"/>
        <v>Small World</v>
      </c>
      <c r="D34" s="49">
        <f t="shared" si="3"/>
        <v>5.6781722241748413E-2</v>
      </c>
      <c r="E34" s="38">
        <f t="shared" si="4"/>
        <v>5.6781722241748413E-2</v>
      </c>
      <c r="F34" s="12">
        <f t="shared" si="5"/>
        <v>4.3478260869565216E-2</v>
      </c>
      <c r="G34" s="38">
        <f t="shared" si="7"/>
        <v>266.95448741353545</v>
      </c>
      <c r="H34" s="18">
        <f t="shared" si="6"/>
        <v>10</v>
      </c>
      <c r="U34" s="17">
        <v>20</v>
      </c>
      <c r="V34">
        <f t="shared" si="1"/>
        <v>45</v>
      </c>
      <c r="W34">
        <f t="shared" si="1"/>
        <v>15</v>
      </c>
      <c r="X34">
        <f t="shared" si="1"/>
        <v>10</v>
      </c>
      <c r="Y34">
        <f t="shared" si="1"/>
        <v>35</v>
      </c>
      <c r="Z34">
        <f t="shared" si="1"/>
        <v>35</v>
      </c>
      <c r="AA34">
        <f t="shared" si="1"/>
        <v>30.000000000000004</v>
      </c>
      <c r="AB34">
        <f t="shared" si="1"/>
        <v>10</v>
      </c>
      <c r="AC34">
        <f t="shared" si="1"/>
        <v>45</v>
      </c>
      <c r="AD34">
        <f t="shared" si="1"/>
        <v>45</v>
      </c>
      <c r="AE34">
        <f t="shared" si="1"/>
        <v>45</v>
      </c>
      <c r="AF34">
        <f t="shared" si="1"/>
        <v>25</v>
      </c>
      <c r="AG34">
        <f t="shared" si="1"/>
        <v>30</v>
      </c>
      <c r="AH34">
        <f t="shared" si="1"/>
        <v>20</v>
      </c>
      <c r="AI34">
        <f t="shared" si="1"/>
        <v>15</v>
      </c>
      <c r="AJ34">
        <f t="shared" si="1"/>
        <v>20</v>
      </c>
      <c r="AK34">
        <f t="shared" si="1"/>
        <v>65</v>
      </c>
      <c r="AL34">
        <f t="shared" si="1"/>
        <v>25</v>
      </c>
    </row>
    <row r="35" spans="1:38">
      <c r="A35" s="17">
        <v>21</v>
      </c>
      <c r="B35" s="17">
        <v>14</v>
      </c>
      <c r="C35" s="4" t="str">
        <f t="shared" si="2"/>
        <v>Pirates</v>
      </c>
      <c r="D35" s="49">
        <f t="shared" si="3"/>
        <v>0.10771118170244345</v>
      </c>
      <c r="E35" s="38">
        <f t="shared" si="4"/>
        <v>0.10771118170244345</v>
      </c>
      <c r="F35" s="12">
        <f t="shared" si="5"/>
        <v>2.6315789473684209E-2</v>
      </c>
      <c r="G35" s="38">
        <f t="shared" si="7"/>
        <v>454.60608976349624</v>
      </c>
      <c r="H35" s="18">
        <f t="shared" si="6"/>
        <v>10</v>
      </c>
      <c r="U35" s="17">
        <v>21</v>
      </c>
      <c r="V35">
        <f t="shared" si="1"/>
        <v>40</v>
      </c>
      <c r="W35">
        <f t="shared" si="1"/>
        <v>10</v>
      </c>
      <c r="X35">
        <f t="shared" si="1"/>
        <v>10</v>
      </c>
      <c r="Y35">
        <f t="shared" si="1"/>
        <v>25</v>
      </c>
      <c r="Z35">
        <f t="shared" si="1"/>
        <v>30</v>
      </c>
      <c r="AA35">
        <f t="shared" si="1"/>
        <v>25</v>
      </c>
      <c r="AB35">
        <f t="shared" si="1"/>
        <v>10</v>
      </c>
      <c r="AC35">
        <f t="shared" si="1"/>
        <v>15</v>
      </c>
      <c r="AD35">
        <f t="shared" si="1"/>
        <v>35</v>
      </c>
      <c r="AE35">
        <f t="shared" si="1"/>
        <v>40</v>
      </c>
      <c r="AF35">
        <f t="shared" si="1"/>
        <v>20</v>
      </c>
      <c r="AG35">
        <f t="shared" si="1"/>
        <v>25</v>
      </c>
      <c r="AH35">
        <f t="shared" si="1"/>
        <v>15</v>
      </c>
      <c r="AI35">
        <f t="shared" si="1"/>
        <v>10</v>
      </c>
      <c r="AJ35">
        <f t="shared" si="1"/>
        <v>15</v>
      </c>
      <c r="AK35">
        <f t="shared" si="1"/>
        <v>59.999999999999993</v>
      </c>
      <c r="AL35">
        <f t="shared" si="1"/>
        <v>20</v>
      </c>
    </row>
    <row r="36" spans="1:38">
      <c r="A36" s="17">
        <v>22</v>
      </c>
      <c r="B36" s="17">
        <v>2</v>
      </c>
      <c r="C36" s="4" t="str">
        <f t="shared" si="2"/>
        <v>Jungle Cruise</v>
      </c>
      <c r="D36" s="49">
        <f t="shared" si="3"/>
        <v>2.1857505644037514E-2</v>
      </c>
      <c r="E36" s="38">
        <f t="shared" si="4"/>
        <v>2.1857505644037514E-2</v>
      </c>
      <c r="F36" s="12">
        <f t="shared" si="5"/>
        <v>1.9607843137254902E-2</v>
      </c>
      <c r="G36" s="38">
        <f t="shared" si="7"/>
        <v>79.03822260954027</v>
      </c>
      <c r="H36" s="18">
        <f t="shared" si="6"/>
        <v>5</v>
      </c>
      <c r="U36" s="17">
        <v>22</v>
      </c>
      <c r="V36">
        <f t="shared" si="1"/>
        <v>35</v>
      </c>
      <c r="W36">
        <f t="shared" si="1"/>
        <v>5</v>
      </c>
      <c r="X36">
        <f t="shared" si="1"/>
        <v>10</v>
      </c>
      <c r="Y36">
        <f t="shared" si="1"/>
        <v>15</v>
      </c>
      <c r="Z36">
        <f t="shared" si="1"/>
        <v>30</v>
      </c>
      <c r="AA36">
        <f t="shared" si="1"/>
        <v>25</v>
      </c>
      <c r="AB36">
        <f t="shared" si="1"/>
        <v>10</v>
      </c>
      <c r="AC36">
        <f t="shared" si="1"/>
        <v>15</v>
      </c>
      <c r="AD36">
        <f t="shared" si="1"/>
        <v>30</v>
      </c>
      <c r="AE36">
        <f t="shared" si="1"/>
        <v>40</v>
      </c>
      <c r="AF36">
        <f t="shared" si="1"/>
        <v>15</v>
      </c>
      <c r="AG36">
        <f t="shared" si="1"/>
        <v>20</v>
      </c>
      <c r="AH36">
        <f t="shared" si="1"/>
        <v>15</v>
      </c>
      <c r="AI36">
        <f t="shared" si="1"/>
        <v>10</v>
      </c>
      <c r="AJ36">
        <f t="shared" si="1"/>
        <v>15</v>
      </c>
      <c r="AK36">
        <f t="shared" si="1"/>
        <v>35</v>
      </c>
      <c r="AL36">
        <f t="shared" si="1"/>
        <v>20</v>
      </c>
    </row>
    <row r="37" spans="1:38">
      <c r="A37" s="17">
        <v>23</v>
      </c>
      <c r="B37" s="17">
        <v>12</v>
      </c>
      <c r="C37" s="4" t="str">
        <f t="shared" si="2"/>
        <v>Toon Spin</v>
      </c>
      <c r="D37" s="49">
        <f t="shared" si="3"/>
        <v>8.1881962218171789E-2</v>
      </c>
      <c r="E37" s="38">
        <f t="shared" si="4"/>
        <v>8.1881962218171789E-2</v>
      </c>
      <c r="F37" s="12">
        <f t="shared" si="5"/>
        <v>2.3529411764705882E-2</v>
      </c>
      <c r="G37" s="38">
        <f t="shared" si="7"/>
        <v>456.11462948302591</v>
      </c>
      <c r="H37" s="18">
        <f t="shared" si="6"/>
        <v>10</v>
      </c>
      <c r="U37" s="17">
        <v>23</v>
      </c>
      <c r="V37">
        <f t="shared" ref="V37:AL38" si="8">V18*V$20</f>
        <v>20</v>
      </c>
      <c r="W37">
        <f t="shared" si="8"/>
        <v>5</v>
      </c>
      <c r="X37">
        <f t="shared" si="8"/>
        <v>10</v>
      </c>
      <c r="Y37">
        <f t="shared" si="8"/>
        <v>10.000000000000002</v>
      </c>
      <c r="Z37">
        <f t="shared" si="8"/>
        <v>20</v>
      </c>
      <c r="AA37">
        <f t="shared" si="8"/>
        <v>15.000000000000002</v>
      </c>
      <c r="AB37">
        <f t="shared" si="8"/>
        <v>10</v>
      </c>
      <c r="AC37">
        <f t="shared" si="8"/>
        <v>10</v>
      </c>
      <c r="AD37">
        <f t="shared" si="8"/>
        <v>30</v>
      </c>
      <c r="AE37">
        <f t="shared" si="8"/>
        <v>35</v>
      </c>
      <c r="AF37">
        <f t="shared" si="8"/>
        <v>15</v>
      </c>
      <c r="AG37">
        <f t="shared" si="8"/>
        <v>10</v>
      </c>
      <c r="AH37">
        <f t="shared" si="8"/>
        <v>10</v>
      </c>
      <c r="AI37">
        <f t="shared" si="8"/>
        <v>10</v>
      </c>
      <c r="AJ37">
        <f t="shared" si="8"/>
        <v>10</v>
      </c>
      <c r="AK37">
        <f t="shared" si="8"/>
        <v>35</v>
      </c>
      <c r="AL37">
        <f t="shared" si="8"/>
        <v>20</v>
      </c>
    </row>
    <row r="38" spans="1:38" ht="15" thickBot="1">
      <c r="A38" s="19">
        <v>24</v>
      </c>
      <c r="B38" s="19">
        <v>13</v>
      </c>
      <c r="C38" s="4" t="str">
        <f t="shared" si="2"/>
        <v>Haunted Mansion</v>
      </c>
      <c r="D38" s="49">
        <f t="shared" si="3"/>
        <v>0.10320279985749732</v>
      </c>
      <c r="E38" s="38">
        <f t="shared" si="4"/>
        <v>0.10320279985749732</v>
      </c>
      <c r="F38" s="12">
        <f t="shared" si="5"/>
        <v>1.2345679012345678E-2</v>
      </c>
      <c r="G38" s="38">
        <f t="shared" si="7"/>
        <v>539.93396275766452</v>
      </c>
      <c r="H38" s="18">
        <f t="shared" si="6"/>
        <v>5</v>
      </c>
      <c r="U38" s="19">
        <v>24</v>
      </c>
      <c r="V38">
        <f t="shared" si="8"/>
        <v>20</v>
      </c>
      <c r="W38">
        <f t="shared" si="8"/>
        <v>5</v>
      </c>
      <c r="X38">
        <f t="shared" si="8"/>
        <v>5</v>
      </c>
      <c r="Y38">
        <f t="shared" si="8"/>
        <v>10.000000000000002</v>
      </c>
      <c r="Z38">
        <f t="shared" si="8"/>
        <v>20</v>
      </c>
      <c r="AA38">
        <f t="shared" si="8"/>
        <v>15.000000000000002</v>
      </c>
      <c r="AB38">
        <f t="shared" si="8"/>
        <v>10</v>
      </c>
      <c r="AC38">
        <f t="shared" si="8"/>
        <v>10</v>
      </c>
      <c r="AD38">
        <f t="shared" si="8"/>
        <v>30</v>
      </c>
      <c r="AE38">
        <f t="shared" si="8"/>
        <v>35</v>
      </c>
      <c r="AF38">
        <f t="shared" si="8"/>
        <v>15</v>
      </c>
      <c r="AG38">
        <f t="shared" si="8"/>
        <v>5</v>
      </c>
      <c r="AH38">
        <f t="shared" si="8"/>
        <v>5</v>
      </c>
      <c r="AI38">
        <f t="shared" si="8"/>
        <v>10</v>
      </c>
      <c r="AJ38">
        <f t="shared" si="8"/>
        <v>10</v>
      </c>
      <c r="AK38">
        <f t="shared" si="8"/>
        <v>29.999999999999996</v>
      </c>
      <c r="AL38">
        <f t="shared" si="8"/>
        <v>15</v>
      </c>
    </row>
    <row r="39" spans="1:38" ht="15">
      <c r="A39" s="16"/>
      <c r="B39" s="12"/>
      <c r="C39" s="12"/>
      <c r="D39" s="49">
        <f>SUM(D22:D38)</f>
        <v>1.0865946950062015</v>
      </c>
      <c r="E39" s="12"/>
      <c r="F39" s="12">
        <f>SUM(F22:F38)</f>
        <v>0.68004962346556108</v>
      </c>
      <c r="G39" s="39">
        <f>SUM(G23:G38)</f>
        <v>4431.38511370163</v>
      </c>
      <c r="H39" s="68">
        <f>SUM(H22:H38)</f>
        <v>330</v>
      </c>
      <c r="K39">
        <f>D39-SUM(D29:D32)</f>
        <v>0.82724497076090286</v>
      </c>
      <c r="L39" t="s">
        <v>31</v>
      </c>
      <c r="V39" s="5">
        <v>1</v>
      </c>
      <c r="W39" s="5">
        <v>2</v>
      </c>
      <c r="X39" s="5">
        <v>3</v>
      </c>
      <c r="Y39" s="5">
        <v>4</v>
      </c>
      <c r="Z39" s="5">
        <v>5</v>
      </c>
      <c r="AA39" s="5">
        <v>6</v>
      </c>
      <c r="AB39" s="5">
        <v>7</v>
      </c>
      <c r="AC39" s="5">
        <v>8</v>
      </c>
      <c r="AD39" s="5">
        <v>9</v>
      </c>
      <c r="AE39" s="5">
        <v>10</v>
      </c>
      <c r="AF39" s="5">
        <v>11</v>
      </c>
      <c r="AG39" s="5">
        <v>12</v>
      </c>
      <c r="AH39" s="5">
        <v>13</v>
      </c>
      <c r="AI39" s="5">
        <v>14</v>
      </c>
      <c r="AJ39" s="5">
        <v>15</v>
      </c>
      <c r="AK39" s="5">
        <v>16</v>
      </c>
      <c r="AL39" s="22">
        <v>17</v>
      </c>
    </row>
    <row r="40" spans="1:38">
      <c r="A40" s="16"/>
      <c r="B40" s="12" t="s">
        <v>3</v>
      </c>
      <c r="C40" s="12"/>
      <c r="D40" s="69">
        <v>0</v>
      </c>
      <c r="E40" s="12"/>
      <c r="F40" s="69">
        <v>1</v>
      </c>
      <c r="G40" s="12"/>
      <c r="H40" s="18"/>
      <c r="K40">
        <f>F39-SUM(F29:F32)</f>
        <v>0.42870991260775659</v>
      </c>
      <c r="L40" t="s">
        <v>32</v>
      </c>
      <c r="U40" s="17">
        <v>1</v>
      </c>
      <c r="V40">
        <f>C3*C$20</f>
        <v>0</v>
      </c>
      <c r="W40">
        <f t="shared" ref="W40:AL55" si="9">D3*D$20</f>
        <v>35.41571747416252</v>
      </c>
      <c r="X40">
        <f t="shared" si="9"/>
        <v>75.235308449802986</v>
      </c>
      <c r="Y40">
        <f t="shared" si="9"/>
        <v>243.12415046854719</v>
      </c>
      <c r="Z40">
        <f t="shared" si="9"/>
        <v>285.38608101250298</v>
      </c>
      <c r="AA40">
        <f t="shared" si="9"/>
        <v>289.17855867575389</v>
      </c>
      <c r="AB40">
        <f t="shared" si="9"/>
        <v>422.239931684601</v>
      </c>
      <c r="AC40">
        <f t="shared" si="9"/>
        <v>299.18469658294089</v>
      </c>
      <c r="AD40">
        <f t="shared" si="9"/>
        <v>294.34674965435448</v>
      </c>
      <c r="AE40">
        <f t="shared" si="9"/>
        <v>243.58872607986009</v>
      </c>
      <c r="AF40">
        <f t="shared" si="9"/>
        <v>203.00393542072791</v>
      </c>
      <c r="AG40">
        <f t="shared" si="9"/>
        <v>476.53795812918798</v>
      </c>
      <c r="AH40">
        <f t="shared" si="9"/>
        <v>166.24766329420825</v>
      </c>
      <c r="AI40">
        <f t="shared" si="9"/>
        <v>43.627434418712667</v>
      </c>
      <c r="AJ40">
        <f t="shared" si="9"/>
        <v>235.9205617282789</v>
      </c>
      <c r="AK40">
        <f t="shared" si="9"/>
        <v>285.48610254472004</v>
      </c>
      <c r="AL40">
        <f t="shared" si="9"/>
        <v>231.45532036128384</v>
      </c>
    </row>
    <row r="41" spans="1:38">
      <c r="A41" s="16"/>
      <c r="B41" s="12"/>
      <c r="C41" s="12"/>
      <c r="D41" s="12"/>
      <c r="E41" s="12"/>
      <c r="F41" s="12"/>
      <c r="G41" s="12"/>
      <c r="H41" s="18"/>
      <c r="U41" s="17">
        <v>2</v>
      </c>
      <c r="V41">
        <f t="shared" ref="V41:AK56" si="10">C4*C$20</f>
        <v>35.41571747416252</v>
      </c>
      <c r="W41">
        <f t="shared" si="9"/>
        <v>0</v>
      </c>
      <c r="X41">
        <f t="shared" si="9"/>
        <v>44.436335182955069</v>
      </c>
      <c r="Y41">
        <f t="shared" si="9"/>
        <v>273.1282170184997</v>
      </c>
      <c r="Z41">
        <f t="shared" si="9"/>
        <v>257.94215654492939</v>
      </c>
      <c r="AA41">
        <f t="shared" si="9"/>
        <v>268.18432904191525</v>
      </c>
      <c r="AB41">
        <f t="shared" si="9"/>
        <v>398.14575455830294</v>
      </c>
      <c r="AC41">
        <f t="shared" si="9"/>
        <v>273.11509923526529</v>
      </c>
      <c r="AD41">
        <f t="shared" si="9"/>
        <v>263.58393767409399</v>
      </c>
      <c r="AE41">
        <f t="shared" si="9"/>
        <v>219.53121870866025</v>
      </c>
      <c r="AF41">
        <f t="shared" si="9"/>
        <v>200.11373184634655</v>
      </c>
      <c r="AG41">
        <f t="shared" si="9"/>
        <v>456.11462948302591</v>
      </c>
      <c r="AH41">
        <f t="shared" si="9"/>
        <v>199.21786127021554</v>
      </c>
      <c r="AI41">
        <f t="shared" si="9"/>
        <v>79.03822260954027</v>
      </c>
      <c r="AJ41">
        <f t="shared" si="9"/>
        <v>201.14756751767686</v>
      </c>
      <c r="AK41">
        <f t="shared" si="9"/>
        <v>250.88589035856424</v>
      </c>
      <c r="AL41">
        <f t="shared" si="9"/>
        <v>196.0671434542468</v>
      </c>
    </row>
    <row r="42" spans="1:38" ht="15" thickBot="1">
      <c r="A42" s="63"/>
      <c r="B42" s="20"/>
      <c r="C42" s="70">
        <f>D39*D40</f>
        <v>0</v>
      </c>
      <c r="D42" s="20"/>
      <c r="E42" s="20">
        <f>F39*F40</f>
        <v>0.68004962346556108</v>
      </c>
      <c r="F42" s="20" t="s">
        <v>8</v>
      </c>
      <c r="G42" s="20"/>
      <c r="H42" s="71">
        <f>E42+C42</f>
        <v>0.68004962346556108</v>
      </c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U42" s="17">
        <v>3</v>
      </c>
      <c r="V42">
        <f t="shared" si="10"/>
        <v>75.235308449802986</v>
      </c>
      <c r="W42">
        <f t="shared" si="9"/>
        <v>44.436335182955069</v>
      </c>
      <c r="X42">
        <f t="shared" si="9"/>
        <v>0</v>
      </c>
      <c r="Y42">
        <f t="shared" si="9"/>
        <v>291.68873208474383</v>
      </c>
      <c r="Z42">
        <f t="shared" si="9"/>
        <v>213.54567105456343</v>
      </c>
      <c r="AA42">
        <f t="shared" si="9"/>
        <v>226.12164826396045</v>
      </c>
      <c r="AB42">
        <f t="shared" si="9"/>
        <v>354.40223799523591</v>
      </c>
      <c r="AC42">
        <f t="shared" si="9"/>
        <v>228.93534948956807</v>
      </c>
      <c r="AD42">
        <f t="shared" si="9"/>
        <v>219.64957303895184</v>
      </c>
      <c r="AE42">
        <f t="shared" si="9"/>
        <v>176.13361760590169</v>
      </c>
      <c r="AF42">
        <f t="shared" si="9"/>
        <v>175.53810902631469</v>
      </c>
      <c r="AG42">
        <f t="shared" si="9"/>
        <v>413.86441663557724</v>
      </c>
      <c r="AH42">
        <f t="shared" si="9"/>
        <v>225.40989687633373</v>
      </c>
      <c r="AI42">
        <f t="shared" si="9"/>
        <v>117.05948454950837</v>
      </c>
      <c r="AJ42">
        <f t="shared" si="9"/>
        <v>163.05880626550467</v>
      </c>
      <c r="AK42">
        <f t="shared" si="9"/>
        <v>226.64433982944462</v>
      </c>
      <c r="AL42">
        <f t="shared" si="9"/>
        <v>162.77018054803818</v>
      </c>
    </row>
    <row r="43" spans="1:38">
      <c r="U43" s="17">
        <v>4</v>
      </c>
      <c r="V43">
        <f t="shared" si="10"/>
        <v>243.12415046854719</v>
      </c>
      <c r="W43">
        <f t="shared" si="9"/>
        <v>273.1282170184997</v>
      </c>
      <c r="X43">
        <f t="shared" si="9"/>
        <v>291.68873208474383</v>
      </c>
      <c r="Y43">
        <f t="shared" si="9"/>
        <v>0</v>
      </c>
      <c r="Z43">
        <f t="shared" si="9"/>
        <v>430.58523917795372</v>
      </c>
      <c r="AA43">
        <f t="shared" si="9"/>
        <v>393.65678799828754</v>
      </c>
      <c r="AB43">
        <f t="shared" si="9"/>
        <v>523.92586826058493</v>
      </c>
      <c r="AC43">
        <f t="shared" si="9"/>
        <v>433.02117322658592</v>
      </c>
      <c r="AD43">
        <f t="shared" si="9"/>
        <v>460.99990848306385</v>
      </c>
      <c r="AE43">
        <f t="shared" si="9"/>
        <v>377.39239285121079</v>
      </c>
      <c r="AF43">
        <f t="shared" si="9"/>
        <v>243.50268764516562</v>
      </c>
      <c r="AG43">
        <f t="shared" si="9"/>
        <v>545.19424297983869</v>
      </c>
      <c r="AH43">
        <f t="shared" si="9"/>
        <v>85.530866119049492</v>
      </c>
      <c r="AI43">
        <f t="shared" si="9"/>
        <v>209.16282830150311</v>
      </c>
      <c r="AJ43">
        <f t="shared" si="9"/>
        <v>443.65343531531391</v>
      </c>
      <c r="AK43">
        <f t="shared" si="9"/>
        <v>518.33181927135797</v>
      </c>
      <c r="AL43">
        <f t="shared" si="9"/>
        <v>450.94909994727891</v>
      </c>
    </row>
    <row r="44" spans="1:38">
      <c r="U44" s="17">
        <v>5</v>
      </c>
      <c r="V44">
        <f t="shared" si="10"/>
        <v>285.38608101250298</v>
      </c>
      <c r="W44">
        <f t="shared" si="9"/>
        <v>257.94215654492939</v>
      </c>
      <c r="X44">
        <f t="shared" si="9"/>
        <v>213.54567105456346</v>
      </c>
      <c r="Y44">
        <f t="shared" si="9"/>
        <v>430.58523917795367</v>
      </c>
      <c r="Z44">
        <f t="shared" si="9"/>
        <v>0</v>
      </c>
      <c r="AA44">
        <f t="shared" si="9"/>
        <v>69.455125502039664</v>
      </c>
      <c r="AB44">
        <f t="shared" si="9"/>
        <v>146.08932876096961</v>
      </c>
      <c r="AC44">
        <f t="shared" si="9"/>
        <v>21.968778976333269</v>
      </c>
      <c r="AD44">
        <f t="shared" si="9"/>
        <v>46.120406617537434</v>
      </c>
      <c r="AE44">
        <f t="shared" si="9"/>
        <v>53.25280228115453</v>
      </c>
      <c r="AF44">
        <f t="shared" si="9"/>
        <v>196.18586926043142</v>
      </c>
      <c r="AG44">
        <f t="shared" si="9"/>
        <v>217.34893875517614</v>
      </c>
      <c r="AH44">
        <f t="shared" si="9"/>
        <v>394.82939421009377</v>
      </c>
      <c r="AI44">
        <f t="shared" si="9"/>
        <v>321.85836784012554</v>
      </c>
      <c r="AJ44">
        <f t="shared" si="9"/>
        <v>130.10141514607648</v>
      </c>
      <c r="AK44">
        <f t="shared" si="9"/>
        <v>234.1745320258795</v>
      </c>
      <c r="AL44">
        <f t="shared" si="9"/>
        <v>162.97627457082967</v>
      </c>
    </row>
    <row r="45" spans="1:38">
      <c r="C45" t="s">
        <v>64</v>
      </c>
      <c r="G45">
        <f>G39*3</f>
        <v>13294.15534110489</v>
      </c>
      <c r="U45" s="17">
        <v>6</v>
      </c>
      <c r="V45">
        <f t="shared" si="10"/>
        <v>289.17855867575389</v>
      </c>
      <c r="W45">
        <f t="shared" si="9"/>
        <v>268.18432904191525</v>
      </c>
      <c r="X45">
        <f t="shared" si="9"/>
        <v>226.1216482639604</v>
      </c>
      <c r="Y45">
        <f t="shared" si="9"/>
        <v>393.65678799828754</v>
      </c>
      <c r="Z45">
        <f t="shared" si="9"/>
        <v>69.455125502039664</v>
      </c>
      <c r="AA45">
        <f t="shared" si="9"/>
        <v>0</v>
      </c>
      <c r="AB45">
        <f t="shared" si="9"/>
        <v>137.10365996034804</v>
      </c>
      <c r="AC45">
        <f t="shared" si="9"/>
        <v>54.816916820998749</v>
      </c>
      <c r="AD45">
        <f t="shared" si="9"/>
        <v>115.54084629340073</v>
      </c>
      <c r="AE45">
        <f t="shared" si="9"/>
        <v>55.11594960765737</v>
      </c>
      <c r="AF45">
        <f t="shared" si="9"/>
        <v>150.6555634966613</v>
      </c>
      <c r="AG45">
        <f t="shared" si="9"/>
        <v>187.93059434003794</v>
      </c>
      <c r="AH45">
        <f t="shared" si="9"/>
        <v>370.49370442246158</v>
      </c>
      <c r="AI45">
        <f t="shared" si="9"/>
        <v>319.2524065418915</v>
      </c>
      <c r="AJ45">
        <f t="shared" si="9"/>
        <v>189.22843379725697</v>
      </c>
      <c r="AK45">
        <f t="shared" si="9"/>
        <v>297.2839405593038</v>
      </c>
      <c r="AL45">
        <f t="shared" si="9"/>
        <v>220.94920483065883</v>
      </c>
    </row>
    <row r="46" spans="1:38">
      <c r="C46" t="s">
        <v>65</v>
      </c>
      <c r="G46">
        <f>G45/5280</f>
        <v>2.5178324509668353</v>
      </c>
      <c r="U46" s="17">
        <v>7</v>
      </c>
      <c r="V46">
        <f t="shared" si="10"/>
        <v>422.239931684601</v>
      </c>
      <c r="W46">
        <f t="shared" si="9"/>
        <v>398.14575455830294</v>
      </c>
      <c r="X46">
        <f t="shared" si="9"/>
        <v>354.40223799523591</v>
      </c>
      <c r="Y46">
        <f t="shared" si="9"/>
        <v>523.92586826058493</v>
      </c>
      <c r="Z46">
        <f t="shared" si="9"/>
        <v>146.08932876096961</v>
      </c>
      <c r="AA46">
        <f t="shared" si="9"/>
        <v>137.10365996034804</v>
      </c>
      <c r="AB46">
        <f t="shared" si="9"/>
        <v>0</v>
      </c>
      <c r="AC46">
        <f t="shared" si="9"/>
        <v>127.04302098859858</v>
      </c>
      <c r="AD46">
        <f t="shared" si="9"/>
        <v>166.51786372548233</v>
      </c>
      <c r="AE46">
        <f t="shared" si="9"/>
        <v>178.79249083232051</v>
      </c>
      <c r="AF46">
        <f t="shared" si="9"/>
        <v>281.09763747137629</v>
      </c>
      <c r="AG46">
        <f t="shared" si="9"/>
        <v>80.985227741250185</v>
      </c>
      <c r="AH46">
        <f t="shared" si="9"/>
        <v>506.4497087106385</v>
      </c>
      <c r="AI46">
        <f t="shared" si="9"/>
        <v>454.60608976349624</v>
      </c>
      <c r="AJ46">
        <f t="shared" si="9"/>
        <v>266.95448741353545</v>
      </c>
      <c r="AK46">
        <f t="shared" si="9"/>
        <v>357.85686355779404</v>
      </c>
      <c r="AL46">
        <f t="shared" si="9"/>
        <v>299.2056517337632</v>
      </c>
    </row>
    <row r="47" spans="1:38">
      <c r="C47" t="s">
        <v>66</v>
      </c>
      <c r="G47">
        <f>H39/60</f>
        <v>5.5</v>
      </c>
      <c r="U47" s="17">
        <v>8</v>
      </c>
      <c r="V47">
        <f t="shared" si="10"/>
        <v>299.18469658294089</v>
      </c>
      <c r="W47">
        <f t="shared" si="9"/>
        <v>273.11509923526529</v>
      </c>
      <c r="X47">
        <f t="shared" si="9"/>
        <v>228.93534948956807</v>
      </c>
      <c r="Y47">
        <f t="shared" si="9"/>
        <v>433.02117322658592</v>
      </c>
      <c r="Z47">
        <f t="shared" si="9"/>
        <v>21.968778976333269</v>
      </c>
      <c r="AA47">
        <f t="shared" si="9"/>
        <v>54.816916820998742</v>
      </c>
      <c r="AB47">
        <f t="shared" si="9"/>
        <v>127.04302098859857</v>
      </c>
      <c r="AC47">
        <f t="shared" si="9"/>
        <v>0</v>
      </c>
      <c r="AD47">
        <f t="shared" si="9"/>
        <v>63.794208341811625</v>
      </c>
      <c r="AE47">
        <f t="shared" si="9"/>
        <v>58.440074323805938</v>
      </c>
      <c r="AF47">
        <f t="shared" si="9"/>
        <v>194.30568622833704</v>
      </c>
      <c r="AG47">
        <f t="shared" si="9"/>
        <v>196.24129880676139</v>
      </c>
      <c r="AH47">
        <f t="shared" si="9"/>
        <v>401.34210495569926</v>
      </c>
      <c r="AI47">
        <f t="shared" si="9"/>
        <v>334.23445421028055</v>
      </c>
      <c r="AJ47">
        <f t="shared" si="9"/>
        <v>152.05756119461753</v>
      </c>
      <c r="AK47">
        <f t="shared" si="9"/>
        <v>255.62654057901639</v>
      </c>
      <c r="AL47">
        <f t="shared" si="9"/>
        <v>184.93928790034644</v>
      </c>
    </row>
    <row r="48" spans="1:38">
      <c r="C48" t="s">
        <v>67</v>
      </c>
      <c r="G48">
        <f>SUM(D29:D32)/D39</f>
        <v>0.2386811986449266</v>
      </c>
      <c r="U48" s="17">
        <v>9</v>
      </c>
      <c r="V48">
        <f t="shared" si="10"/>
        <v>294.34674965435448</v>
      </c>
      <c r="W48">
        <f t="shared" si="9"/>
        <v>263.58393767409399</v>
      </c>
      <c r="X48">
        <f t="shared" si="9"/>
        <v>219.64957303895184</v>
      </c>
      <c r="Y48">
        <f t="shared" si="9"/>
        <v>460.99990848306379</v>
      </c>
      <c r="Z48">
        <f t="shared" si="9"/>
        <v>46.120406617537434</v>
      </c>
      <c r="AA48">
        <f t="shared" si="9"/>
        <v>115.54084629340075</v>
      </c>
      <c r="AB48">
        <f t="shared" si="9"/>
        <v>166.51786372548233</v>
      </c>
      <c r="AC48">
        <f t="shared" si="9"/>
        <v>63.794208341811625</v>
      </c>
      <c r="AD48">
        <f t="shared" si="9"/>
        <v>0</v>
      </c>
      <c r="AE48">
        <f t="shared" si="9"/>
        <v>90.664956666995778</v>
      </c>
      <c r="AF48">
        <f t="shared" si="9"/>
        <v>234.26543137137057</v>
      </c>
      <c r="AG48">
        <f t="shared" si="9"/>
        <v>244.21262443256944</v>
      </c>
      <c r="AH48">
        <f t="shared" si="9"/>
        <v>418.58691675179392</v>
      </c>
      <c r="AI48">
        <f t="shared" si="9"/>
        <v>333.91043574757589</v>
      </c>
      <c r="AJ48">
        <f t="shared" si="9"/>
        <v>100.53876287995733</v>
      </c>
      <c r="AK48">
        <f t="shared" si="9"/>
        <v>196.03012242617947</v>
      </c>
      <c r="AL48">
        <f t="shared" si="9"/>
        <v>132.68848704068344</v>
      </c>
    </row>
    <row r="49" spans="3:38">
      <c r="C49" t="s">
        <v>68</v>
      </c>
      <c r="G49">
        <f>SUM(F29:F32)/F39</f>
        <v>0.36959025074812468</v>
      </c>
      <c r="U49" s="17">
        <v>10</v>
      </c>
      <c r="V49">
        <f t="shared" si="10"/>
        <v>243.58872607986012</v>
      </c>
      <c r="W49">
        <f t="shared" si="9"/>
        <v>219.53121870866028</v>
      </c>
      <c r="X49">
        <f t="shared" si="9"/>
        <v>176.13361760590169</v>
      </c>
      <c r="Y49">
        <f t="shared" si="9"/>
        <v>377.39239285121079</v>
      </c>
      <c r="Z49">
        <f t="shared" si="9"/>
        <v>53.252802281154523</v>
      </c>
      <c r="AA49">
        <f t="shared" si="9"/>
        <v>55.115949607657363</v>
      </c>
      <c r="AB49">
        <f t="shared" si="9"/>
        <v>178.79249083232051</v>
      </c>
      <c r="AC49">
        <f t="shared" si="9"/>
        <v>58.440074323805938</v>
      </c>
      <c r="AD49">
        <f t="shared" si="9"/>
        <v>90.664956666995778</v>
      </c>
      <c r="AE49">
        <f t="shared" si="9"/>
        <v>0</v>
      </c>
      <c r="AF49">
        <f t="shared" si="9"/>
        <v>144.14840241197871</v>
      </c>
      <c r="AG49">
        <f t="shared" si="9"/>
        <v>238.93956076898073</v>
      </c>
      <c r="AH49">
        <f t="shared" si="9"/>
        <v>343.23800472175236</v>
      </c>
      <c r="AI49">
        <f t="shared" si="9"/>
        <v>277.19471876766289</v>
      </c>
      <c r="AJ49">
        <f t="shared" si="9"/>
        <v>140.34652822183338</v>
      </c>
      <c r="AK49">
        <f t="shared" si="9"/>
        <v>249.56439084237218</v>
      </c>
      <c r="AL49">
        <f t="shared" si="9"/>
        <v>170.59544177993732</v>
      </c>
    </row>
    <row r="50" spans="3:38">
      <c r="U50" s="17">
        <v>11</v>
      </c>
      <c r="V50">
        <f t="shared" si="10"/>
        <v>203.00393542072791</v>
      </c>
      <c r="W50">
        <f t="shared" si="9"/>
        <v>200.11373184634655</v>
      </c>
      <c r="X50">
        <f t="shared" si="9"/>
        <v>175.53810902631469</v>
      </c>
      <c r="Y50">
        <f t="shared" si="9"/>
        <v>243.50268764516565</v>
      </c>
      <c r="Z50">
        <f t="shared" si="9"/>
        <v>196.18586926043142</v>
      </c>
      <c r="AA50">
        <f t="shared" si="9"/>
        <v>150.6555634966613</v>
      </c>
      <c r="AB50">
        <f t="shared" si="9"/>
        <v>281.09763747137629</v>
      </c>
      <c r="AC50">
        <f t="shared" si="9"/>
        <v>194.30568622833704</v>
      </c>
      <c r="AD50">
        <f t="shared" si="9"/>
        <v>234.26543137137054</v>
      </c>
      <c r="AE50">
        <f t="shared" si="9"/>
        <v>144.14840241197871</v>
      </c>
      <c r="AF50">
        <f t="shared" si="9"/>
        <v>0</v>
      </c>
      <c r="AG50">
        <f t="shared" si="9"/>
        <v>310.40995171196965</v>
      </c>
      <c r="AH50">
        <f t="shared" si="9"/>
        <v>229.52406256746684</v>
      </c>
      <c r="AI50">
        <f t="shared" si="9"/>
        <v>215.60524896378325</v>
      </c>
      <c r="AJ50">
        <f t="shared" si="9"/>
        <v>253.90774206554252</v>
      </c>
      <c r="AK50">
        <f t="shared" si="9"/>
        <v>355.60542381889445</v>
      </c>
      <c r="AL50">
        <f t="shared" si="9"/>
        <v>274.98992588644165</v>
      </c>
    </row>
    <row r="51" spans="3:38">
      <c r="U51" s="17">
        <v>12</v>
      </c>
      <c r="V51">
        <f t="shared" si="10"/>
        <v>476.53795812918798</v>
      </c>
      <c r="W51">
        <f t="shared" si="9"/>
        <v>456.11462948302585</v>
      </c>
      <c r="X51">
        <f t="shared" si="9"/>
        <v>413.86441663557724</v>
      </c>
      <c r="Y51">
        <f t="shared" si="9"/>
        <v>545.19424297983869</v>
      </c>
      <c r="Z51">
        <f t="shared" si="9"/>
        <v>217.34893875517614</v>
      </c>
      <c r="AA51">
        <f t="shared" si="9"/>
        <v>187.93059434003794</v>
      </c>
      <c r="AB51">
        <f t="shared" si="9"/>
        <v>80.985227741250185</v>
      </c>
      <c r="AC51">
        <f t="shared" si="9"/>
        <v>196.24129880676139</v>
      </c>
      <c r="AD51">
        <f t="shared" si="9"/>
        <v>244.21262443256944</v>
      </c>
      <c r="AE51">
        <f t="shared" si="9"/>
        <v>238.93956076898073</v>
      </c>
      <c r="AF51">
        <f t="shared" si="9"/>
        <v>310.40995171196965</v>
      </c>
      <c r="AG51">
        <f t="shared" si="9"/>
        <v>0</v>
      </c>
      <c r="AH51">
        <f t="shared" si="9"/>
        <v>539.93396275766452</v>
      </c>
      <c r="AI51">
        <f t="shared" si="9"/>
        <v>504.71867173682426</v>
      </c>
      <c r="AJ51">
        <f t="shared" si="9"/>
        <v>343.71766130424044</v>
      </c>
      <c r="AK51">
        <f t="shared" si="9"/>
        <v>437.85195352068683</v>
      </c>
      <c r="AL51">
        <f t="shared" si="9"/>
        <v>376.39033374729303</v>
      </c>
    </row>
    <row r="52" spans="3:38">
      <c r="U52" s="17">
        <v>13</v>
      </c>
      <c r="V52">
        <f t="shared" si="10"/>
        <v>166.24766329420825</v>
      </c>
      <c r="W52">
        <f t="shared" si="9"/>
        <v>199.21786127021554</v>
      </c>
      <c r="X52">
        <f t="shared" si="9"/>
        <v>225.40989687633373</v>
      </c>
      <c r="Y52">
        <f t="shared" si="9"/>
        <v>85.530866119049492</v>
      </c>
      <c r="Z52">
        <f t="shared" si="9"/>
        <v>394.82939421009377</v>
      </c>
      <c r="AA52">
        <f t="shared" si="9"/>
        <v>370.49370442246158</v>
      </c>
      <c r="AB52">
        <f t="shared" si="9"/>
        <v>506.44970871063845</v>
      </c>
      <c r="AC52">
        <f t="shared" si="9"/>
        <v>401.34210495569926</v>
      </c>
      <c r="AD52">
        <f t="shared" si="9"/>
        <v>418.58691675179392</v>
      </c>
      <c r="AE52">
        <f t="shared" si="9"/>
        <v>343.23800472175242</v>
      </c>
      <c r="AF52">
        <f t="shared" si="9"/>
        <v>229.52406256746684</v>
      </c>
      <c r="AG52">
        <f t="shared" si="9"/>
        <v>539.93396275766452</v>
      </c>
      <c r="AH52">
        <f t="shared" si="9"/>
        <v>0</v>
      </c>
      <c r="AI52">
        <f t="shared" si="9"/>
        <v>127.9721607205676</v>
      </c>
      <c r="AJ52">
        <f t="shared" si="9"/>
        <v>385.50102343587747</v>
      </c>
      <c r="AK52">
        <f t="shared" si="9"/>
        <v>449.4287392065018</v>
      </c>
      <c r="AL52">
        <f t="shared" si="9"/>
        <v>388.07023356065002</v>
      </c>
    </row>
    <row r="53" spans="3:38">
      <c r="U53" s="17">
        <v>14</v>
      </c>
      <c r="V53">
        <f t="shared" si="10"/>
        <v>43.627434418712667</v>
      </c>
      <c r="W53">
        <f t="shared" si="9"/>
        <v>79.03822260954027</v>
      </c>
      <c r="X53">
        <f t="shared" si="9"/>
        <v>117.05948454950837</v>
      </c>
      <c r="Y53">
        <f t="shared" si="9"/>
        <v>209.16282830150311</v>
      </c>
      <c r="Z53">
        <f t="shared" si="9"/>
        <v>321.85836784012554</v>
      </c>
      <c r="AA53">
        <f t="shared" si="9"/>
        <v>319.2524065418915</v>
      </c>
      <c r="AB53">
        <f t="shared" si="9"/>
        <v>454.60608976349624</v>
      </c>
      <c r="AC53">
        <f t="shared" si="9"/>
        <v>334.23445421028055</v>
      </c>
      <c r="AD53">
        <f t="shared" si="9"/>
        <v>333.91043574757589</v>
      </c>
      <c r="AE53">
        <f t="shared" si="9"/>
        <v>277.19471876766289</v>
      </c>
      <c r="AF53">
        <f t="shared" si="9"/>
        <v>215.60524896378325</v>
      </c>
      <c r="AG53">
        <f t="shared" si="9"/>
        <v>504.71867173682426</v>
      </c>
      <c r="AH53">
        <f t="shared" si="9"/>
        <v>127.9721607205676</v>
      </c>
      <c r="AI53">
        <f t="shared" si="9"/>
        <v>0</v>
      </c>
      <c r="AJ53">
        <f t="shared" si="9"/>
        <v>279.11449624635367</v>
      </c>
      <c r="AK53">
        <f t="shared" si="9"/>
        <v>328.16830545471561</v>
      </c>
      <c r="AL53">
        <f t="shared" si="9"/>
        <v>275.07923904373905</v>
      </c>
    </row>
    <row r="54" spans="3:38">
      <c r="U54" s="17">
        <v>15</v>
      </c>
      <c r="V54">
        <f t="shared" si="10"/>
        <v>235.9205617282789</v>
      </c>
      <c r="W54">
        <f t="shared" si="9"/>
        <v>201.14756751767686</v>
      </c>
      <c r="X54">
        <f t="shared" si="9"/>
        <v>163.05880626550467</v>
      </c>
      <c r="Y54">
        <f t="shared" si="9"/>
        <v>443.65343531531403</v>
      </c>
      <c r="Z54">
        <f t="shared" si="9"/>
        <v>130.10141514607648</v>
      </c>
      <c r="AA54">
        <f t="shared" si="9"/>
        <v>189.22843379725697</v>
      </c>
      <c r="AB54">
        <f t="shared" si="9"/>
        <v>266.95448741353545</v>
      </c>
      <c r="AC54">
        <f t="shared" si="9"/>
        <v>152.05756119461753</v>
      </c>
      <c r="AD54">
        <f t="shared" si="9"/>
        <v>100.53876287995733</v>
      </c>
      <c r="AE54">
        <f t="shared" si="9"/>
        <v>140.34652822183338</v>
      </c>
      <c r="AF54">
        <f t="shared" si="9"/>
        <v>253.90774206554249</v>
      </c>
      <c r="AG54">
        <f t="shared" si="9"/>
        <v>343.71766130424044</v>
      </c>
      <c r="AH54">
        <f t="shared" si="9"/>
        <v>385.50102343587753</v>
      </c>
      <c r="AI54">
        <f t="shared" si="9"/>
        <v>279.11449624635367</v>
      </c>
      <c r="AJ54">
        <f t="shared" si="9"/>
        <v>0</v>
      </c>
      <c r="AK54">
        <f t="shared" si="9"/>
        <v>109.24350736136221</v>
      </c>
      <c r="AL54">
        <f t="shared" si="9"/>
        <v>32.923290655312897</v>
      </c>
    </row>
    <row r="55" spans="3:38">
      <c r="U55" s="17">
        <v>16</v>
      </c>
      <c r="V55">
        <f t="shared" si="10"/>
        <v>285.48610254472004</v>
      </c>
      <c r="W55">
        <f t="shared" si="9"/>
        <v>250.88589035856424</v>
      </c>
      <c r="X55">
        <f t="shared" si="9"/>
        <v>226.64433982944459</v>
      </c>
      <c r="Y55">
        <f t="shared" si="9"/>
        <v>518.33181927135797</v>
      </c>
      <c r="Z55">
        <f t="shared" si="9"/>
        <v>234.17453202587953</v>
      </c>
      <c r="AA55">
        <f t="shared" si="9"/>
        <v>297.2839405593038</v>
      </c>
      <c r="AB55">
        <f t="shared" si="9"/>
        <v>357.85686355779404</v>
      </c>
      <c r="AC55">
        <f t="shared" si="9"/>
        <v>255.62654057901639</v>
      </c>
      <c r="AD55">
        <f t="shared" si="9"/>
        <v>196.03012242617947</v>
      </c>
      <c r="AE55">
        <f t="shared" si="9"/>
        <v>249.56439084237218</v>
      </c>
      <c r="AF55">
        <f t="shared" si="9"/>
        <v>355.60542381889445</v>
      </c>
      <c r="AG55">
        <f t="shared" si="9"/>
        <v>437.85195352068683</v>
      </c>
      <c r="AH55">
        <f t="shared" si="9"/>
        <v>449.42873920650186</v>
      </c>
      <c r="AI55">
        <f t="shared" si="9"/>
        <v>328.16830545471561</v>
      </c>
      <c r="AJ55">
        <f t="shared" si="9"/>
        <v>109.24350736136221</v>
      </c>
      <c r="AK55">
        <f t="shared" si="9"/>
        <v>0</v>
      </c>
      <c r="AL55">
        <f t="shared" ref="AL55:AL56" si="11">S18*S$20</f>
        <v>81.447413962744818</v>
      </c>
    </row>
    <row r="56" spans="3:38" ht="15" thickBot="1">
      <c r="U56" s="19">
        <v>17</v>
      </c>
      <c r="V56">
        <f t="shared" si="10"/>
        <v>231.45532036128384</v>
      </c>
      <c r="W56">
        <f t="shared" si="10"/>
        <v>196.0671434542468</v>
      </c>
      <c r="X56">
        <f t="shared" si="10"/>
        <v>162.77018054803818</v>
      </c>
      <c r="Y56">
        <f t="shared" si="10"/>
        <v>450.94909994727897</v>
      </c>
      <c r="Z56">
        <f t="shared" si="10"/>
        <v>162.97627457082967</v>
      </c>
      <c r="AA56">
        <f t="shared" si="10"/>
        <v>220.9492048306588</v>
      </c>
      <c r="AB56">
        <f t="shared" si="10"/>
        <v>299.2056517337632</v>
      </c>
      <c r="AC56">
        <f t="shared" si="10"/>
        <v>184.93928790034644</v>
      </c>
      <c r="AD56">
        <f t="shared" si="10"/>
        <v>132.68848704068344</v>
      </c>
      <c r="AE56">
        <f t="shared" si="10"/>
        <v>170.59544177993732</v>
      </c>
      <c r="AF56">
        <f t="shared" si="10"/>
        <v>274.98992588644165</v>
      </c>
      <c r="AG56">
        <f t="shared" si="10"/>
        <v>376.39033374729303</v>
      </c>
      <c r="AH56">
        <f t="shared" si="10"/>
        <v>388.07023356065002</v>
      </c>
      <c r="AI56">
        <f t="shared" si="10"/>
        <v>275.07923904373905</v>
      </c>
      <c r="AJ56">
        <f t="shared" si="10"/>
        <v>32.923290655312897</v>
      </c>
      <c r="AK56">
        <f t="shared" si="10"/>
        <v>81.447413962744832</v>
      </c>
      <c r="AL56">
        <f t="shared" si="11"/>
        <v>0</v>
      </c>
    </row>
  </sheetData>
  <conditionalFormatting sqref="C22:C38">
    <cfRule type="expression" dxfId="1" priority="1">
      <formula>MATCH(C22,$M$22:$M$30,0)</formula>
    </cfRule>
  </conditionalFormatting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C19FB8-67FC-4024-9055-5F9774B9E53E}">
  <dimension ref="A1:AM56"/>
  <sheetViews>
    <sheetView topLeftCell="A21" workbookViewId="0">
      <selection activeCell="G47" sqref="G47"/>
    </sheetView>
  </sheetViews>
  <sheetFormatPr defaultRowHeight="14.25"/>
  <cols>
    <col min="1" max="1" width="9.5" bestFit="1" customWidth="1"/>
    <col min="2" max="2" width="14.75" bestFit="1" customWidth="1"/>
    <col min="3" max="3" width="16.875" customWidth="1"/>
    <col min="4" max="4" width="12.5" bestFit="1" customWidth="1"/>
    <col min="5" max="5" width="7.75" bestFit="1" customWidth="1"/>
    <col min="6" max="6" width="8.375" bestFit="1" customWidth="1"/>
    <col min="7" max="7" width="7.375" bestFit="1" customWidth="1"/>
    <col min="8" max="8" width="8" customWidth="1"/>
    <col min="9" max="19" width="6.75" customWidth="1"/>
    <col min="20" max="20" width="18.25" customWidth="1"/>
    <col min="21" max="21" width="12.75" bestFit="1" customWidth="1"/>
    <col min="22" max="38" width="5.5" customWidth="1"/>
    <col min="39" max="39" width="15.75" bestFit="1" customWidth="1"/>
  </cols>
  <sheetData>
    <row r="1" spans="1:39" ht="48.75" customHeight="1" thickBot="1">
      <c r="B1" s="32" t="s">
        <v>41</v>
      </c>
      <c r="C1" s="33" t="s">
        <v>5</v>
      </c>
      <c r="D1" s="33"/>
      <c r="E1" s="33"/>
      <c r="F1" s="33"/>
      <c r="G1" s="33"/>
      <c r="H1" s="33"/>
      <c r="I1" s="33"/>
      <c r="J1" s="33"/>
      <c r="K1" s="33"/>
      <c r="L1" s="33"/>
      <c r="M1" s="33"/>
      <c r="N1" s="33"/>
      <c r="O1" s="33"/>
      <c r="P1" s="33"/>
      <c r="Q1" s="33"/>
      <c r="R1" s="33"/>
      <c r="S1" s="34"/>
      <c r="T1" s="13" t="s">
        <v>40</v>
      </c>
      <c r="U1" s="13" t="s">
        <v>11</v>
      </c>
      <c r="V1" s="14" t="s">
        <v>6</v>
      </c>
      <c r="W1" s="14"/>
      <c r="X1" s="14"/>
      <c r="Y1" s="14"/>
      <c r="Z1" s="14"/>
      <c r="AA1" s="14"/>
      <c r="AB1" s="14"/>
      <c r="AC1" s="14"/>
      <c r="AD1" s="14"/>
      <c r="AE1" s="14"/>
      <c r="AF1" s="14"/>
      <c r="AG1" s="14"/>
      <c r="AH1" s="14"/>
      <c r="AI1" s="14"/>
      <c r="AJ1" s="14"/>
      <c r="AK1" s="14"/>
      <c r="AL1" s="15"/>
    </row>
    <row r="2" spans="1:39">
      <c r="B2" s="16" t="s">
        <v>5</v>
      </c>
      <c r="C2" s="5">
        <v>1</v>
      </c>
      <c r="D2" s="5">
        <v>2</v>
      </c>
      <c r="E2" s="5">
        <v>3</v>
      </c>
      <c r="F2" s="5">
        <v>4</v>
      </c>
      <c r="G2" s="5">
        <v>5</v>
      </c>
      <c r="H2" s="5">
        <v>6</v>
      </c>
      <c r="I2" s="5">
        <v>7</v>
      </c>
      <c r="J2" s="5">
        <v>8</v>
      </c>
      <c r="K2" s="5">
        <v>9</v>
      </c>
      <c r="L2" s="5">
        <v>10</v>
      </c>
      <c r="M2" s="5">
        <v>11</v>
      </c>
      <c r="N2" s="5">
        <v>12</v>
      </c>
      <c r="O2" s="5">
        <v>13</v>
      </c>
      <c r="P2" s="5">
        <v>14</v>
      </c>
      <c r="Q2" s="5">
        <v>15</v>
      </c>
      <c r="R2" s="5">
        <v>16</v>
      </c>
      <c r="S2" s="22">
        <v>17</v>
      </c>
      <c r="U2" s="16" t="s">
        <v>12</v>
      </c>
      <c r="V2" s="5">
        <v>1</v>
      </c>
      <c r="W2" s="5">
        <v>2</v>
      </c>
      <c r="X2" s="5">
        <v>3</v>
      </c>
      <c r="Y2" s="5">
        <v>4</v>
      </c>
      <c r="Z2" s="5">
        <v>5</v>
      </c>
      <c r="AA2" s="5">
        <v>6</v>
      </c>
      <c r="AB2" s="5">
        <v>7</v>
      </c>
      <c r="AC2" s="5">
        <v>8</v>
      </c>
      <c r="AD2" s="5">
        <v>9</v>
      </c>
      <c r="AE2" s="5">
        <v>10</v>
      </c>
      <c r="AF2" s="5">
        <v>11</v>
      </c>
      <c r="AG2" s="5">
        <v>12</v>
      </c>
      <c r="AH2" s="5">
        <v>13</v>
      </c>
      <c r="AI2" s="5">
        <v>14</v>
      </c>
      <c r="AJ2" s="5">
        <v>15</v>
      </c>
      <c r="AK2" s="5">
        <v>16</v>
      </c>
      <c r="AL2" s="22">
        <v>17</v>
      </c>
      <c r="AM2" s="9" t="s">
        <v>13</v>
      </c>
    </row>
    <row r="3" spans="1:39" ht="15">
      <c r="A3" s="12"/>
      <c r="B3" s="17">
        <v>1</v>
      </c>
      <c r="C3" s="43">
        <f>(getDistance(coord!C1,coord!D1,coord!$C$1,coord!$D$1)*1000)/$C$20</f>
        <v>0</v>
      </c>
      <c r="D3" s="44">
        <f>(getDistance(coord!C1,coord!D1,coord!$C$2,coord!$D$2)*1000)/$D$20</f>
        <v>9.7939859857844019E-3</v>
      </c>
      <c r="E3" s="44">
        <f>(getDistance(coord!$C1,coord!$D1,coord!$C$3,coord!$D$3)*1000)/$E$20</f>
        <v>2.2698884083943889E-2</v>
      </c>
      <c r="F3" s="44">
        <f>(getDistance(coord!$C1,coord!$D1,coord!$C$4,coord!$D$4)*1000)/$F$20</f>
        <v>4.1041595442076105E-2</v>
      </c>
      <c r="G3" s="44">
        <f>(getDistance(coord!$C1,coord!$D1,coord!$C$5,coord!$D$5)*1000)/$G$20</f>
        <v>8.9692706304415254E-2</v>
      </c>
      <c r="H3" s="44">
        <f>(getDistance(coord!$C1,coord!$D1,coord!$C$6,coord!$D$6)*1000)/$H$20</f>
        <v>8.6451824708535505E-2</v>
      </c>
      <c r="I3" s="44">
        <f>(getDistance(coord!$C1,coord!$D1,coord!$C$7,coord!$D$7)*1000)/$I$20</f>
        <v>8.9811228695136011E-2</v>
      </c>
      <c r="J3" s="44">
        <f>(getDistance(coord!$C1,coord!$D1,coord!$C$8,coord!$D$8)*1000)/$J$20</f>
        <v>9.1240820893187149E-2</v>
      </c>
      <c r="K3" s="44">
        <f>(getDistance(coord!$C1,coord!$D1,coord!$C$9,coord!$D$9)*1000)/$K$20</f>
        <v>8.7047462622908689E-2</v>
      </c>
      <c r="L3" s="44">
        <f>(getDistance(coord!$C1,coord!$D1,coord!$C$10,coord!$D$10)*1000)/$L$20</f>
        <v>8.0740347669411905E-2</v>
      </c>
      <c r="M3" s="44">
        <f>(getDistance(coord!$C1,coord!$D1,coord!$C$11,coord!$D$11)*1000)/$M$20</f>
        <v>5.5422256969853041E-2</v>
      </c>
      <c r="N3" s="44">
        <f>(getDistance(coord!$C1,coord!$D1,coord!$C$12,coord!$D$12)*1000)/$N$20</f>
        <v>8.5548369994808526E-2</v>
      </c>
      <c r="O3" s="44">
        <f>(getDistance(coord!$C1,coord!$D1,coord!$C$13,coord!$D$13)*1000)/$O$20</f>
        <v>3.1776523621703266E-2</v>
      </c>
      <c r="P3" s="44">
        <f>(getDistance(coord!$C1,coord!$D1,coord!$C$14,coord!$D$14)*1000)/$P$20</f>
        <v>1.0336778634729865E-2</v>
      </c>
      <c r="Q3" s="44">
        <f>(getDistance(coord!$C1,coord!$D1,coord!$C$15,coord!$D$15)*1000)/$Q$20</f>
        <v>6.8833375128825133E-2</v>
      </c>
      <c r="R3" s="44">
        <f>(getDistance(coord!$C1,coord!$D1,coord!$C$16,coord!$D$16)*1000)/$R$20</f>
        <v>6.1611762184374974E-2</v>
      </c>
      <c r="S3" s="44">
        <f>(getDistance(coord!$C1,coord!$D1,coord!$C$17,coord!$D$17)*1000)/$S$20</f>
        <v>6.3560494570447018E-2</v>
      </c>
      <c r="T3" s="8" t="s">
        <v>39</v>
      </c>
      <c r="U3" s="17">
        <v>8</v>
      </c>
      <c r="V3" s="12">
        <v>1.3793103448275862E-2</v>
      </c>
      <c r="W3" s="12">
        <v>1.9607843137254902E-2</v>
      </c>
      <c r="X3" s="12">
        <v>6.0606060606060608E-2</v>
      </c>
      <c r="Y3" s="12">
        <v>9.5238095238095247E-3</v>
      </c>
      <c r="Z3" s="12">
        <v>2.6315789473684209E-2</v>
      </c>
      <c r="AA3" s="12">
        <v>1.3192612137203167E-2</v>
      </c>
      <c r="AB3" s="12">
        <v>2.1739130434782608E-2</v>
      </c>
      <c r="AC3" s="12">
        <v>1.8181818181818181E-2</v>
      </c>
      <c r="AD3" s="12">
        <v>8.0000000000000002E-3</v>
      </c>
      <c r="AE3" s="12">
        <v>4.9295774647887321E-2</v>
      </c>
      <c r="AF3" s="12">
        <v>1.2048192771084338E-2</v>
      </c>
      <c r="AG3" s="12">
        <v>1.1764705882352941E-2</v>
      </c>
      <c r="AH3" s="12">
        <v>1.2345679012345678E-2</v>
      </c>
      <c r="AI3" s="12">
        <v>1.3157894736842105E-2</v>
      </c>
      <c r="AJ3" s="12">
        <v>1.3513513513513514E-2</v>
      </c>
      <c r="AK3" s="12">
        <v>1.8292682926829267E-2</v>
      </c>
      <c r="AL3" s="18">
        <v>9.1743119266055051E-3</v>
      </c>
      <c r="AM3">
        <f>AVERAGE(V3:AL3)</f>
        <v>1.9444289550608812E-2</v>
      </c>
    </row>
    <row r="4" spans="1:39" ht="15">
      <c r="A4" s="12"/>
      <c r="B4" s="17">
        <v>2</v>
      </c>
      <c r="C4" s="45">
        <f>(getDistance(coord!C2,coord!D2,coord!$C$1,coord!$D$1)*1000)/$C$20</f>
        <v>9.2469745750658385E-3</v>
      </c>
      <c r="D4" s="46">
        <f>(getDistance(coord!C2,coord!D2,coord!$C$2,coord!$D$2)*1000)/$D$20</f>
        <v>0</v>
      </c>
      <c r="E4" s="45">
        <f>(getDistance(coord!$C2,coord!$D2,coord!$C$3,coord!$D$3)*1000)/$E$20</f>
        <v>1.3406673571440857E-2</v>
      </c>
      <c r="F4" s="45">
        <f>(getDistance(coord!$C2,coord!$D2,coord!$C$4,coord!$D$4)*1000)/$F$20</f>
        <v>4.6106558172381198E-2</v>
      </c>
      <c r="G4" s="45">
        <f>(getDistance(coord!$C2,coord!$D2,coord!$C$5,coord!$D$5)*1000)/$G$20</f>
        <v>8.1067478863828216E-2</v>
      </c>
      <c r="H4" s="45">
        <f>(getDistance(coord!$C2,coord!$D2,coord!$C$6,coord!$D$6)*1000)/$H$20</f>
        <v>8.0175462212965953E-2</v>
      </c>
      <c r="I4" s="45">
        <f>(getDistance(coord!$C2,coord!$D2,coord!$C$7,coord!$D$7)*1000)/$I$20</f>
        <v>8.468635184258988E-2</v>
      </c>
      <c r="J4" s="45">
        <f>(getDistance(coord!$C2,coord!$D2,coord!$C$8,coord!$D$8)*1000)/$J$20</f>
        <v>8.3290509632205356E-2</v>
      </c>
      <c r="K4" s="45">
        <f>(getDistance(coord!$C2,coord!$D2,coord!$C$9,coord!$D$9)*1000)/$K$20</f>
        <v>7.7949945055034039E-2</v>
      </c>
      <c r="L4" s="45">
        <f>(getDistance(coord!$C2,coord!$D2,coord!$C$10,coord!$D$10)*1000)/$L$20</f>
        <v>7.2766203954019684E-2</v>
      </c>
      <c r="M4" s="45">
        <f>(getDistance(coord!$C2,coord!$D2,coord!$C$11,coord!$D$11)*1000)/$M$20</f>
        <v>5.4633200319977884E-2</v>
      </c>
      <c r="N4" s="45">
        <f>(getDistance(coord!$C2,coord!$D2,coord!$C$12,coord!$D$12)*1000)/$N$20</f>
        <v>8.1881962218171789E-2</v>
      </c>
      <c r="O4" s="45">
        <f>(getDistance(coord!$C2,coord!$D2,coord!$C$13,coord!$D$13)*1000)/$O$20</f>
        <v>3.8078436406743466E-2</v>
      </c>
      <c r="P4" s="45">
        <f>(getDistance(coord!$C2,coord!$D2,coord!$C$14,coord!$D$14)*1000)/$P$20</f>
        <v>1.8726762682311E-2</v>
      </c>
      <c r="Q4" s="45">
        <f>(getDistance(coord!$C2,coord!$D2,coord!$C$15,coord!$D$15)*1000)/$Q$20</f>
        <v>5.8687830639966236E-2</v>
      </c>
      <c r="R4" s="45">
        <f>(getDistance(coord!$C2,coord!$D2,coord!$C$16,coord!$D$16)*1000)/$R$20</f>
        <v>5.4144568419983552E-2</v>
      </c>
      <c r="S4" s="45">
        <f>(getDistance(coord!$C2,coord!$D2,coord!$C$17,coord!$D$17)*1000)/$S$20</f>
        <v>5.3842463364049263E-2</v>
      </c>
      <c r="T4" s="8" t="s">
        <v>15</v>
      </c>
      <c r="U4" s="17">
        <v>9</v>
      </c>
      <c r="V4" s="12">
        <v>3.4482758620689655E-2</v>
      </c>
      <c r="W4" s="12">
        <v>1.9607843137254902E-2</v>
      </c>
      <c r="X4" s="12">
        <v>6.0606060606060608E-2</v>
      </c>
      <c r="Y4" s="12">
        <v>9.5238095238095247E-3</v>
      </c>
      <c r="Z4" s="12">
        <v>4.3859649122807015E-2</v>
      </c>
      <c r="AA4" s="12">
        <v>1.3192612137203167E-2</v>
      </c>
      <c r="AB4" s="12">
        <v>2.1739130434782608E-2</v>
      </c>
      <c r="AC4" s="12">
        <v>1.8181818181818181E-2</v>
      </c>
      <c r="AD4" s="12">
        <v>1.6E-2</v>
      </c>
      <c r="AE4" s="12">
        <v>5.6338028169014086E-2</v>
      </c>
      <c r="AF4" s="12">
        <v>2.4096385542168676E-2</v>
      </c>
      <c r="AG4" s="12">
        <v>2.3529411764705882E-2</v>
      </c>
      <c r="AH4" s="12">
        <v>2.4691358024691357E-2</v>
      </c>
      <c r="AI4" s="12">
        <v>3.9473684210526314E-2</v>
      </c>
      <c r="AJ4" s="12">
        <v>4.0540540540540543E-2</v>
      </c>
      <c r="AK4" s="12">
        <v>2.4390243902439025E-2</v>
      </c>
      <c r="AL4" s="18">
        <v>3.669724770642202E-2</v>
      </c>
      <c r="AM4">
        <f t="shared" ref="AM4:AM19" si="0">AVERAGE(V4:AL4)</f>
        <v>2.982062244852551E-2</v>
      </c>
    </row>
    <row r="5" spans="1:39" ht="15">
      <c r="A5" s="12"/>
      <c r="B5" s="17">
        <v>3</v>
      </c>
      <c r="C5" s="45">
        <f>(getDistance(coord!C3,coord!D3,coord!$C$1,coord!$D$1)*1000)/$C$20</f>
        <v>1.9643791909343934E-2</v>
      </c>
      <c r="D5" s="45">
        <f>(getDistance(coord!C3,coord!D3,coord!$C$2,coord!$D$2)*1000)/$D$20</f>
        <v>1.2288579056995987E-2</v>
      </c>
      <c r="E5" s="46">
        <f>(getDistance(coord!$C3,coord!$D3,coord!$C$3,coord!$D$3)*1000)/$E$20</f>
        <v>0</v>
      </c>
      <c r="F5" s="45">
        <f>(getDistance(coord!$C3,coord!$D3,coord!$C$4,coord!$D$4)*1000)/$F$20</f>
        <v>4.9239744032680575E-2</v>
      </c>
      <c r="G5" s="45">
        <f>(getDistance(coord!$C3,coord!$D3,coord!$C$5,coord!$D$5)*1000)/$G$20</f>
        <v>6.7114307356976877E-2</v>
      </c>
      <c r="H5" s="45">
        <f>(getDistance(coord!$C3,coord!$D3,coord!$C$6,coord!$D$6)*1000)/$H$20</f>
        <v>6.7600548215057135E-2</v>
      </c>
      <c r="I5" s="45">
        <f>(getDistance(coord!$C3,coord!$D3,coord!$C$7,coord!$D$7)*1000)/$I$20</f>
        <v>7.5382023485248112E-2</v>
      </c>
      <c r="J5" s="45">
        <f>(getDistance(coord!$C3,coord!$D3,coord!$C$8,coord!$D$8)*1000)/$J$20</f>
        <v>6.9817238172495161E-2</v>
      </c>
      <c r="K5" s="45">
        <f>(getDistance(coord!$C3,coord!$D3,coord!$C$9,coord!$D$9)*1000)/$K$20</f>
        <v>6.4957190869945655E-2</v>
      </c>
      <c r="L5" s="45">
        <f>(getDistance(coord!$C3,coord!$D3,coord!$C$10,coord!$D$10)*1000)/$L$20</f>
        <v>5.8381558747137567E-2</v>
      </c>
      <c r="M5" s="45">
        <f>(getDistance(coord!$C3,coord!$D3,coord!$C$11,coord!$D$11)*1000)/$M$20</f>
        <v>4.7923791064915143E-2</v>
      </c>
      <c r="N5" s="45">
        <f>(getDistance(coord!$C3,coord!$D3,coord!$C$12,coord!$D$12)*1000)/$N$20</f>
        <v>7.4297179559466797E-2</v>
      </c>
      <c r="O5" s="45">
        <f>(getDistance(coord!$C3,coord!$D3,coord!$C$13,coord!$D$13)*1000)/$O$20</f>
        <v>4.3084773468247912E-2</v>
      </c>
      <c r="P5" s="45">
        <f>(getDistance(coord!$C3,coord!$D3,coord!$C$14,coord!$D$14)*1000)/$P$20</f>
        <v>2.7735254089680056E-2</v>
      </c>
      <c r="Q5" s="45">
        <f>(getDistance(coord!$C3,coord!$D3,coord!$C$15,coord!$D$15)*1000)/$Q$20</f>
        <v>4.7574861205438287E-2</v>
      </c>
      <c r="R5" s="45">
        <f>(getDistance(coord!$C3,coord!$D3,coord!$C$16,coord!$D$16)*1000)/$R$20</f>
        <v>4.891291394410003E-2</v>
      </c>
      <c r="S5" s="45">
        <f>(getDistance(coord!$C3,coord!$D3,coord!$C$17,coord!$D$17)*1000)/$S$20</f>
        <v>4.4698705395085934E-2</v>
      </c>
      <c r="T5" s="8" t="s">
        <v>16</v>
      </c>
      <c r="U5" s="17">
        <v>10</v>
      </c>
      <c r="V5" s="12">
        <v>4.8275862068965517E-2</v>
      </c>
      <c r="W5" s="12">
        <v>3.9215686274509803E-2</v>
      </c>
      <c r="X5" s="12">
        <v>6.0606060606060608E-2</v>
      </c>
      <c r="Y5" s="12">
        <v>1.9047619047619049E-2</v>
      </c>
      <c r="Z5" s="12">
        <v>6.1403508771929821E-2</v>
      </c>
      <c r="AA5" s="12">
        <v>2.6385224274406333E-2</v>
      </c>
      <c r="AB5" s="12">
        <v>4.3478260869565216E-2</v>
      </c>
      <c r="AC5" s="12">
        <v>3.6363636363636362E-2</v>
      </c>
      <c r="AD5" s="12">
        <v>2.4E-2</v>
      </c>
      <c r="AE5" s="12">
        <v>6.3380281690140844E-2</v>
      </c>
      <c r="AF5" s="12">
        <v>3.614457831325301E-2</v>
      </c>
      <c r="AG5" s="12">
        <v>3.5294117647058823E-2</v>
      </c>
      <c r="AH5" s="12">
        <v>3.7037037037037035E-2</v>
      </c>
      <c r="AI5" s="12">
        <v>6.5789473684210523E-2</v>
      </c>
      <c r="AJ5" s="12">
        <v>6.7567567567567571E-2</v>
      </c>
      <c r="AK5" s="12">
        <v>3.048780487804878E-2</v>
      </c>
      <c r="AL5" s="18">
        <v>6.4220183486238536E-2</v>
      </c>
      <c r="AM5">
        <f t="shared" si="0"/>
        <v>4.4629229563543996E-2</v>
      </c>
    </row>
    <row r="6" spans="1:39" ht="15">
      <c r="A6" s="12"/>
      <c r="B6" s="17">
        <v>4</v>
      </c>
      <c r="C6" s="45">
        <f>(getDistance(coord!C4,coord!D4,coord!$C$1,coord!$D$1)*1000)/$C$20</f>
        <v>6.3479240244314714E-2</v>
      </c>
      <c r="D6" s="45">
        <f>(getDistance(coord!C4,coord!D4,coord!$C$2,coord!$D$2)*1000)/$D$20</f>
        <v>7.5531829384877472E-2</v>
      </c>
      <c r="E6" s="45">
        <f>(getDistance(coord!$C4,coord!$D4,coord!$C$3,coord!$D$3)*1000)/$E$20</f>
        <v>8.800400841849014E-2</v>
      </c>
      <c r="F6" s="46">
        <f>(getDistance(coord!$C4,coord!$D4,coord!$C$4,coord!$D$4)*1000)/$F$20</f>
        <v>0</v>
      </c>
      <c r="G6" s="45">
        <f>(getDistance(coord!$C4,coord!$D4,coord!$C$5,coord!$D$5)*1000)/$G$20</f>
        <v>0.13532669589065421</v>
      </c>
      <c r="H6" s="45">
        <f>(getDistance(coord!$C4,coord!$D4,coord!$C$6,coord!$D$6)*1000)/$H$20</f>
        <v>0.11768627586774991</v>
      </c>
      <c r="I6" s="45">
        <f>(getDistance(coord!$C4,coord!$D4,coord!$C$7,coord!$D$7)*1000)/$I$20</f>
        <v>0.11144001891511569</v>
      </c>
      <c r="J6" s="45">
        <f>(getDistance(coord!$C4,coord!$D4,coord!$C$8,coord!$D$8)*1000)/$J$20</f>
        <v>0.13205624405448768</v>
      </c>
      <c r="K6" s="45">
        <f>(getDistance(coord!$C4,coord!$D4,coord!$C$9,coord!$D$9)*1000)/$K$20</f>
        <v>0.13633197020169702</v>
      </c>
      <c r="L6" s="45">
        <f>(getDistance(coord!$C4,coord!$D4,coord!$C$10,coord!$D$10)*1000)/$L$20</f>
        <v>0.12509114644578523</v>
      </c>
      <c r="M6" s="45">
        <f>(getDistance(coord!$C4,coord!$D4,coord!$C$11,coord!$D$11)*1000)/$M$20</f>
        <v>6.6478851750094006E-2</v>
      </c>
      <c r="N6" s="45">
        <f>(getDistance(coord!$C4,coord!$D4,coord!$C$12,coord!$D$12)*1000)/$N$20</f>
        <v>9.7873585979555255E-2</v>
      </c>
      <c r="O6" s="45">
        <f>(getDistance(coord!$C4,coord!$D4,coord!$C$13,coord!$D$13)*1000)/$O$20</f>
        <v>1.6348341587255268E-2</v>
      </c>
      <c r="P6" s="45">
        <f>(getDistance(coord!$C4,coord!$D4,coord!$C$14,coord!$D$14)*1000)/$P$20</f>
        <v>4.9557575034467172E-2</v>
      </c>
      <c r="Q6" s="45">
        <f>(getDistance(coord!$C4,coord!$D4,coord!$C$15,coord!$D$15)*1000)/$Q$20</f>
        <v>0.1294425679412515</v>
      </c>
      <c r="R6" s="45">
        <f>(getDistance(coord!$C4,coord!$D4,coord!$C$16,coord!$D$16)*1000)/$R$20</f>
        <v>0.11186301713772151</v>
      </c>
      <c r="S6" s="45">
        <f>(getDistance(coord!$C4,coord!$D4,coord!$C$17,coord!$D$17)*1000)/$S$20</f>
        <v>0.12383620205405937</v>
      </c>
      <c r="T6" s="8" t="s">
        <v>17</v>
      </c>
      <c r="U6" s="17">
        <v>11</v>
      </c>
      <c r="V6" s="12">
        <v>5.5172413793103448E-2</v>
      </c>
      <c r="W6" s="12">
        <v>5.8823529411764705E-2</v>
      </c>
      <c r="X6" s="12">
        <v>6.0606060606060608E-2</v>
      </c>
      <c r="Y6" s="12">
        <v>2.8571428571428571E-2</v>
      </c>
      <c r="Z6" s="12">
        <v>7.0175438596491224E-2</v>
      </c>
      <c r="AA6" s="12">
        <v>3.9577836411609502E-2</v>
      </c>
      <c r="AB6" s="12">
        <v>6.5217391304347824E-2</v>
      </c>
      <c r="AC6" s="12">
        <v>3.6363636363636362E-2</v>
      </c>
      <c r="AD6" s="12">
        <v>3.2000000000000001E-2</v>
      </c>
      <c r="AE6" s="12">
        <v>6.3380281690140844E-2</v>
      </c>
      <c r="AF6" s="12">
        <v>4.8192771084337352E-2</v>
      </c>
      <c r="AG6" s="12">
        <v>4.7058823529411764E-2</v>
      </c>
      <c r="AH6" s="12">
        <v>6.1728395061728392E-2</v>
      </c>
      <c r="AI6" s="12">
        <v>7.8947368421052627E-2</v>
      </c>
      <c r="AJ6" s="12">
        <v>8.1081081081081086E-2</v>
      </c>
      <c r="AK6" s="12">
        <v>3.6585365853658534E-2</v>
      </c>
      <c r="AL6" s="18">
        <v>9.1743119266055051E-2</v>
      </c>
      <c r="AM6">
        <f t="shared" si="0"/>
        <v>5.6189702414465192E-2</v>
      </c>
    </row>
    <row r="7" spans="1:39" ht="15">
      <c r="A7" s="12"/>
      <c r="B7" s="17">
        <v>5</v>
      </c>
      <c r="C7" s="45">
        <f>(getDistance(coord!C5,coord!D5,coord!$C$1,coord!$D$1)*1000)/$C$20</f>
        <v>7.4513747663746827E-2</v>
      </c>
      <c r="D7" s="45">
        <f>(getDistance(coord!C5,coord!D5,coord!$C$2,coord!$D$2)*1000)/$D$20</f>
        <v>7.1332223275925158E-2</v>
      </c>
      <c r="E7" s="45">
        <f>(getDistance(coord!$C5,coord!$D5,coord!$C$3,coord!$D$3)*1000)/$E$20</f>
        <v>6.4427840249098367E-2</v>
      </c>
      <c r="F7" s="45">
        <f>(getDistance(coord!$C5,coord!$D5,coord!$C$4,coord!$D$4)*1000)/$F$20</f>
        <v>7.2686753478064511E-2</v>
      </c>
      <c r="G7" s="46">
        <f>(getDistance(coord!$C5,coord!$D5,coord!$C$5,coord!$D$5)*1000)/$G$20</f>
        <v>0</v>
      </c>
      <c r="H7" s="45">
        <f>(getDistance(coord!$C5,coord!$D5,coord!$C$6,coord!$D$6)*1000)/$H$20</f>
        <v>2.0764064813478561E-2</v>
      </c>
      <c r="I7" s="45">
        <f>(getDistance(coord!$C5,coord!$D5,coord!$C$7,coord!$D$7)*1000)/$I$20</f>
        <v>3.1073475364880684E-2</v>
      </c>
      <c r="J7" s="45">
        <f>(getDistance(coord!$C5,coord!$D5,coord!$C$8,coord!$D$8)*1000)/$J$20</f>
        <v>6.6997057360049812E-3</v>
      </c>
      <c r="K7" s="45">
        <f>(getDistance(coord!$C5,coord!$D5,coord!$C$9,coord!$D$9)*1000)/$K$20</f>
        <v>1.3639234596297669E-2</v>
      </c>
      <c r="L7" s="45">
        <f>(getDistance(coord!$C5,coord!$D5,coord!$C$10,coord!$D$10)*1000)/$L$20</f>
        <v>1.7651267526811714E-2</v>
      </c>
      <c r="M7" s="45">
        <f>(getDistance(coord!$C5,coord!$D5,coord!$C$11,coord!$D$11)*1000)/$M$20</f>
        <v>5.3560851603546879E-2</v>
      </c>
      <c r="N7" s="45">
        <f>(getDistance(coord!$C5,coord!$D5,coord!$C$12,coord!$D$12)*1000)/$N$20</f>
        <v>3.9018607255554762E-2</v>
      </c>
      <c r="O7" s="45">
        <f>(getDistance(coord!$C5,coord!$D5,coord!$C$13,coord!$D$13)*1000)/$O$20</f>
        <v>7.5467560403881626E-2</v>
      </c>
      <c r="P7" s="45">
        <f>(getDistance(coord!$C5,coord!$D5,coord!$C$14,coord!$D$14)*1000)/$P$20</f>
        <v>7.6258866569330716E-2</v>
      </c>
      <c r="Q7" s="45">
        <f>(getDistance(coord!$C5,coord!$D5,coord!$C$15,coord!$D$15)*1000)/$Q$20</f>
        <v>3.7959046248182332E-2</v>
      </c>
      <c r="R7" s="45">
        <f>(getDistance(coord!$C5,coord!$D5,coord!$C$16,coord!$D$16)*1000)/$R$20</f>
        <v>5.0538031267408988E-2</v>
      </c>
      <c r="S7" s="45">
        <f>(getDistance(coord!$C5,coord!$D5,coord!$C$17,coord!$D$17)*1000)/$S$20</f>
        <v>4.4755301363570019E-2</v>
      </c>
      <c r="T7" s="8" t="s">
        <v>18</v>
      </c>
      <c r="U7" s="17">
        <v>12</v>
      </c>
      <c r="V7" s="12">
        <v>6.2068965517241378E-2</v>
      </c>
      <c r="W7" s="12">
        <v>5.8823529411764705E-2</v>
      </c>
      <c r="X7" s="12">
        <v>6.0606060606060608E-2</v>
      </c>
      <c r="Y7" s="12">
        <v>4.7619047619047616E-2</v>
      </c>
      <c r="Z7" s="12">
        <v>7.0175438596491224E-2</v>
      </c>
      <c r="AA7" s="12">
        <v>6.3324538258575203E-2</v>
      </c>
      <c r="AB7" s="12">
        <v>6.5217391304347824E-2</v>
      </c>
      <c r="AC7" s="12">
        <v>5.4545454545454543E-2</v>
      </c>
      <c r="AD7" s="12">
        <v>0.04</v>
      </c>
      <c r="AE7" s="12">
        <v>6.3380281690140844E-2</v>
      </c>
      <c r="AF7" s="12">
        <v>6.0240963855421686E-2</v>
      </c>
      <c r="AG7" s="12">
        <v>5.8823529411764705E-2</v>
      </c>
      <c r="AH7" s="12">
        <v>8.6419753086419748E-2</v>
      </c>
      <c r="AI7" s="12">
        <v>9.2105263157894732E-2</v>
      </c>
      <c r="AJ7" s="12">
        <v>8.1081081081081086E-2</v>
      </c>
      <c r="AK7" s="12">
        <v>4.2682926829268296E-2</v>
      </c>
      <c r="AL7" s="18">
        <v>9.1743119266055051E-2</v>
      </c>
      <c r="AM7">
        <f t="shared" si="0"/>
        <v>6.4638667308060546E-2</v>
      </c>
    </row>
    <row r="8" spans="1:39" ht="15">
      <c r="A8" s="12"/>
      <c r="B8" s="17">
        <v>6</v>
      </c>
      <c r="C8" s="45">
        <f>(getDistance(coord!C6,coord!D6,coord!$C$1,coord!$D$1)*1000)/$C$20</f>
        <v>7.5503956165217129E-2</v>
      </c>
      <c r="D8" s="45">
        <f>(getDistance(coord!C6,coord!D6,coord!$C$2,coord!$D$2)*1000)/$D$20</f>
        <v>7.416462936716553E-2</v>
      </c>
      <c r="E8" s="45">
        <f>(getDistance(coord!$C6,coord!$D6,coord!$C$3,coord!$D$3)*1000)/$E$20</f>
        <v>6.8222078018574397E-2</v>
      </c>
      <c r="F8" s="45">
        <f>(getDistance(coord!$C6,coord!$D6,coord!$C$4,coord!$D$4)*1000)/$F$20</f>
        <v>6.6452890858092556E-2</v>
      </c>
      <c r="G8" s="45">
        <f>(getDistance(coord!$C6,coord!$D6,coord!$C$5,coord!$D$5)*1000)/$G$20</f>
        <v>2.1828738636758608E-2</v>
      </c>
      <c r="H8" s="46">
        <f>(getDistance(coord!$C6,coord!$D6,coord!$C$6,coord!$D$6)*1000)/$H$20</f>
        <v>0</v>
      </c>
      <c r="I8" s="45">
        <f>(getDistance(coord!$C6,coord!$D6,coord!$C$7,coord!$D$7)*1000)/$I$20</f>
        <v>2.9162206687823905E-2</v>
      </c>
      <c r="J8" s="45">
        <f>(getDistance(coord!$C6,coord!$D6,coord!$C$8,coord!$D$8)*1000)/$J$20</f>
        <v>1.6717233691112079E-2</v>
      </c>
      <c r="K8" s="45">
        <f>(getDistance(coord!$C6,coord!$D6,coord!$C$9,coord!$D$9)*1000)/$K$20</f>
        <v>3.4169011585670317E-2</v>
      </c>
      <c r="L8" s="45">
        <f>(getDistance(coord!$C6,coord!$D6,coord!$C$10,coord!$D$10)*1000)/$L$20</f>
        <v>1.8268829617316084E-2</v>
      </c>
      <c r="M8" s="45">
        <f>(getDistance(coord!$C6,coord!$D6,coord!$C$11,coord!$D$11)*1000)/$M$20</f>
        <v>4.1130588610241409E-2</v>
      </c>
      <c r="N8" s="45">
        <f>(getDistance(coord!$C6,coord!$D6,coord!$C$12,coord!$D$12)*1000)/$N$20</f>
        <v>3.3737409043053328E-2</v>
      </c>
      <c r="O8" s="45">
        <f>(getDistance(coord!$C6,coord!$D6,coord!$C$13,coord!$D$13)*1000)/$O$20</f>
        <v>7.0816044670883788E-2</v>
      </c>
      <c r="P8" s="45">
        <f>(getDistance(coord!$C6,coord!$D6,coord!$C$14,coord!$D$14)*1000)/$P$20</f>
        <v>7.5641428358044008E-2</v>
      </c>
      <c r="Q8" s="45">
        <f>(getDistance(coord!$C6,coord!$D6,coord!$C$15,coord!$D$15)*1000)/$Q$20</f>
        <v>5.5210243961729924E-2</v>
      </c>
      <c r="R8" s="45">
        <f>(getDistance(coord!$C6,coord!$D6,coord!$C$16,coord!$D$16)*1000)/$R$20</f>
        <v>6.4157895195982612E-2</v>
      </c>
      <c r="S8" s="45">
        <f>(getDistance(coord!$C6,coord!$D6,coord!$C$17,coord!$D$17)*1000)/$S$20</f>
        <v>6.067538526253205E-2</v>
      </c>
      <c r="T8" s="8" t="s">
        <v>19</v>
      </c>
      <c r="U8" s="17">
        <v>13</v>
      </c>
      <c r="V8" s="10">
        <v>7.586206896551724E-2</v>
      </c>
      <c r="W8" s="10">
        <v>7.8431372549019607E-2</v>
      </c>
      <c r="X8" s="12">
        <v>6.0606060606060608E-2</v>
      </c>
      <c r="Y8" s="12">
        <v>6.6666666666666666E-2</v>
      </c>
      <c r="Z8" s="12">
        <v>7.0175438596491224E-2</v>
      </c>
      <c r="AA8" s="12">
        <v>7.9155672823219003E-2</v>
      </c>
      <c r="AB8" s="12">
        <v>8.6956521739130432E-2</v>
      </c>
      <c r="AC8" s="12">
        <v>5.4545454545454543E-2</v>
      </c>
      <c r="AD8" s="12">
        <v>5.6000000000000001E-2</v>
      </c>
      <c r="AE8" s="12">
        <v>6.3380281690140844E-2</v>
      </c>
      <c r="AF8" s="12">
        <v>7.2289156626506021E-2</v>
      </c>
      <c r="AG8" s="12">
        <v>7.0588235294117646E-2</v>
      </c>
      <c r="AH8" s="12">
        <v>9.8765432098765427E-2</v>
      </c>
      <c r="AI8" s="12">
        <v>9.2105263157894732E-2</v>
      </c>
      <c r="AJ8" s="12">
        <v>8.1081081081081086E-2</v>
      </c>
      <c r="AK8" s="12">
        <v>5.4878048780487805E-2</v>
      </c>
      <c r="AL8" s="18">
        <v>9.1743119266055051E-2</v>
      </c>
      <c r="AM8">
        <f t="shared" si="0"/>
        <v>7.3719404381565184E-2</v>
      </c>
    </row>
    <row r="9" spans="1:39" ht="15">
      <c r="A9" s="12"/>
      <c r="B9" s="17">
        <v>7</v>
      </c>
      <c r="C9" s="45">
        <f>(getDistance(coord!C7,coord!D7,coord!$C$1,coord!$D$1)*1000)/$C$20</f>
        <v>0.11024602044878865</v>
      </c>
      <c r="D9" s="45">
        <f>(getDistance(coord!C7,coord!D7,coord!$C$2,coord!$D$2)*1000)/$D$20</f>
        <v>0.11010461508476854</v>
      </c>
      <c r="E9" s="45">
        <f>(getDistance(coord!$C7,coord!$D7,coord!$C$3,coord!$D$3)*1000)/$E$20</f>
        <v>0.10692499951284801</v>
      </c>
      <c r="F9" s="45">
        <f>(getDistance(coord!$C7,coord!$D7,coord!$C$4,coord!$D$4)*1000)/$F$20</f>
        <v>8.8443511207543263E-2</v>
      </c>
      <c r="G9" s="45">
        <f>(getDistance(coord!$C7,coord!$D7,coord!$C$5,coord!$D$5)*1000)/$G$20</f>
        <v>4.5913757294255543E-2</v>
      </c>
      <c r="H9" s="45">
        <f>(getDistance(coord!$C7,coord!$D7,coord!$C$6,coord!$D$6)*1000)/$H$20</f>
        <v>4.0988037398308211E-2</v>
      </c>
      <c r="I9" s="46">
        <f>(getDistance(coord!$C7,coord!$D7,coord!$C$7,coord!$D$7)*1000)/$I$20</f>
        <v>0</v>
      </c>
      <c r="J9" s="45">
        <f>(getDistance(coord!$C7,coord!$D7,coord!$C$8,coord!$D$8)*1000)/$J$20</f>
        <v>3.8743657867997619E-2</v>
      </c>
      <c r="K9" s="45">
        <f>(getDistance(coord!$C7,coord!$D7,coord!$C$9,coord!$D$9)*1000)/$K$20</f>
        <v>4.9244496620776908E-2</v>
      </c>
      <c r="L9" s="45">
        <f>(getDistance(coord!$C7,coord!$D7,coord!$C$10,coord!$D$10)*1000)/$L$20</f>
        <v>5.9262873544274626E-2</v>
      </c>
      <c r="M9" s="45">
        <f>(getDistance(coord!$C7,coord!$D7,coord!$C$11,coord!$D$11)*1000)/$M$20</f>
        <v>7.6742677255341979E-2</v>
      </c>
      <c r="N9" s="45">
        <f>(getDistance(coord!$C7,coord!$D7,coord!$C$12,coord!$D$12)*1000)/$N$20</f>
        <v>1.4538514946681543E-2</v>
      </c>
      <c r="O9" s="45">
        <f>(getDistance(coord!$C7,coord!$D7,coord!$C$13,coord!$D$13)*1000)/$O$20</f>
        <v>9.6802630564305797E-2</v>
      </c>
      <c r="P9" s="45">
        <f>(getDistance(coord!$C7,coord!$D7,coord!$C$14,coord!$D$14)*1000)/$P$20</f>
        <v>0.10771118170244345</v>
      </c>
      <c r="Q9" s="45">
        <f>(getDistance(coord!$C7,coord!$D7,coord!$C$15,coord!$D$15)*1000)/$Q$20</f>
        <v>7.7887990092287598E-2</v>
      </c>
      <c r="R9" s="45">
        <f>(getDistance(coord!$C7,coord!$D7,coord!$C$16,coord!$D$16)*1000)/$R$20</f>
        <v>7.7230351239655826E-2</v>
      </c>
      <c r="S9" s="45">
        <f>(getDistance(coord!$C7,coord!$D7,coord!$C$17,coord!$D$17)*1000)/$S$20</f>
        <v>8.2165573782386259E-2</v>
      </c>
      <c r="T9" s="8" t="s">
        <v>20</v>
      </c>
      <c r="U9" s="17">
        <v>14</v>
      </c>
      <c r="V9" s="10">
        <v>7.586206896551724E-2</v>
      </c>
      <c r="W9" s="10">
        <v>7.8431372549019607E-2</v>
      </c>
      <c r="X9" s="12">
        <v>6.0606060606060608E-2</v>
      </c>
      <c r="Y9" s="12">
        <v>8.5714285714285715E-2</v>
      </c>
      <c r="Z9" s="12">
        <v>7.0175438596491224E-2</v>
      </c>
      <c r="AA9" s="12">
        <v>7.9155672823219003E-2</v>
      </c>
      <c r="AB9" s="12">
        <v>8.6956521739130432E-2</v>
      </c>
      <c r="AC9" s="12">
        <v>7.2727272727272724E-2</v>
      </c>
      <c r="AD9" s="12">
        <v>7.1999999999999995E-2</v>
      </c>
      <c r="AE9" s="12">
        <v>6.3380281690140844E-2</v>
      </c>
      <c r="AF9" s="12">
        <v>8.4337349397590355E-2</v>
      </c>
      <c r="AG9" s="12">
        <v>8.2352941176470587E-2</v>
      </c>
      <c r="AH9" s="12">
        <v>9.8765432098765427E-2</v>
      </c>
      <c r="AI9" s="12">
        <v>9.2105263157894732E-2</v>
      </c>
      <c r="AJ9" s="12">
        <v>8.1081081081081086E-2</v>
      </c>
      <c r="AK9" s="12">
        <v>6.7073170731707321E-2</v>
      </c>
      <c r="AL9" s="18">
        <v>8.2568807339449546E-2</v>
      </c>
      <c r="AM9">
        <f t="shared" si="0"/>
        <v>7.8429001199652737E-2</v>
      </c>
    </row>
    <row r="10" spans="1:39" ht="15">
      <c r="A10" s="12"/>
      <c r="B10" s="17">
        <v>8</v>
      </c>
      <c r="C10" s="45">
        <f>(getDistance(coord!C8,coord!D8,coord!$C$1,coord!$D$1)*1000)/$C$20</f>
        <v>7.8116539205215205E-2</v>
      </c>
      <c r="D10" s="45">
        <f>(getDistance(coord!C8,coord!D8,coord!$C$2,coord!$D$2)*1000)/$D$20</f>
        <v>7.5528201747367199E-2</v>
      </c>
      <c r="E10" s="45">
        <f>(getDistance(coord!$C8,coord!$D8,coord!$C$3,coord!$D$3)*1000)/$E$20</f>
        <v>6.9070986320844893E-2</v>
      </c>
      <c r="F10" s="45">
        <f>(getDistance(coord!$C8,coord!$D8,coord!$C$4,coord!$D$4)*1000)/$F$20</f>
        <v>7.3097961577115442E-2</v>
      </c>
      <c r="G10" s="45">
        <f>(getDistance(coord!$C8,coord!$D8,coord!$C$5,coord!$D$5)*1000)/$G$20</f>
        <v>6.9044686187920493E-3</v>
      </c>
      <c r="H10" s="45">
        <f>(getDistance(coord!$C8,coord!$D8,coord!$C$6,coord!$D$6)*1000)/$H$20</f>
        <v>1.6387876424078383E-2</v>
      </c>
      <c r="I10" s="45">
        <f>(getDistance(coord!$C8,coord!$D8,coord!$C$7,coord!$D$7)*1000)/$I$20</f>
        <v>2.7022289830822523E-2</v>
      </c>
      <c r="J10" s="46">
        <f>(getDistance(coord!$C8,coord!$D8,coord!$C$8,coord!$D$8)*1000)/$J$20</f>
        <v>0</v>
      </c>
      <c r="K10" s="45">
        <f>(getDistance(coord!$C8,coord!$D8,coord!$C$9,coord!$D$9)*1000)/$K$20</f>
        <v>1.8865925894248264E-2</v>
      </c>
      <c r="L10" s="45">
        <f>(getDistance(coord!$C8,coord!$D8,coord!$C$10,coord!$D$10)*1000)/$L$20</f>
        <v>1.9370649843554015E-2</v>
      </c>
      <c r="M10" s="45">
        <f>(getDistance(coord!$C8,coord!$D8,coord!$C$11,coord!$D$11)*1000)/$M$20</f>
        <v>5.3047541420967771E-2</v>
      </c>
      <c r="N10" s="45">
        <f>(getDistance(coord!$C8,coord!$D8,coord!$C$12,coord!$D$12)*1000)/$N$20</f>
        <v>3.5229351517956919E-2</v>
      </c>
      <c r="O10" s="45">
        <f>(getDistance(coord!$C8,coord!$D8,coord!$C$13,coord!$D$13)*1000)/$O$20</f>
        <v>7.6712397791357037E-2</v>
      </c>
      <c r="P10" s="45">
        <f>(getDistance(coord!$C8,coord!$D8,coord!$C$14,coord!$D$14)*1000)/$P$20</f>
        <v>7.9191169760593288E-2</v>
      </c>
      <c r="Q10" s="45">
        <f>(getDistance(coord!$C8,coord!$D8,coord!$C$15,coord!$D$15)*1000)/$Q$20</f>
        <v>4.4365082357417922E-2</v>
      </c>
      <c r="R10" s="45">
        <f>(getDistance(coord!$C8,coord!$D8,coord!$C$16,coord!$D$16)*1000)/$R$20</f>
        <v>5.516766485577608E-2</v>
      </c>
      <c r="S10" s="45">
        <f>(getDistance(coord!$C8,coord!$D8,coord!$C$17,coord!$D$17)*1000)/$S$20</f>
        <v>5.0786616553483946E-2</v>
      </c>
      <c r="T10" s="8" t="s">
        <v>21</v>
      </c>
      <c r="U10" s="17">
        <v>15</v>
      </c>
      <c r="V10" s="10">
        <v>8.2758620689655171E-2</v>
      </c>
      <c r="W10" s="10">
        <v>9.8039215686274508E-2</v>
      </c>
      <c r="X10" s="12">
        <v>6.0606060606060608E-2</v>
      </c>
      <c r="Y10" s="12">
        <v>0.11428571428571428</v>
      </c>
      <c r="Z10" s="12">
        <v>7.0175438596491224E-2</v>
      </c>
      <c r="AA10" s="12">
        <v>7.9155672823219003E-2</v>
      </c>
      <c r="AB10" s="12">
        <v>8.6956521739130432E-2</v>
      </c>
      <c r="AC10" s="12">
        <v>7.2727272727272724E-2</v>
      </c>
      <c r="AD10" s="12">
        <v>9.6000000000000002E-2</v>
      </c>
      <c r="AE10" s="12">
        <v>6.3380281690140844E-2</v>
      </c>
      <c r="AF10" s="12">
        <v>9.6385542168674704E-2</v>
      </c>
      <c r="AG10" s="12">
        <v>9.4117647058823528E-2</v>
      </c>
      <c r="AH10" s="12">
        <v>9.8765432098765427E-2</v>
      </c>
      <c r="AI10" s="12">
        <v>9.2105263157894732E-2</v>
      </c>
      <c r="AJ10" s="12">
        <v>8.1081081081081086E-2</v>
      </c>
      <c r="AK10" s="12">
        <v>7.926829268292683E-2</v>
      </c>
      <c r="AL10" s="18">
        <v>8.2568807339449546E-2</v>
      </c>
      <c r="AM10">
        <f t="shared" si="0"/>
        <v>8.519863908421027E-2</v>
      </c>
    </row>
    <row r="11" spans="1:39" ht="15">
      <c r="A11" s="12"/>
      <c r="B11" s="17">
        <v>9</v>
      </c>
      <c r="C11" s="45">
        <f>(getDistance(coord!C9,coord!D9,coord!$C$1,coord!$D$1)*1000)/$C$20</f>
        <v>7.6853360723040068E-2</v>
      </c>
      <c r="D11" s="45">
        <f>(getDistance(coord!C9,coord!D9,coord!$C$2,coord!$D$2)*1000)/$D$20</f>
        <v>7.2892421099228111E-2</v>
      </c>
      <c r="E11" s="45">
        <f>(getDistance(coord!$C9,coord!$D9,coord!$C$3,coord!$D$3)*1000)/$E$20</f>
        <v>6.6269419242501834E-2</v>
      </c>
      <c r="F11" s="45">
        <f>(getDistance(coord!$C9,coord!$D9,coord!$C$4,coord!$D$4)*1000)/$F$20</f>
        <v>7.7821029734533517E-2</v>
      </c>
      <c r="G11" s="45">
        <f>(getDistance(coord!$C9,coord!$D9,coord!$C$5,coord!$D$5)*1000)/$G$20</f>
        <v>1.4494974915072205E-2</v>
      </c>
      <c r="H11" s="45">
        <f>(getDistance(coord!$C9,coord!$D9,coord!$C$6,coord!$D$6)*1000)/$H$20</f>
        <v>3.4541692980885677E-2</v>
      </c>
      <c r="I11" s="45">
        <f>(getDistance(coord!$C9,coord!$D9,coord!$C$7,coord!$D$7)*1000)/$I$20</f>
        <v>3.5418663225925767E-2</v>
      </c>
      <c r="J11" s="45">
        <f>(getDistance(coord!$C9,coord!$D9,coord!$C$8,coord!$D$8)*1000)/$J$20</f>
        <v>1.9454992196515256E-2</v>
      </c>
      <c r="K11" s="46">
        <f>(getDistance(coord!$C9,coord!$D9,coord!$C$9,coord!$D$9)*1000)/$K$20</f>
        <v>0</v>
      </c>
      <c r="L11" s="45">
        <f>(getDistance(coord!$C9,coord!$D9,coord!$C$10,coord!$D$10)*1000)/$L$20</f>
        <v>3.0051966035264915E-2</v>
      </c>
      <c r="M11" s="45">
        <f>(getDistance(coord!$C9,coord!$D9,coord!$C$11,coord!$D$11)*1000)/$M$20</f>
        <v>6.3956981472842303E-2</v>
      </c>
      <c r="N11" s="45">
        <f>(getDistance(coord!$C9,coord!$D9,coord!$C$12,coord!$D$12)*1000)/$N$20</f>
        <v>4.3841191653188123E-2</v>
      </c>
      <c r="O11" s="45">
        <f>(getDistance(coord!$C9,coord!$D9,coord!$C$13,coord!$D$13)*1000)/$O$20</f>
        <v>8.0008565439865093E-2</v>
      </c>
      <c r="P11" s="45">
        <f>(getDistance(coord!$C9,coord!$D9,coord!$C$14,coord!$D$14)*1000)/$P$20</f>
        <v>7.9114399096281499E-2</v>
      </c>
      <c r="Q11" s="45">
        <f>(getDistance(coord!$C9,coord!$D9,coord!$C$15,coord!$D$15)*1000)/$Q$20</f>
        <v>2.9333697451410307E-2</v>
      </c>
      <c r="R11" s="45">
        <f>(getDistance(coord!$C9,coord!$D9,coord!$C$16,coord!$D$16)*1000)/$R$20</f>
        <v>4.2305951765213359E-2</v>
      </c>
      <c r="S11" s="45">
        <f>(getDistance(coord!$C9,coord!$D9,coord!$C$17,coord!$D$17)*1000)/$S$20</f>
        <v>3.6437900182833403E-2</v>
      </c>
      <c r="T11" s="8" t="s">
        <v>22</v>
      </c>
      <c r="U11" s="17">
        <v>16</v>
      </c>
      <c r="V11" s="10">
        <v>8.2758620689655171E-2</v>
      </c>
      <c r="W11" s="10">
        <v>9.8039215686274508E-2</v>
      </c>
      <c r="X11" s="12">
        <v>6.0606060606060608E-2</v>
      </c>
      <c r="Y11" s="12">
        <v>0.11428571428571428</v>
      </c>
      <c r="Z11" s="12">
        <v>7.0175438596491224E-2</v>
      </c>
      <c r="AA11" s="12">
        <v>7.9155672823219003E-2</v>
      </c>
      <c r="AB11" s="12">
        <v>8.6956521739130432E-2</v>
      </c>
      <c r="AC11" s="12">
        <v>7.2727272727272724E-2</v>
      </c>
      <c r="AD11" s="12">
        <v>9.6000000000000002E-2</v>
      </c>
      <c r="AE11" s="12">
        <v>6.3380281690140844E-2</v>
      </c>
      <c r="AF11" s="12">
        <v>9.6385542168674704E-2</v>
      </c>
      <c r="AG11" s="12">
        <v>9.4117647058823528E-2</v>
      </c>
      <c r="AH11" s="12">
        <v>9.8765432098765427E-2</v>
      </c>
      <c r="AI11" s="12">
        <v>9.2105263157894732E-2</v>
      </c>
      <c r="AJ11" s="12">
        <v>8.1081081081081086E-2</v>
      </c>
      <c r="AK11" s="12">
        <v>9.1463414634146339E-2</v>
      </c>
      <c r="AL11" s="18">
        <v>7.3394495412844041E-2</v>
      </c>
      <c r="AM11">
        <f t="shared" si="0"/>
        <v>8.5376333791540512E-2</v>
      </c>
    </row>
    <row r="12" spans="1:39" ht="15">
      <c r="A12" s="12"/>
      <c r="B12" s="17">
        <v>10</v>
      </c>
      <c r="C12" s="45">
        <f>(getDistance(coord!C10,coord!D10,coord!$C$1,coord!$D$1)*1000)/$C$20</f>
        <v>6.3600540027924646E-2</v>
      </c>
      <c r="D12" s="45">
        <f>(getDistance(coord!C10,coord!D10,coord!$C$2,coord!$D$2)*1000)/$D$20</f>
        <v>6.0709928608488055E-2</v>
      </c>
      <c r="E12" s="45">
        <f>(getDistance(coord!$C10,coord!$D10,coord!$C$3,coord!$D$3)*1000)/$E$20</f>
        <v>5.3140429031264647E-2</v>
      </c>
      <c r="F12" s="45">
        <f>(getDistance(coord!$C10,coord!$D10,coord!$C$4,coord!$D$4)*1000)/$F$20</f>
        <v>6.3707311184292334E-2</v>
      </c>
      <c r="G12" s="45">
        <f>(getDistance(coord!$C10,coord!$D10,coord!$C$5,coord!$D$5)*1000)/$G$20</f>
        <v>1.6736583430925735E-2</v>
      </c>
      <c r="H12" s="45">
        <f>(getDistance(coord!$C10,coord!$D10,coord!$C$6,coord!$D$6)*1000)/$H$20</f>
        <v>1.6477274234803704E-2</v>
      </c>
      <c r="I12" s="45">
        <f>(getDistance(coord!$C10,coord!$D10,coord!$C$7,coord!$D$7)*1000)/$I$20</f>
        <v>3.8029499528976364E-2</v>
      </c>
      <c r="J12" s="45">
        <f>(getDistance(coord!$C10,coord!$D10,coord!$C$8,coord!$D$8)*1000)/$J$20</f>
        <v>1.7822169433337764E-2</v>
      </c>
      <c r="K12" s="45">
        <f>(getDistance(coord!$C10,coord!$D10,coord!$C$9,coord!$D$9)*1000)/$K$20</f>
        <v>2.6812439532441078E-2</v>
      </c>
      <c r="L12" s="46">
        <f>(getDistance(coord!$C10,coord!$D10,coord!$C$10,coord!$D$10)*1000)/$L$20</f>
        <v>0</v>
      </c>
      <c r="M12" s="45">
        <f>(getDistance(coord!$C10,coord!$D10,coord!$C$11,coord!$D$11)*1000)/$M$20</f>
        <v>3.9354063672278637E-2</v>
      </c>
      <c r="N12" s="45">
        <f>(getDistance(coord!$C10,coord!$D10,coord!$C$12,coord!$D$12)*1000)/$N$20</f>
        <v>4.2894568213011769E-2</v>
      </c>
      <c r="O12" s="45">
        <f>(getDistance(coord!$C10,coord!$D10,coord!$C$13,coord!$D$13)*1000)/$O$20</f>
        <v>6.5606399204571786E-2</v>
      </c>
      <c r="P12" s="45">
        <f>(getDistance(coord!$C10,coord!$D10,coord!$C$14,coord!$D$14)*1000)/$P$20</f>
        <v>6.5676574494798801E-2</v>
      </c>
      <c r="Q12" s="45">
        <f>(getDistance(coord!$C10,coord!$D10,coord!$C$15,coord!$D$15)*1000)/$Q$20</f>
        <v>4.0948212204785242E-2</v>
      </c>
      <c r="R12" s="45">
        <f>(getDistance(coord!$C10,coord!$D10,coord!$C$16,coord!$D$16)*1000)/$R$20</f>
        <v>5.3859370950850576E-2</v>
      </c>
      <c r="S12" s="45">
        <f>(getDistance(coord!$C10,coord!$D10,coord!$C$17,coord!$D$17)*1000)/$S$20</f>
        <v>4.684761894464741E-2</v>
      </c>
      <c r="T12" s="8" t="s">
        <v>23</v>
      </c>
      <c r="U12" s="17">
        <v>17</v>
      </c>
      <c r="V12" s="10">
        <v>8.2758620689655171E-2</v>
      </c>
      <c r="W12" s="10">
        <v>9.8039215686274508E-2</v>
      </c>
      <c r="X12" s="12">
        <v>6.0606060606060608E-2</v>
      </c>
      <c r="Y12" s="12">
        <v>0.11428571428571428</v>
      </c>
      <c r="Z12" s="12">
        <v>7.0175438596491224E-2</v>
      </c>
      <c r="AA12" s="12">
        <v>7.9155672823219003E-2</v>
      </c>
      <c r="AB12" s="12">
        <v>8.6956521739130432E-2</v>
      </c>
      <c r="AC12" s="12">
        <v>7.2727272727272724E-2</v>
      </c>
      <c r="AD12" s="12">
        <v>9.6000000000000002E-2</v>
      </c>
      <c r="AE12" s="12">
        <v>5.6338028169014086E-2</v>
      </c>
      <c r="AF12" s="12">
        <v>9.6385542168674704E-2</v>
      </c>
      <c r="AG12" s="12">
        <v>9.4117647058823528E-2</v>
      </c>
      <c r="AH12" s="12">
        <v>8.6419753086419748E-2</v>
      </c>
      <c r="AI12" s="12">
        <v>7.8947368421052627E-2</v>
      </c>
      <c r="AJ12" s="12">
        <v>8.1081081081081086E-2</v>
      </c>
      <c r="AK12" s="12">
        <v>9.7560975609756101E-2</v>
      </c>
      <c r="AL12" s="18">
        <v>7.3394495412844041E-2</v>
      </c>
      <c r="AM12">
        <f t="shared" si="0"/>
        <v>8.3820553421263766E-2</v>
      </c>
    </row>
    <row r="13" spans="1:39" ht="15">
      <c r="A13" s="12"/>
      <c r="B13" s="17">
        <v>11</v>
      </c>
      <c r="C13" s="45">
        <f>(getDistance(coord!C11,coord!D11,coord!$C$1,coord!$D$1)*1000)/$C$20</f>
        <v>5.3003930552678102E-2</v>
      </c>
      <c r="D13" s="45">
        <f>(getDistance(coord!C11,coord!D11,coord!$C$2,coord!$D$2)*1000)/$D$20</f>
        <v>5.5340149093294128E-2</v>
      </c>
      <c r="E13" s="45">
        <f>(getDistance(coord!$C11,coord!$D11,coord!$C$3,coord!$D$3)*1000)/$E$20</f>
        <v>5.2960760993775863E-2</v>
      </c>
      <c r="F13" s="45">
        <f>(getDistance(coord!$C11,coord!$D11,coord!$C$4,coord!$D$4)*1000)/$F$20</f>
        <v>4.1105496003302211E-2</v>
      </c>
      <c r="G13" s="45">
        <f>(getDistance(coord!$C11,coord!$D11,coord!$C$5,coord!$D$5)*1000)/$G$20</f>
        <v>6.1658373422498379E-2</v>
      </c>
      <c r="H13" s="45">
        <f>(getDistance(coord!$C11,coord!$D11,coord!$C$6,coord!$D$6)*1000)/$H$20</f>
        <v>4.5039467747617051E-2</v>
      </c>
      <c r="I13" s="45">
        <f>(getDistance(coord!$C11,coord!$D11,coord!$C$7,coord!$D$7)*1000)/$I$20</f>
        <v>5.9789996895561061E-2</v>
      </c>
      <c r="J13" s="45">
        <f>(getDistance(coord!$C11,coord!$D11,coord!$C$8,coord!$D$8)*1000)/$J$20</f>
        <v>5.9256407557506004E-2</v>
      </c>
      <c r="K13" s="45">
        <f>(getDistance(coord!$C11,coord!$D11,coord!$C$9,coord!$D$9)*1000)/$K$20</f>
        <v>6.9279553469114658E-2</v>
      </c>
      <c r="L13" s="45">
        <f>(getDistance(coord!$C11,coord!$D11,coord!$C$10,coord!$D$10)*1000)/$L$20</f>
        <v>4.7779683050346779E-2</v>
      </c>
      <c r="M13" s="46">
        <f>(getDistance(coord!$C11,coord!$D11,coord!$C$11,coord!$D$11)*1000)/$M$20</f>
        <v>0</v>
      </c>
      <c r="N13" s="45">
        <f>(getDistance(coord!$C11,coord!$D11,coord!$C$12,coord!$D$12)*1000)/$N$20</f>
        <v>5.572497415185388E-2</v>
      </c>
      <c r="O13" s="45">
        <f>(getDistance(coord!$C11,coord!$D11,coord!$C$13,coord!$D$13)*1000)/$O$20</f>
        <v>4.3871153743780165E-2</v>
      </c>
      <c r="P13" s="45">
        <f>(getDistance(coord!$C11,coord!$D11,coord!$C$14,coord!$D$14)*1000)/$P$20</f>
        <v>5.1083997047246268E-2</v>
      </c>
      <c r="Q13" s="45">
        <f>(getDistance(coord!$C11,coord!$D11,coord!$C$15,coord!$D$15)*1000)/$Q$20</f>
        <v>7.4081405748092202E-2</v>
      </c>
      <c r="R13" s="45">
        <f>(getDistance(coord!$C11,coord!$D11,coord!$C$16,coord!$D$16)*1000)/$R$20</f>
        <v>7.6744460092839653E-2</v>
      </c>
      <c r="S13" s="45">
        <f>(getDistance(coord!$C11,coord!$D11,coord!$C$17,coord!$D$17)*1000)/$S$20</f>
        <v>7.5515635864192812E-2</v>
      </c>
      <c r="T13" s="8" t="s">
        <v>24</v>
      </c>
      <c r="U13" s="17">
        <v>18</v>
      </c>
      <c r="V13" s="10">
        <v>8.2758620689655171E-2</v>
      </c>
      <c r="W13" s="10">
        <v>9.8039215686274508E-2</v>
      </c>
      <c r="X13" s="12">
        <v>6.0606060606060608E-2</v>
      </c>
      <c r="Y13" s="12">
        <v>0.11428571428571428</v>
      </c>
      <c r="Z13" s="12">
        <v>7.0175438596491224E-2</v>
      </c>
      <c r="AA13" s="12">
        <v>7.9155672823219003E-2</v>
      </c>
      <c r="AB13" s="12">
        <v>6.5217391304347824E-2</v>
      </c>
      <c r="AC13" s="12">
        <v>7.2727272727272724E-2</v>
      </c>
      <c r="AD13" s="12">
        <v>9.6000000000000002E-2</v>
      </c>
      <c r="AE13" s="12">
        <v>5.6338028169014086E-2</v>
      </c>
      <c r="AF13" s="12">
        <v>8.4337349397590355E-2</v>
      </c>
      <c r="AG13" s="12">
        <v>9.4117647058823528E-2</v>
      </c>
      <c r="AH13" s="12">
        <v>7.407407407407407E-2</v>
      </c>
      <c r="AI13" s="12">
        <v>6.5789473684210523E-2</v>
      </c>
      <c r="AJ13" s="12">
        <v>6.7567567567567571E-2</v>
      </c>
      <c r="AK13" s="12">
        <v>9.7560975609756101E-2</v>
      </c>
      <c r="AL13" s="18">
        <v>6.4220183486238536E-2</v>
      </c>
      <c r="AM13">
        <f t="shared" si="0"/>
        <v>7.8998275633312381E-2</v>
      </c>
    </row>
    <row r="14" spans="1:39" ht="15">
      <c r="A14" s="12"/>
      <c r="B14" s="17">
        <v>12</v>
      </c>
      <c r="C14" s="45">
        <f>(getDistance(coord!C12,coord!D12,coord!$C$1,coord!$D$1)*1000)/$C$20</f>
        <v>0.12442312897060948</v>
      </c>
      <c r="D14" s="45">
        <f>(getDistance(coord!C12,coord!D12,coord!$C$2,coord!$D$2)*1000)/$D$20</f>
        <v>0.12613552986261042</v>
      </c>
      <c r="E14" s="45">
        <f>(getDistance(coord!$C12,coord!$D12,coord!$C$3,coord!$D$3)*1000)/$E$20</f>
        <v>0.12486504824989027</v>
      </c>
      <c r="F14" s="45">
        <f>(getDistance(coord!$C12,coord!$D12,coord!$C$4,coord!$D$4)*1000)/$F$20</f>
        <v>9.2033808712977699E-2</v>
      </c>
      <c r="G14" s="45">
        <f>(getDistance(coord!$C12,coord!$D12,coord!$C$5,coord!$D$5)*1000)/$G$20</f>
        <v>6.8309619236441591E-2</v>
      </c>
      <c r="H14" s="45">
        <f>(getDistance(coord!$C12,coord!$D12,coord!$C$6,coord!$D$6)*1000)/$H$20</f>
        <v>5.6183082430647978E-2</v>
      </c>
      <c r="I14" s="45">
        <f>(getDistance(coord!$C12,coord!$D12,coord!$C$7,coord!$D$7)*1000)/$I$20</f>
        <v>1.722571046413977E-2</v>
      </c>
      <c r="J14" s="45">
        <f>(getDistance(coord!$C12,coord!$D12,coord!$C$8,coord!$D$8)*1000)/$J$20</f>
        <v>5.9846701388051766E-2</v>
      </c>
      <c r="K14" s="45">
        <f>(getDistance(coord!$C12,coord!$D12,coord!$C$9,coord!$D$9)*1000)/$K$20</f>
        <v>7.2221246955502236E-2</v>
      </c>
      <c r="L14" s="45">
        <f>(getDistance(coord!$C12,coord!$D12,coord!$C$10,coord!$D$10)*1000)/$L$20</f>
        <v>7.919932715662388E-2</v>
      </c>
      <c r="M14" s="45">
        <f>(getDistance(coord!$C12,coord!$D12,coord!$C$11,coord!$D$11)*1000)/$M$20</f>
        <v>8.4745254194830075E-2</v>
      </c>
      <c r="N14" s="46">
        <f>(getDistance(coord!$C12,coord!$D12,coord!$C$12,coord!$D$12)*1000)/$N$20</f>
        <v>0</v>
      </c>
      <c r="O14" s="45">
        <f>(getDistance(coord!$C12,coord!$D12,coord!$C$13,coord!$D$13)*1000)/$O$20</f>
        <v>0.10320279985749732</v>
      </c>
      <c r="P14" s="45">
        <f>(getDistance(coord!$C12,coord!$D12,coord!$C$14,coord!$D$14)*1000)/$P$20</f>
        <v>0.11958450576045555</v>
      </c>
      <c r="Q14" s="45">
        <f>(getDistance(coord!$C12,coord!$D12,coord!$C$15,coord!$D$15)*1000)/$Q$20</f>
        <v>0.10028480156895668</v>
      </c>
      <c r="R14" s="45">
        <f>(getDistance(coord!$C12,coord!$D12,coord!$C$16,coord!$D$16)*1000)/$R$20</f>
        <v>9.4494373602843837E-2</v>
      </c>
      <c r="S14" s="45">
        <f>(getDistance(coord!$C12,coord!$D12,coord!$C$17,coord!$D$17)*1000)/$S$20</f>
        <v>0.10336144240353058</v>
      </c>
      <c r="T14" s="8" t="s">
        <v>25</v>
      </c>
      <c r="U14" s="17">
        <v>19</v>
      </c>
      <c r="V14" s="10">
        <v>8.2758620689655171E-2</v>
      </c>
      <c r="W14" s="10">
        <v>9.8039215686274508E-2</v>
      </c>
      <c r="X14" s="12">
        <v>6.0606060606060608E-2</v>
      </c>
      <c r="Y14" s="12">
        <v>9.5238095238095233E-2</v>
      </c>
      <c r="Z14" s="12">
        <v>7.0175438596491224E-2</v>
      </c>
      <c r="AA14" s="12">
        <v>7.9155672823219003E-2</v>
      </c>
      <c r="AB14" s="12">
        <v>6.5217391304347824E-2</v>
      </c>
      <c r="AC14" s="12">
        <v>7.2727272727272724E-2</v>
      </c>
      <c r="AD14" s="12">
        <v>9.6000000000000002E-2</v>
      </c>
      <c r="AE14" s="12">
        <v>6.3380281690140844E-2</v>
      </c>
      <c r="AF14" s="12">
        <v>7.2289156626506021E-2</v>
      </c>
      <c r="AG14" s="12">
        <v>8.2352941176470587E-2</v>
      </c>
      <c r="AH14" s="12">
        <v>6.1728395061728392E-2</v>
      </c>
      <c r="AI14" s="12">
        <v>5.2631578947368418E-2</v>
      </c>
      <c r="AJ14" s="12">
        <v>5.4054054054054057E-2</v>
      </c>
      <c r="AK14" s="12">
        <v>8.5365853658536592E-2</v>
      </c>
      <c r="AL14" s="18">
        <v>5.5045871559633031E-2</v>
      </c>
      <c r="AM14">
        <f t="shared" si="0"/>
        <v>7.3339170614462018E-2</v>
      </c>
    </row>
    <row r="15" spans="1:39" ht="15">
      <c r="A15" s="12"/>
      <c r="B15" s="17">
        <v>13</v>
      </c>
      <c r="C15" s="45">
        <f>(getDistance(coord!C13,coord!D13,coord!$C$1,coord!$D$1)*1000)/$C$20</f>
        <v>4.3406939779412235E-2</v>
      </c>
      <c r="D15" s="45">
        <f>(getDistance(coord!C13,coord!D13,coord!$C$2,coord!$D$2)*1000)/$D$20</f>
        <v>5.5092401920754E-2</v>
      </c>
      <c r="E15" s="45">
        <f>(getDistance(coord!$C13,coord!$D13,coord!$C$3,coord!$D$3)*1000)/$E$20</f>
        <v>6.8007338920972327E-2</v>
      </c>
      <c r="F15" s="45">
        <f>(getDistance(coord!$C13,coord!$D13,coord!$C$4,coord!$D$4)*1000)/$F$20</f>
        <v>1.4438397823923838E-2</v>
      </c>
      <c r="G15" s="45">
        <f>(getDistance(coord!$C13,coord!$D13,coord!$C$5,coord!$D$5)*1000)/$G$20</f>
        <v>0.1240891523847116</v>
      </c>
      <c r="H15" s="45">
        <f>(getDistance(coord!$C13,coord!$D13,coord!$C$6,coord!$D$6)*1000)/$H$20</f>
        <v>0.11076152027668346</v>
      </c>
      <c r="I15" s="45">
        <f>(getDistance(coord!$C13,coord!$D13,coord!$C$7,coord!$D$7)*1000)/$I$20</f>
        <v>0.10772280686510681</v>
      </c>
      <c r="J15" s="45">
        <f>(getDistance(coord!$C13,coord!$D13,coord!$C$8,coord!$D$8)*1000)/$J$20</f>
        <v>0.12239524124525568</v>
      </c>
      <c r="K15" s="45">
        <f>(getDistance(coord!$C13,coord!$D13,coord!$C$9,coord!$D$9)*1000)/$K$20</f>
        <v>0.12378913316752277</v>
      </c>
      <c r="L15" s="45">
        <f>(getDistance(coord!$C13,coord!$D13,coord!$C$10,coord!$D$10)*1000)/$L$20</f>
        <v>0.11377027287175775</v>
      </c>
      <c r="M15" s="45">
        <f>(getDistance(coord!$C13,coord!$D13,coord!$C$11,coord!$D$11)*1000)/$M$20</f>
        <v>6.2662536812475564E-2</v>
      </c>
      <c r="N15" s="45">
        <f>(getDistance(coord!$C13,coord!$D13,coord!$C$12,coord!$D$12)*1000)/$N$20</f>
        <v>9.6929257430178856E-2</v>
      </c>
      <c r="O15" s="46">
        <f>(getDistance(coord!$C13,coord!$D13,coord!$C$13,coord!$D$13)*1000)/$O$20</f>
        <v>0</v>
      </c>
      <c r="P15" s="45">
        <f>(getDistance(coord!$C13,coord!$D13,coord!$C$14,coord!$D$14)*1000)/$P$20</f>
        <v>3.0320827121779963E-2</v>
      </c>
      <c r="Q15" s="45">
        <f>(getDistance(coord!$C13,coord!$D13,coord!$C$15,coord!$D$15)*1000)/$Q$20</f>
        <v>0.11247572642383664</v>
      </c>
      <c r="R15" s="45">
        <f>(getDistance(coord!$C13,coord!$D13,coord!$C$16,coord!$D$16)*1000)/$R$20</f>
        <v>9.6992800532127305E-2</v>
      </c>
      <c r="S15" s="45">
        <f>(getDistance(coord!$C13,coord!$D13,coord!$C$17,coord!$D$17)*1000)/$S$20</f>
        <v>0.10656888739771539</v>
      </c>
      <c r="T15" s="8" t="s">
        <v>26</v>
      </c>
      <c r="U15" s="17">
        <v>20</v>
      </c>
      <c r="V15" s="10">
        <v>6.2068965517241378E-2</v>
      </c>
      <c r="W15" s="10">
        <v>5.8823529411764705E-2</v>
      </c>
      <c r="X15" s="12">
        <v>6.0606060606060608E-2</v>
      </c>
      <c r="Y15" s="12">
        <v>6.6666666666666666E-2</v>
      </c>
      <c r="Z15" s="12">
        <v>6.1403508771929821E-2</v>
      </c>
      <c r="AA15" s="12">
        <v>7.9155672823219003E-2</v>
      </c>
      <c r="AB15" s="12">
        <v>4.3478260869565216E-2</v>
      </c>
      <c r="AC15" s="12">
        <v>0.16363636363636364</v>
      </c>
      <c r="AD15" s="12">
        <v>7.1999999999999995E-2</v>
      </c>
      <c r="AE15" s="12">
        <v>6.3380281690140844E-2</v>
      </c>
      <c r="AF15" s="12">
        <v>6.0240963855421686E-2</v>
      </c>
      <c r="AG15" s="12">
        <v>7.0588235294117646E-2</v>
      </c>
      <c r="AH15" s="12">
        <v>4.9382716049382713E-2</v>
      </c>
      <c r="AI15" s="12">
        <v>3.9473684210526314E-2</v>
      </c>
      <c r="AJ15" s="12">
        <v>5.4054054054054057E-2</v>
      </c>
      <c r="AK15" s="12">
        <v>7.926829268292683E-2</v>
      </c>
      <c r="AL15" s="18">
        <v>4.5871559633027525E-2</v>
      </c>
      <c r="AM15">
        <f t="shared" si="0"/>
        <v>6.647640092778874E-2</v>
      </c>
    </row>
    <row r="16" spans="1:39" ht="15">
      <c r="A16" s="12"/>
      <c r="B16" s="17">
        <v>14</v>
      </c>
      <c r="C16" s="45">
        <f>(getDistance(coord!C14,coord!D14,coord!$C$1,coord!$D$1)*1000)/$C$20</f>
        <v>1.1391037810811092E-2</v>
      </c>
      <c r="D16" s="45">
        <f>(getDistance(coord!C14,coord!D14,coord!$C$2,coord!$D$2)*1000)/$D$20</f>
        <v>2.1857505644037514E-2</v>
      </c>
      <c r="E16" s="45">
        <f>(getDistance(coord!$C14,coord!$D14,coord!$C$3,coord!$D$3)*1000)/$E$20</f>
        <v>3.5317455666289209E-2</v>
      </c>
      <c r="F16" s="45">
        <f>(getDistance(coord!$C14,coord!$D14,coord!$C$4,coord!$D$4)*1000)/$F$20</f>
        <v>3.5308611522660197E-2</v>
      </c>
      <c r="G16" s="45">
        <f>(getDistance(coord!$C14,coord!$D14,coord!$C$5,coord!$D$5)*1000)/$G$20</f>
        <v>0.10115541709631623</v>
      </c>
      <c r="H16" s="45">
        <f>(getDistance(coord!$C14,coord!$D14,coord!$C$6,coord!$D$6)*1000)/$H$20</f>
        <v>9.5442598560997072E-2</v>
      </c>
      <c r="I16" s="45">
        <f>(getDistance(coord!$C14,coord!$D14,coord!$C$7,coord!$D$7)*1000)/$I$20</f>
        <v>9.6695571475339706E-2</v>
      </c>
      <c r="J16" s="45">
        <f>(getDistance(coord!$C14,coord!$D14,coord!$C$8,coord!$D$8)*1000)/$J$20</f>
        <v>0.10192976553023066</v>
      </c>
      <c r="K16" s="45">
        <f>(getDistance(coord!$C14,coord!$D14,coord!$C$9,coord!$D$9)*1000)/$K$20</f>
        <v>9.8747671612708338E-2</v>
      </c>
      <c r="L16" s="45">
        <f>(getDistance(coord!$C14,coord!$D14,coord!$C$10,coord!$D$10)*1000)/$L$20</f>
        <v>9.1879449125607152E-2</v>
      </c>
      <c r="M16" s="45">
        <f>(getDistance(coord!$C14,coord!$D14,coord!$C$11,coord!$D$11)*1000)/$M$20</f>
        <v>5.8862551050327262E-2</v>
      </c>
      <c r="N16" s="45">
        <f>(getDistance(coord!$C14,coord!$D14,coord!$C$12,coord!$D$12)*1000)/$N$20</f>
        <v>9.0607388008584963E-2</v>
      </c>
      <c r="O16" s="45">
        <f>(getDistance(coord!$C14,coord!$D14,coord!$C$13,coord!$D$13)*1000)/$O$20</f>
        <v>2.4460556662748552E-2</v>
      </c>
      <c r="P16" s="46">
        <f>(getDistance(coord!$C14,coord!$D14,coord!$C$14,coord!$D$14)*1000)/$P$20</f>
        <v>0</v>
      </c>
      <c r="Q16" s="45">
        <f>(getDistance(coord!$C14,coord!$D14,coord!$C$15,coord!$D$15)*1000)/$Q$20</f>
        <v>8.1435855710390165E-2</v>
      </c>
      <c r="R16" s="45">
        <f>(getDistance(coord!$C14,coord!$D14,coord!$C$16,coord!$D$16)*1000)/$R$20</f>
        <v>7.0823158857472049E-2</v>
      </c>
      <c r="S16" s="45">
        <f>(getDistance(coord!$C14,coord!$D14,coord!$C$17,coord!$D$17)*1000)/$S$20</f>
        <v>7.5540162362182181E-2</v>
      </c>
      <c r="T16" s="8" t="s">
        <v>27</v>
      </c>
      <c r="U16" s="17">
        <v>21</v>
      </c>
      <c r="V16" s="10">
        <v>5.5172413793103448E-2</v>
      </c>
      <c r="W16" s="10">
        <v>3.9215686274509803E-2</v>
      </c>
      <c r="X16" s="12">
        <v>6.0606060606060608E-2</v>
      </c>
      <c r="Y16" s="12">
        <v>4.7619047619047616E-2</v>
      </c>
      <c r="Z16" s="12">
        <v>5.2631578947368418E-2</v>
      </c>
      <c r="AA16" s="12">
        <v>6.5963060686015831E-2</v>
      </c>
      <c r="AB16" s="12">
        <v>4.3478260869565216E-2</v>
      </c>
      <c r="AC16" s="12">
        <v>5.4545454545454543E-2</v>
      </c>
      <c r="AD16" s="12">
        <v>5.6000000000000001E-2</v>
      </c>
      <c r="AE16" s="12">
        <v>5.6338028169014086E-2</v>
      </c>
      <c r="AF16" s="12">
        <v>4.8192771084337352E-2</v>
      </c>
      <c r="AG16" s="12">
        <v>5.8823529411764705E-2</v>
      </c>
      <c r="AH16" s="12">
        <v>3.7037037037037035E-2</v>
      </c>
      <c r="AI16" s="12">
        <v>2.6315789473684209E-2</v>
      </c>
      <c r="AJ16" s="12">
        <v>4.0540540540540543E-2</v>
      </c>
      <c r="AK16" s="12">
        <v>7.3170731707317069E-2</v>
      </c>
      <c r="AL16" s="18">
        <v>3.669724770642202E-2</v>
      </c>
      <c r="AM16">
        <f t="shared" si="0"/>
        <v>5.0138072851249556E-2</v>
      </c>
    </row>
    <row r="17" spans="1:39" ht="15">
      <c r="A17" s="12"/>
      <c r="B17" s="17">
        <v>15</v>
      </c>
      <c r="C17" s="45">
        <f>(getDistance(coord!C15,coord!D15,coord!$C$1,coord!$D$1)*1000)/$C$20</f>
        <v>6.159839731125575E-2</v>
      </c>
      <c r="D17" s="45">
        <f>(getDistance(coord!C15,coord!D15,coord!$C$2,coord!$D$2)*1000)/$D$20</f>
        <v>5.5626049614270444E-2</v>
      </c>
      <c r="E17" s="45">
        <f>(getDistance(coord!$C15,coord!$D15,coord!$C$3,coord!$D$3)*1000)/$E$20</f>
        <v>4.9195690408532458E-2</v>
      </c>
      <c r="F17" s="45">
        <f>(getDistance(coord!$C15,coord!$D15,coord!$C$4,coord!$D$4)*1000)/$F$20</f>
        <v>7.4892785326375819E-2</v>
      </c>
      <c r="G17" s="45">
        <f>(getDistance(coord!$C15,coord!$D15,coord!$C$5,coord!$D$5)*1000)/$G$20</f>
        <v>4.088898791800083E-2</v>
      </c>
      <c r="H17" s="45">
        <f>(getDistance(coord!$C15,coord!$D15,coord!$C$6,coord!$D$6)*1000)/$H$20</f>
        <v>5.6571080039354259E-2</v>
      </c>
      <c r="I17" s="45">
        <f>(getDistance(coord!$C15,coord!$D15,coord!$C$7,coord!$D$7)*1000)/$I$20</f>
        <v>5.6781722241748413E-2</v>
      </c>
      <c r="J17" s="45">
        <f>(getDistance(coord!$C15,coord!$D15,coord!$C$8,coord!$D$8)*1000)/$J$20</f>
        <v>4.6372213769185183E-2</v>
      </c>
      <c r="K17" s="45">
        <f>(getDistance(coord!$C15,coord!$D15,coord!$C$9,coord!$D$9)*1000)/$K$20</f>
        <v>2.9732430251815069E-2</v>
      </c>
      <c r="L17" s="45">
        <f>(getDistance(coord!$C15,coord!$D15,coord!$C$10,coord!$D$10)*1000)/$L$20</f>
        <v>4.6519507142997685E-2</v>
      </c>
      <c r="M17" s="45">
        <f>(getDistance(coord!$C15,coord!$D15,coord!$C$11,coord!$D$11)*1000)/$M$20</f>
        <v>6.931954347696262E-2</v>
      </c>
      <c r="N17" s="45">
        <f>(getDistance(coord!$C15,coord!$D15,coord!$C$12,coord!$D$12)*1000)/$N$20</f>
        <v>6.1704393451557905E-2</v>
      </c>
      <c r="O17" s="45">
        <f>(getDistance(coord!$C15,coord!$D15,coord!$C$13,coord!$D$13)*1000)/$O$20</f>
        <v>7.3684538685649656E-2</v>
      </c>
      <c r="P17" s="45">
        <f>(getDistance(coord!$C15,coord!$D15,coord!$C$14,coord!$D$14)*1000)/$P$20</f>
        <v>6.6131433119642771E-2</v>
      </c>
      <c r="Q17" s="46">
        <f>(getDistance(coord!$C15,coord!$D15,coord!$C$15,coord!$D$15)*1000)/$Q$20</f>
        <v>0</v>
      </c>
      <c r="R17" s="45">
        <f>(getDistance(coord!$C15,coord!$D15,coord!$C$16,coord!$D$16)*1000)/$R$20</f>
        <v>2.3576226428328278E-2</v>
      </c>
      <c r="S17" s="45">
        <f>(getDistance(coord!$C15,coord!$D15,coord!$C$17,coord!$D$17)*1000)/$S$20</f>
        <v>9.0411429457393569E-3</v>
      </c>
      <c r="T17" s="8" t="s">
        <v>28</v>
      </c>
      <c r="U17" s="17">
        <v>22</v>
      </c>
      <c r="V17" s="10">
        <v>4.8275862068965517E-2</v>
      </c>
      <c r="W17" s="10">
        <v>1.9607843137254902E-2</v>
      </c>
      <c r="X17" s="12">
        <v>6.0606060606060608E-2</v>
      </c>
      <c r="Y17" s="12">
        <v>2.8571428571428571E-2</v>
      </c>
      <c r="Z17" s="12">
        <v>5.2631578947368418E-2</v>
      </c>
      <c r="AA17" s="12">
        <v>6.5963060686015831E-2</v>
      </c>
      <c r="AB17" s="12">
        <v>4.3478260869565216E-2</v>
      </c>
      <c r="AC17" s="12">
        <v>5.4545454545454543E-2</v>
      </c>
      <c r="AD17" s="12">
        <v>4.8000000000000001E-2</v>
      </c>
      <c r="AE17" s="12">
        <v>5.6338028169014086E-2</v>
      </c>
      <c r="AF17" s="12">
        <v>3.614457831325301E-2</v>
      </c>
      <c r="AG17" s="12">
        <v>4.7058823529411764E-2</v>
      </c>
      <c r="AH17" s="12">
        <v>3.7037037037037035E-2</v>
      </c>
      <c r="AI17" s="12">
        <v>2.6315789473684209E-2</v>
      </c>
      <c r="AJ17" s="12">
        <v>4.0540540540540543E-2</v>
      </c>
      <c r="AK17" s="12">
        <v>4.2682926829268296E-2</v>
      </c>
      <c r="AL17" s="18">
        <v>3.669724770642202E-2</v>
      </c>
      <c r="AM17">
        <f t="shared" si="0"/>
        <v>4.3793795354749684E-2</v>
      </c>
    </row>
    <row r="18" spans="1:39" ht="15">
      <c r="A18" s="10"/>
      <c r="B18" s="17">
        <v>16</v>
      </c>
      <c r="C18" s="45">
        <f>(getDistance(coord!C16,coord!D16,coord!$C$1,coord!$D$1)*1000)/$C$20</f>
        <v>7.4539863090210934E-2</v>
      </c>
      <c r="D18" s="45">
        <f>(getDistance(coord!C16,coord!D16,coord!$C$2,coord!$D$2)*1000)/$D$20</f>
        <v>6.9380858823358496E-2</v>
      </c>
      <c r="E18" s="45">
        <f>(getDistance(coord!$C16,coord!$D16,coord!$C$3,coord!$D$3)*1000)/$E$20</f>
        <v>6.8379776783968532E-2</v>
      </c>
      <c r="F18" s="45">
        <f>(getDistance(coord!$C16,coord!$D16,coord!$C$4,coord!$D$4)*1000)/$F$20</f>
        <v>8.7499184224573673E-2</v>
      </c>
      <c r="G18" s="45">
        <f>(getDistance(coord!$C16,coord!$D16,coord!$C$5,coord!$D$5)*1000)/$G$20</f>
        <v>7.3597659179639202E-2</v>
      </c>
      <c r="H18" s="45">
        <f>(getDistance(coord!$C16,coord!$D16,coord!$C$6,coord!$D$6)*1000)/$H$20</f>
        <v>8.8874981726127858E-2</v>
      </c>
      <c r="I18" s="45">
        <f>(getDistance(coord!$C16,coord!$D16,coord!$C$7,coord!$D$7)*1000)/$I$20</f>
        <v>7.6116828848675294E-2</v>
      </c>
      <c r="J18" s="45">
        <f>(getDistance(coord!$C16,coord!$D16,coord!$C$8,coord!$D$8)*1000)/$J$20</f>
        <v>7.7957113685623414E-2</v>
      </c>
      <c r="K18" s="45">
        <f>(getDistance(coord!$C16,coord!$D16,coord!$C$9,coord!$D$9)*1000)/$K$20</f>
        <v>5.7972186799735002E-2</v>
      </c>
      <c r="L18" s="45">
        <f>(getDistance(coord!$C16,coord!$D16,coord!$C$10,coord!$D$10)*1000)/$L$20</f>
        <v>8.2721052024025188E-2</v>
      </c>
      <c r="M18" s="45">
        <f>(getDistance(coord!$C16,coord!$D16,coord!$C$11,coord!$D$11)*1000)/$M$20</f>
        <v>9.708410399984746E-2</v>
      </c>
      <c r="N18" s="45">
        <f>(getDistance(coord!$C16,coord!$D16,coord!$C$12,coord!$D$12)*1000)/$N$20</f>
        <v>7.8603436061609189E-2</v>
      </c>
      <c r="O18" s="45">
        <f>(getDistance(coord!$C16,coord!$D16,coord!$C$13,coord!$D$13)*1000)/$O$20</f>
        <v>8.5903661228574124E-2</v>
      </c>
      <c r="P18" s="45">
        <f>(getDistance(coord!$C16,coord!$D16,coord!$C$14,coord!$D$14)*1000)/$P$20</f>
        <v>7.7753898977035094E-2</v>
      </c>
      <c r="Q18" s="45">
        <f>(getDistance(coord!$C16,coord!$D16,coord!$C$15,coord!$D$15)*1000)/$Q$20</f>
        <v>3.1873437683884037E-2</v>
      </c>
      <c r="R18" s="46">
        <f>(getDistance(coord!$C16,coord!$D16,coord!$C$16,coord!$D$16)*1000)/$R$20</f>
        <v>0</v>
      </c>
      <c r="S18" s="45">
        <f>(getDistance(coord!$C16,coord!$D16,coord!$C$17,coord!$D$17)*1000)/$S$20</f>
        <v>2.2366467553544888E-2</v>
      </c>
      <c r="T18" s="8" t="s">
        <v>29</v>
      </c>
      <c r="U18" s="17">
        <v>23</v>
      </c>
      <c r="V18" s="12">
        <v>2.7586206896551724E-2</v>
      </c>
      <c r="W18" s="12">
        <v>1.9607843137254902E-2</v>
      </c>
      <c r="X18" s="12">
        <v>6.0606060606060608E-2</v>
      </c>
      <c r="Y18" s="12">
        <v>1.9047619047619049E-2</v>
      </c>
      <c r="Z18" s="12">
        <v>3.5087719298245612E-2</v>
      </c>
      <c r="AA18" s="12">
        <v>3.9577836411609502E-2</v>
      </c>
      <c r="AB18" s="12">
        <v>4.3478260869565216E-2</v>
      </c>
      <c r="AC18" s="12">
        <v>3.6363636363636362E-2</v>
      </c>
      <c r="AD18" s="12">
        <v>4.8000000000000001E-2</v>
      </c>
      <c r="AE18" s="12">
        <v>4.9295774647887321E-2</v>
      </c>
      <c r="AF18" s="12">
        <v>3.614457831325301E-2</v>
      </c>
      <c r="AG18" s="12">
        <v>2.3529411764705882E-2</v>
      </c>
      <c r="AH18" s="12">
        <v>2.4691358024691357E-2</v>
      </c>
      <c r="AI18" s="12">
        <v>2.6315789473684209E-2</v>
      </c>
      <c r="AJ18" s="12">
        <v>2.7027027027027029E-2</v>
      </c>
      <c r="AK18" s="12">
        <v>4.2682926829268296E-2</v>
      </c>
      <c r="AL18" s="18">
        <v>3.669724770642202E-2</v>
      </c>
      <c r="AM18">
        <f t="shared" si="0"/>
        <v>3.504348802455777E-2</v>
      </c>
    </row>
    <row r="19" spans="1:39" ht="15.75" thickBot="1">
      <c r="A19" s="10"/>
      <c r="B19" s="19">
        <v>17</v>
      </c>
      <c r="C19" s="47">
        <f>(getDistance(coord!C17,coord!D17,coord!$C$1,coord!$D$1)*1000)/$C$20</f>
        <v>6.0432531522365308E-2</v>
      </c>
      <c r="D19" s="47">
        <f>(getDistance(coord!C17,coord!D17,coord!$C$2,coord!$D$2)*1000)/$D$20</f>
        <v>5.4221091431074626E-2</v>
      </c>
      <c r="E19" s="47">
        <f>(getDistance(coord!$C17,coord!$D17,coord!$C$3,coord!$D$3)*1000)/$E$20</f>
        <v>4.9108610527564232E-2</v>
      </c>
      <c r="F19" s="47">
        <f>(getDistance(coord!$C17,coord!$D17,coord!$C$4,coord!$D$4)*1000)/$F$20</f>
        <v>7.6124360699406909E-2</v>
      </c>
      <c r="G19" s="47">
        <f>(getDistance(coord!$C17,coord!$D17,coord!$C$5,coord!$D$5)*1000)/$G$20</f>
        <v>5.1221079450713469E-2</v>
      </c>
      <c r="H19" s="47">
        <f>(getDistance(coord!$C17,coord!$D17,coord!$C$6,coord!$D$6)*1000)/$H$20</f>
        <v>6.6054212362709239E-2</v>
      </c>
      <c r="I19" s="47">
        <f>(getDistance(coord!$C17,coord!$D17,coord!$C$7,coord!$D$7)*1000)/$I$20</f>
        <v>6.3641605632909978E-2</v>
      </c>
      <c r="J19" s="47">
        <f>(getDistance(coord!$C17,coord!$D17,coord!$C$8,coord!$D$8)*1000)/$J$20</f>
        <v>5.6399985146804513E-2</v>
      </c>
      <c r="K19" s="47">
        <f>(getDistance(coord!$C17,coord!$D17,coord!$C$9,coord!$D$9)*1000)/$K$20</f>
        <v>3.9240100764582453E-2</v>
      </c>
      <c r="L19" s="47">
        <f>(getDistance(coord!$C17,coord!$D17,coord!$C$10,coord!$D$10)*1000)/$L$20</f>
        <v>5.6545865245065975E-2</v>
      </c>
      <c r="M19" s="47">
        <f>(getDistance(coord!$C17,coord!$D17,coord!$C$11,coord!$D$11)*1000)/$M$20</f>
        <v>7.5075206325497953E-2</v>
      </c>
      <c r="N19" s="47">
        <f>(getDistance(coord!$C17,coord!$D17,coord!$C$12,coord!$D$12)*1000)/$N$20</f>
        <v>6.7569810514766349E-2</v>
      </c>
      <c r="O19" s="47">
        <f>(getDistance(coord!$C17,coord!$D17,coord!$C$13,coord!$D$13)*1000)/$O$20</f>
        <v>7.4175616662935109E-2</v>
      </c>
      <c r="P19" s="47">
        <f>(getDistance(coord!$C17,coord!$D17,coord!$C$14,coord!$D$14)*1000)/$P$20</f>
        <v>6.5175347551160764E-2</v>
      </c>
      <c r="Q19" s="47">
        <f>(getDistance(coord!$C17,coord!$D17,coord!$C$15,coord!$D$15)*1000)/$Q$20</f>
        <v>9.6058656335458042E-3</v>
      </c>
      <c r="R19" s="47">
        <f>(getDistance(coord!$C17,coord!$D17,coord!$C$16,coord!$D$16)*1000)/$R$20</f>
        <v>1.757745352532147E-2</v>
      </c>
      <c r="S19" s="54">
        <f>(getDistance(coord!$C17,coord!$D17,coord!$C$17,coord!$D$17)*1000)/$S$20</f>
        <v>0</v>
      </c>
      <c r="T19" s="8" t="s">
        <v>30</v>
      </c>
      <c r="U19" s="19">
        <v>24</v>
      </c>
      <c r="V19" s="20">
        <v>2.7586206896551724E-2</v>
      </c>
      <c r="W19" s="20">
        <v>1.9607843137254902E-2</v>
      </c>
      <c r="X19" s="20">
        <v>3.0303030303030304E-2</v>
      </c>
      <c r="Y19" s="20">
        <v>1.9047619047619049E-2</v>
      </c>
      <c r="Z19" s="20">
        <v>3.5087719298245612E-2</v>
      </c>
      <c r="AA19" s="20">
        <v>3.9577836411609502E-2</v>
      </c>
      <c r="AB19" s="20">
        <v>4.3478260869565216E-2</v>
      </c>
      <c r="AC19" s="20">
        <v>3.6363636363636362E-2</v>
      </c>
      <c r="AD19" s="20">
        <v>4.8000000000000001E-2</v>
      </c>
      <c r="AE19" s="20">
        <v>4.9295774647887321E-2</v>
      </c>
      <c r="AF19" s="20">
        <v>3.614457831325301E-2</v>
      </c>
      <c r="AG19" s="20">
        <v>1.1764705882352941E-2</v>
      </c>
      <c r="AH19" s="20">
        <v>1.2345679012345678E-2</v>
      </c>
      <c r="AI19" s="20">
        <v>2.6315789473684209E-2</v>
      </c>
      <c r="AJ19" s="20">
        <v>2.7027027027027029E-2</v>
      </c>
      <c r="AK19" s="20">
        <v>3.6585365853658534E-2</v>
      </c>
      <c r="AL19" s="21">
        <v>2.7522935779816515E-2</v>
      </c>
      <c r="AM19">
        <f t="shared" si="0"/>
        <v>3.0944353430443401E-2</v>
      </c>
    </row>
    <row r="20" spans="1:39" ht="15" thickBot="1">
      <c r="B20" s="8"/>
      <c r="C20" s="51">
        <v>3829.978895979646</v>
      </c>
      <c r="D20" s="51">
        <v>3616.0678119784002</v>
      </c>
      <c r="E20" s="51">
        <v>3314.493706896405</v>
      </c>
      <c r="F20" s="51">
        <v>5923.847449148986</v>
      </c>
      <c r="G20" s="51">
        <v>3181.8203817365966</v>
      </c>
      <c r="H20" s="51">
        <v>3344.9676701526337</v>
      </c>
      <c r="I20" s="51">
        <v>4701.4158231582978</v>
      </c>
      <c r="J20" s="51">
        <v>3279.0662518609661</v>
      </c>
      <c r="K20" s="51">
        <v>3381.4512311458216</v>
      </c>
      <c r="L20" s="51">
        <v>3016.9392764720842</v>
      </c>
      <c r="M20" s="51">
        <v>3662.8594091928085</v>
      </c>
      <c r="N20" s="51">
        <v>5570.3920268510847</v>
      </c>
      <c r="O20" s="51">
        <v>5231.7763035809749</v>
      </c>
      <c r="P20" s="51">
        <v>4220.6025649162793</v>
      </c>
      <c r="Q20" s="51">
        <v>3427.4152805487406</v>
      </c>
      <c r="R20" s="51">
        <v>4633.6298853195376</v>
      </c>
      <c r="S20" s="51">
        <v>3641.4965290232485</v>
      </c>
      <c r="V20">
        <v>725</v>
      </c>
      <c r="W20">
        <v>255</v>
      </c>
      <c r="X20">
        <v>165</v>
      </c>
      <c r="Y20">
        <v>525</v>
      </c>
      <c r="Z20">
        <v>570</v>
      </c>
      <c r="AA20">
        <v>379</v>
      </c>
      <c r="AB20">
        <v>230</v>
      </c>
      <c r="AC20">
        <v>275</v>
      </c>
      <c r="AD20">
        <v>625</v>
      </c>
      <c r="AE20">
        <v>710</v>
      </c>
      <c r="AF20">
        <v>415</v>
      </c>
      <c r="AG20">
        <v>425</v>
      </c>
      <c r="AH20">
        <v>405</v>
      </c>
      <c r="AI20">
        <v>380</v>
      </c>
      <c r="AJ20">
        <v>370</v>
      </c>
      <c r="AK20">
        <v>820</v>
      </c>
      <c r="AL20">
        <v>545</v>
      </c>
    </row>
    <row r="21" spans="1:39">
      <c r="A21" s="67" t="s">
        <v>4</v>
      </c>
      <c r="B21" s="14" t="s">
        <v>7</v>
      </c>
      <c r="C21" s="61" t="s">
        <v>9</v>
      </c>
      <c r="D21" s="61" t="s">
        <v>2</v>
      </c>
      <c r="E21" s="61" t="s">
        <v>1</v>
      </c>
      <c r="F21" s="61" t="s">
        <v>0</v>
      </c>
      <c r="G21" s="61"/>
      <c r="H21" s="62"/>
      <c r="U21" s="16" t="s">
        <v>12</v>
      </c>
      <c r="V21" s="5">
        <v>1</v>
      </c>
      <c r="W21" s="5">
        <v>2</v>
      </c>
      <c r="X21" s="5">
        <v>3</v>
      </c>
      <c r="Y21" s="5">
        <v>4</v>
      </c>
      <c r="Z21" s="5">
        <v>5</v>
      </c>
      <c r="AA21" s="5">
        <v>6</v>
      </c>
      <c r="AB21" s="5">
        <v>7</v>
      </c>
      <c r="AC21" s="5">
        <v>8</v>
      </c>
      <c r="AD21" s="5">
        <v>9</v>
      </c>
      <c r="AE21" s="5">
        <v>10</v>
      </c>
      <c r="AF21" s="5">
        <v>11</v>
      </c>
      <c r="AG21" s="5">
        <v>12</v>
      </c>
      <c r="AH21" s="5">
        <v>13</v>
      </c>
      <c r="AI21" s="5">
        <v>14</v>
      </c>
      <c r="AJ21" s="5">
        <v>15</v>
      </c>
      <c r="AK21" s="5">
        <v>16</v>
      </c>
      <c r="AL21" s="22">
        <v>17</v>
      </c>
    </row>
    <row r="22" spans="1:39">
      <c r="A22" s="17">
        <v>8</v>
      </c>
      <c r="B22" s="17">
        <v>10</v>
      </c>
      <c r="C22" s="4" t="str">
        <f>VLOOKUP(B22,$B$3:$T$19,19,1)</f>
        <v>Peter Pan</v>
      </c>
      <c r="D22" s="49">
        <f>ABS(E22)</f>
        <v>0</v>
      </c>
      <c r="E22" s="12"/>
      <c r="F22" s="12">
        <f>INDEX($U$2:$AL$19,MATCH(A22,$U$2:$U$19,0),MATCH(B22,$U$2:$AL$2,0))</f>
        <v>4.9295774647887321E-2</v>
      </c>
      <c r="G22" s="12"/>
      <c r="H22" s="18">
        <f>INDEX($U$21:$AL$38,MATCH(A22,$U$21:$U$38,0),MATCH(B22,$U$21:$AL$21,0))</f>
        <v>35</v>
      </c>
      <c r="M22" t="s">
        <v>17</v>
      </c>
      <c r="U22" s="17">
        <v>8</v>
      </c>
      <c r="V22">
        <f t="shared" ref="V22:AL36" si="1">V3*V$20</f>
        <v>10</v>
      </c>
      <c r="W22">
        <f t="shared" si="1"/>
        <v>5</v>
      </c>
      <c r="X22">
        <f t="shared" si="1"/>
        <v>10</v>
      </c>
      <c r="Y22">
        <f t="shared" si="1"/>
        <v>5.0000000000000009</v>
      </c>
      <c r="Z22">
        <f t="shared" si="1"/>
        <v>15</v>
      </c>
      <c r="AA22">
        <f t="shared" si="1"/>
        <v>5</v>
      </c>
      <c r="AB22">
        <f t="shared" si="1"/>
        <v>5</v>
      </c>
      <c r="AC22">
        <f t="shared" si="1"/>
        <v>5</v>
      </c>
      <c r="AD22">
        <f t="shared" si="1"/>
        <v>5</v>
      </c>
      <c r="AE22">
        <f t="shared" si="1"/>
        <v>35</v>
      </c>
      <c r="AF22">
        <f t="shared" si="1"/>
        <v>5</v>
      </c>
      <c r="AG22">
        <f t="shared" si="1"/>
        <v>5</v>
      </c>
      <c r="AH22">
        <f t="shared" si="1"/>
        <v>5</v>
      </c>
      <c r="AI22">
        <f t="shared" si="1"/>
        <v>5</v>
      </c>
      <c r="AJ22">
        <f t="shared" si="1"/>
        <v>5</v>
      </c>
      <c r="AK22">
        <f t="shared" si="1"/>
        <v>14.999999999999998</v>
      </c>
      <c r="AL22">
        <f t="shared" si="1"/>
        <v>5</v>
      </c>
    </row>
    <row r="23" spans="1:39">
      <c r="A23" s="17">
        <v>9</v>
      </c>
      <c r="B23" s="17">
        <v>7</v>
      </c>
      <c r="C23" s="4" t="str">
        <f t="shared" ref="C23:C38" si="2">VLOOKUP(B23,$B$3:$T$19,19,1)</f>
        <v>Small World</v>
      </c>
      <c r="D23" s="49">
        <f t="shared" ref="D23:D38" si="3">ABS(E23)</f>
        <v>3.8029499528976364E-2</v>
      </c>
      <c r="E23" s="38">
        <f t="shared" ref="E23:E38" si="4">INDEX($B$2:$S$19,MATCH(B22,$B$2:$B$19,0),MATCH(B23,$B$2:$S$2,0))</f>
        <v>3.8029499528976364E-2</v>
      </c>
      <c r="F23" s="12">
        <f t="shared" ref="F23:F38" si="5">INDEX($U$2:$AL$19,MATCH(A23,$U$2:$U$19,0),MATCH(B23,$U$2:$AL$2,0))</f>
        <v>2.1739130434782608E-2</v>
      </c>
      <c r="G23" s="38">
        <f>INDEX($U$39:$AL$56,MATCH(B22,$U$39:$U$56,0),MATCH(B23,$U$39:$AL$39,0))</f>
        <v>178.79249083232051</v>
      </c>
      <c r="H23" s="18">
        <f t="shared" ref="H23:H38" si="6">INDEX($U$21:$AL$38,MATCH(A23,$U$21:$U$38,0),MATCH(B23,$U$21:$AL$21,0))</f>
        <v>5</v>
      </c>
      <c r="M23" t="s">
        <v>14</v>
      </c>
      <c r="U23" s="17">
        <v>9</v>
      </c>
      <c r="V23">
        <f t="shared" si="1"/>
        <v>25</v>
      </c>
      <c r="W23">
        <f t="shared" si="1"/>
        <v>5</v>
      </c>
      <c r="X23">
        <f t="shared" si="1"/>
        <v>10</v>
      </c>
      <c r="Y23">
        <f t="shared" si="1"/>
        <v>5.0000000000000009</v>
      </c>
      <c r="Z23">
        <f t="shared" si="1"/>
        <v>25</v>
      </c>
      <c r="AA23">
        <f t="shared" si="1"/>
        <v>5</v>
      </c>
      <c r="AB23">
        <f t="shared" si="1"/>
        <v>5</v>
      </c>
      <c r="AC23">
        <f t="shared" si="1"/>
        <v>5</v>
      </c>
      <c r="AD23">
        <f t="shared" si="1"/>
        <v>10</v>
      </c>
      <c r="AE23">
        <f t="shared" si="1"/>
        <v>40</v>
      </c>
      <c r="AF23">
        <f t="shared" si="1"/>
        <v>10</v>
      </c>
      <c r="AG23">
        <f t="shared" si="1"/>
        <v>10</v>
      </c>
      <c r="AH23">
        <f t="shared" si="1"/>
        <v>10</v>
      </c>
      <c r="AI23">
        <f t="shared" si="1"/>
        <v>15</v>
      </c>
      <c r="AJ23">
        <f t="shared" si="1"/>
        <v>15</v>
      </c>
      <c r="AK23">
        <f t="shared" si="1"/>
        <v>20</v>
      </c>
      <c r="AL23">
        <f t="shared" si="1"/>
        <v>20</v>
      </c>
    </row>
    <row r="24" spans="1:39">
      <c r="A24" s="17">
        <v>10</v>
      </c>
      <c r="B24" s="17">
        <v>12</v>
      </c>
      <c r="C24" s="4" t="str">
        <f t="shared" si="2"/>
        <v>Toon Spin</v>
      </c>
      <c r="D24" s="49">
        <f t="shared" si="3"/>
        <v>1.4538514946681543E-2</v>
      </c>
      <c r="E24" s="38">
        <f t="shared" si="4"/>
        <v>1.4538514946681543E-2</v>
      </c>
      <c r="F24" s="12">
        <f t="shared" si="5"/>
        <v>3.5294117647058823E-2</v>
      </c>
      <c r="G24" s="38">
        <f t="shared" ref="G24:G38" si="7">INDEX($U$39:$AL$56,MATCH(B23,$U$39:$U$56,0),MATCH(B24,$U$39:$AL$39,0))</f>
        <v>80.985227741250185</v>
      </c>
      <c r="H24" s="18">
        <f t="shared" si="6"/>
        <v>15</v>
      </c>
      <c r="M24" t="s">
        <v>25</v>
      </c>
      <c r="U24" s="17">
        <v>10</v>
      </c>
      <c r="V24">
        <f t="shared" si="1"/>
        <v>35</v>
      </c>
      <c r="W24">
        <f t="shared" si="1"/>
        <v>10</v>
      </c>
      <c r="X24">
        <f t="shared" si="1"/>
        <v>10</v>
      </c>
      <c r="Y24">
        <f t="shared" si="1"/>
        <v>10.000000000000002</v>
      </c>
      <c r="Z24">
        <f t="shared" si="1"/>
        <v>35</v>
      </c>
      <c r="AA24">
        <f t="shared" si="1"/>
        <v>10</v>
      </c>
      <c r="AB24">
        <f t="shared" si="1"/>
        <v>10</v>
      </c>
      <c r="AC24">
        <f t="shared" si="1"/>
        <v>10</v>
      </c>
      <c r="AD24">
        <f t="shared" si="1"/>
        <v>15</v>
      </c>
      <c r="AE24">
        <f t="shared" si="1"/>
        <v>45</v>
      </c>
      <c r="AF24">
        <f t="shared" si="1"/>
        <v>15</v>
      </c>
      <c r="AG24">
        <f t="shared" si="1"/>
        <v>15</v>
      </c>
      <c r="AH24">
        <f t="shared" si="1"/>
        <v>15</v>
      </c>
      <c r="AI24">
        <f t="shared" si="1"/>
        <v>25</v>
      </c>
      <c r="AJ24">
        <f t="shared" si="1"/>
        <v>25</v>
      </c>
      <c r="AK24">
        <f t="shared" si="1"/>
        <v>25</v>
      </c>
      <c r="AL24">
        <f t="shared" si="1"/>
        <v>35</v>
      </c>
    </row>
    <row r="25" spans="1:39">
      <c r="A25" s="17">
        <v>11</v>
      </c>
      <c r="B25" s="17">
        <v>9</v>
      </c>
      <c r="C25" s="4" t="str">
        <f t="shared" si="2"/>
        <v>Matterhorn</v>
      </c>
      <c r="D25" s="49">
        <f t="shared" si="3"/>
        <v>7.2221246955502236E-2</v>
      </c>
      <c r="E25" s="38">
        <f t="shared" si="4"/>
        <v>7.2221246955502236E-2</v>
      </c>
      <c r="F25" s="12">
        <f t="shared" si="5"/>
        <v>3.2000000000000001E-2</v>
      </c>
      <c r="G25" s="38">
        <f t="shared" si="7"/>
        <v>244.21262443256944</v>
      </c>
      <c r="H25" s="18">
        <f t="shared" si="6"/>
        <v>20</v>
      </c>
      <c r="M25" t="s">
        <v>29</v>
      </c>
      <c r="U25" s="17">
        <v>11</v>
      </c>
      <c r="V25">
        <f t="shared" si="1"/>
        <v>40</v>
      </c>
      <c r="W25">
        <f t="shared" si="1"/>
        <v>15</v>
      </c>
      <c r="X25">
        <f t="shared" si="1"/>
        <v>10</v>
      </c>
      <c r="Y25">
        <f t="shared" si="1"/>
        <v>15</v>
      </c>
      <c r="Z25">
        <f t="shared" si="1"/>
        <v>40</v>
      </c>
      <c r="AA25">
        <f t="shared" si="1"/>
        <v>15.000000000000002</v>
      </c>
      <c r="AB25">
        <f t="shared" si="1"/>
        <v>15</v>
      </c>
      <c r="AC25">
        <f t="shared" si="1"/>
        <v>10</v>
      </c>
      <c r="AD25">
        <f t="shared" si="1"/>
        <v>20</v>
      </c>
      <c r="AE25">
        <f t="shared" si="1"/>
        <v>45</v>
      </c>
      <c r="AF25">
        <f t="shared" si="1"/>
        <v>20</v>
      </c>
      <c r="AG25">
        <f t="shared" si="1"/>
        <v>20</v>
      </c>
      <c r="AH25">
        <f t="shared" si="1"/>
        <v>25</v>
      </c>
      <c r="AI25">
        <f t="shared" si="1"/>
        <v>30</v>
      </c>
      <c r="AJ25">
        <f t="shared" si="1"/>
        <v>30</v>
      </c>
      <c r="AK25">
        <f t="shared" si="1"/>
        <v>29.999999999999996</v>
      </c>
      <c r="AL25">
        <f t="shared" si="1"/>
        <v>50</v>
      </c>
    </row>
    <row r="26" spans="1:39">
      <c r="A26" s="17">
        <v>12</v>
      </c>
      <c r="B26" s="17">
        <v>8</v>
      </c>
      <c r="C26" s="4" t="str">
        <f t="shared" si="2"/>
        <v>Mad Tea</v>
      </c>
      <c r="D26" s="49">
        <f t="shared" si="3"/>
        <v>1.9454992196515256E-2</v>
      </c>
      <c r="E26" s="38">
        <f t="shared" si="4"/>
        <v>1.9454992196515256E-2</v>
      </c>
      <c r="F26" s="12">
        <f t="shared" si="5"/>
        <v>5.4545454545454543E-2</v>
      </c>
      <c r="G26" s="38">
        <f t="shared" si="7"/>
        <v>63.794208341811625</v>
      </c>
      <c r="H26" s="18">
        <f t="shared" si="6"/>
        <v>15</v>
      </c>
      <c r="M26" t="s">
        <v>28</v>
      </c>
      <c r="U26" s="17">
        <v>12</v>
      </c>
      <c r="V26">
        <f t="shared" si="1"/>
        <v>45</v>
      </c>
      <c r="W26">
        <f t="shared" si="1"/>
        <v>15</v>
      </c>
      <c r="X26">
        <f t="shared" si="1"/>
        <v>10</v>
      </c>
      <c r="Y26">
        <f t="shared" si="1"/>
        <v>25</v>
      </c>
      <c r="Z26">
        <f t="shared" si="1"/>
        <v>40</v>
      </c>
      <c r="AA26">
        <f t="shared" si="1"/>
        <v>24</v>
      </c>
      <c r="AB26">
        <f t="shared" si="1"/>
        <v>15</v>
      </c>
      <c r="AC26">
        <f t="shared" si="1"/>
        <v>15</v>
      </c>
      <c r="AD26">
        <f t="shared" si="1"/>
        <v>25</v>
      </c>
      <c r="AE26">
        <f t="shared" si="1"/>
        <v>45</v>
      </c>
      <c r="AF26">
        <f t="shared" si="1"/>
        <v>25</v>
      </c>
      <c r="AG26">
        <f t="shared" si="1"/>
        <v>25</v>
      </c>
      <c r="AH26">
        <f t="shared" si="1"/>
        <v>35</v>
      </c>
      <c r="AI26">
        <f t="shared" si="1"/>
        <v>35</v>
      </c>
      <c r="AJ26">
        <f t="shared" si="1"/>
        <v>30</v>
      </c>
      <c r="AK26">
        <f t="shared" si="1"/>
        <v>35</v>
      </c>
      <c r="AL26">
        <f t="shared" si="1"/>
        <v>50</v>
      </c>
    </row>
    <row r="27" spans="1:39">
      <c r="A27" s="17">
        <v>13</v>
      </c>
      <c r="B27" s="17">
        <v>6</v>
      </c>
      <c r="C27" s="4" t="str">
        <f t="shared" si="2"/>
        <v>Dumbo</v>
      </c>
      <c r="D27" s="49">
        <f t="shared" si="3"/>
        <v>1.6387876424078383E-2</v>
      </c>
      <c r="E27" s="38">
        <f t="shared" si="4"/>
        <v>1.6387876424078383E-2</v>
      </c>
      <c r="F27" s="12">
        <f t="shared" si="5"/>
        <v>7.9155672823219003E-2</v>
      </c>
      <c r="G27" s="38">
        <f t="shared" si="7"/>
        <v>54.816916820998742</v>
      </c>
      <c r="H27" s="18">
        <f t="shared" si="6"/>
        <v>30.000000000000004</v>
      </c>
      <c r="M27" t="s">
        <v>30</v>
      </c>
      <c r="U27" s="17">
        <v>13</v>
      </c>
      <c r="V27">
        <f t="shared" si="1"/>
        <v>55</v>
      </c>
      <c r="W27">
        <f t="shared" si="1"/>
        <v>20</v>
      </c>
      <c r="X27">
        <f t="shared" si="1"/>
        <v>10</v>
      </c>
      <c r="Y27">
        <f t="shared" si="1"/>
        <v>35</v>
      </c>
      <c r="Z27">
        <f t="shared" si="1"/>
        <v>40</v>
      </c>
      <c r="AA27">
        <f t="shared" si="1"/>
        <v>30.000000000000004</v>
      </c>
      <c r="AB27">
        <f t="shared" si="1"/>
        <v>20</v>
      </c>
      <c r="AC27">
        <f t="shared" si="1"/>
        <v>15</v>
      </c>
      <c r="AD27">
        <f t="shared" si="1"/>
        <v>35</v>
      </c>
      <c r="AE27">
        <f t="shared" si="1"/>
        <v>45</v>
      </c>
      <c r="AF27">
        <f t="shared" si="1"/>
        <v>30</v>
      </c>
      <c r="AG27">
        <f t="shared" si="1"/>
        <v>30</v>
      </c>
      <c r="AH27">
        <f t="shared" si="1"/>
        <v>40</v>
      </c>
      <c r="AI27">
        <f t="shared" si="1"/>
        <v>35</v>
      </c>
      <c r="AJ27">
        <f t="shared" si="1"/>
        <v>30</v>
      </c>
      <c r="AK27">
        <f t="shared" si="1"/>
        <v>45</v>
      </c>
      <c r="AL27">
        <f t="shared" si="1"/>
        <v>50</v>
      </c>
    </row>
    <row r="28" spans="1:39">
      <c r="A28" s="17">
        <v>14</v>
      </c>
      <c r="B28" s="17">
        <v>11</v>
      </c>
      <c r="C28" s="4" t="str">
        <f t="shared" si="2"/>
        <v>Thunder Mtn</v>
      </c>
      <c r="D28" s="49">
        <f t="shared" si="3"/>
        <v>4.1130588610241409E-2</v>
      </c>
      <c r="E28" s="38">
        <f t="shared" si="4"/>
        <v>4.1130588610241409E-2</v>
      </c>
      <c r="F28" s="12">
        <f t="shared" si="5"/>
        <v>8.4337349397590355E-2</v>
      </c>
      <c r="G28" s="38">
        <f t="shared" si="7"/>
        <v>150.6555634966613</v>
      </c>
      <c r="H28" s="18">
        <f t="shared" si="6"/>
        <v>35</v>
      </c>
      <c r="M28" t="s">
        <v>24</v>
      </c>
      <c r="U28" s="17">
        <v>14</v>
      </c>
      <c r="V28">
        <f t="shared" si="1"/>
        <v>55</v>
      </c>
      <c r="W28">
        <f t="shared" si="1"/>
        <v>20</v>
      </c>
      <c r="X28">
        <f t="shared" si="1"/>
        <v>10</v>
      </c>
      <c r="Y28">
        <f t="shared" si="1"/>
        <v>45</v>
      </c>
      <c r="Z28">
        <f t="shared" si="1"/>
        <v>40</v>
      </c>
      <c r="AA28">
        <f t="shared" si="1"/>
        <v>30.000000000000004</v>
      </c>
      <c r="AB28">
        <f t="shared" si="1"/>
        <v>20</v>
      </c>
      <c r="AC28">
        <f t="shared" si="1"/>
        <v>20</v>
      </c>
      <c r="AD28">
        <f t="shared" si="1"/>
        <v>45</v>
      </c>
      <c r="AE28">
        <f t="shared" si="1"/>
        <v>45</v>
      </c>
      <c r="AF28">
        <f t="shared" si="1"/>
        <v>35</v>
      </c>
      <c r="AG28">
        <f t="shared" si="1"/>
        <v>35</v>
      </c>
      <c r="AH28">
        <f t="shared" si="1"/>
        <v>40</v>
      </c>
      <c r="AI28">
        <f t="shared" si="1"/>
        <v>35</v>
      </c>
      <c r="AJ28">
        <f t="shared" si="1"/>
        <v>30</v>
      </c>
      <c r="AK28">
        <f t="shared" si="1"/>
        <v>55</v>
      </c>
      <c r="AL28">
        <f t="shared" si="1"/>
        <v>45</v>
      </c>
    </row>
    <row r="29" spans="1:39">
      <c r="A29" s="17">
        <v>15</v>
      </c>
      <c r="B29" s="17">
        <v>2</v>
      </c>
      <c r="C29" s="29" t="str">
        <f t="shared" si="2"/>
        <v>Jungle Cruise</v>
      </c>
      <c r="D29" s="48">
        <f t="shared" si="3"/>
        <v>5.5340149093294128E-2</v>
      </c>
      <c r="E29" s="36">
        <f t="shared" si="4"/>
        <v>5.5340149093294128E-2</v>
      </c>
      <c r="F29" s="27">
        <f t="shared" si="5"/>
        <v>9.8039215686274508E-2</v>
      </c>
      <c r="G29" s="38">
        <f t="shared" si="7"/>
        <v>200.11373184634655</v>
      </c>
      <c r="H29" s="18">
        <f t="shared" si="6"/>
        <v>25</v>
      </c>
      <c r="M29" t="s">
        <v>26</v>
      </c>
      <c r="U29" s="17">
        <v>15</v>
      </c>
      <c r="V29">
        <f t="shared" si="1"/>
        <v>60</v>
      </c>
      <c r="W29">
        <f t="shared" si="1"/>
        <v>25</v>
      </c>
      <c r="X29">
        <f t="shared" si="1"/>
        <v>10</v>
      </c>
      <c r="Y29">
        <f t="shared" si="1"/>
        <v>60</v>
      </c>
      <c r="Z29">
        <f t="shared" si="1"/>
        <v>40</v>
      </c>
      <c r="AA29">
        <f t="shared" si="1"/>
        <v>30.000000000000004</v>
      </c>
      <c r="AB29">
        <f t="shared" si="1"/>
        <v>20</v>
      </c>
      <c r="AC29">
        <f t="shared" si="1"/>
        <v>20</v>
      </c>
      <c r="AD29">
        <f t="shared" si="1"/>
        <v>60</v>
      </c>
      <c r="AE29">
        <f t="shared" si="1"/>
        <v>45</v>
      </c>
      <c r="AF29">
        <f t="shared" si="1"/>
        <v>40</v>
      </c>
      <c r="AG29">
        <f t="shared" si="1"/>
        <v>40</v>
      </c>
      <c r="AH29">
        <f t="shared" si="1"/>
        <v>40</v>
      </c>
      <c r="AI29">
        <f t="shared" si="1"/>
        <v>35</v>
      </c>
      <c r="AJ29">
        <f t="shared" si="1"/>
        <v>30</v>
      </c>
      <c r="AK29">
        <f t="shared" si="1"/>
        <v>65</v>
      </c>
      <c r="AL29">
        <f t="shared" si="1"/>
        <v>45</v>
      </c>
    </row>
    <row r="30" spans="1:39">
      <c r="A30" s="17">
        <v>16</v>
      </c>
      <c r="B30" s="17">
        <v>3</v>
      </c>
      <c r="C30" s="4" t="str">
        <f t="shared" si="2"/>
        <v>Tiki room</v>
      </c>
      <c r="D30" s="49">
        <f t="shared" si="3"/>
        <v>1.3406673571440857E-2</v>
      </c>
      <c r="E30" s="38">
        <f t="shared" si="4"/>
        <v>1.3406673571440857E-2</v>
      </c>
      <c r="F30" s="1">
        <f t="shared" si="5"/>
        <v>6.0606060606060608E-2</v>
      </c>
      <c r="G30" s="38">
        <f t="shared" si="7"/>
        <v>44.436335182955069</v>
      </c>
      <c r="H30" s="18">
        <f t="shared" si="6"/>
        <v>10</v>
      </c>
      <c r="M30" t="s">
        <v>22</v>
      </c>
      <c r="U30" s="17">
        <v>16</v>
      </c>
      <c r="V30">
        <f t="shared" si="1"/>
        <v>60</v>
      </c>
      <c r="W30">
        <f t="shared" si="1"/>
        <v>25</v>
      </c>
      <c r="X30">
        <f t="shared" si="1"/>
        <v>10</v>
      </c>
      <c r="Y30">
        <f t="shared" si="1"/>
        <v>60</v>
      </c>
      <c r="Z30">
        <f t="shared" si="1"/>
        <v>40</v>
      </c>
      <c r="AA30">
        <f t="shared" si="1"/>
        <v>30.000000000000004</v>
      </c>
      <c r="AB30">
        <f t="shared" si="1"/>
        <v>20</v>
      </c>
      <c r="AC30">
        <f t="shared" si="1"/>
        <v>20</v>
      </c>
      <c r="AD30">
        <f t="shared" si="1"/>
        <v>60</v>
      </c>
      <c r="AE30">
        <f t="shared" si="1"/>
        <v>45</v>
      </c>
      <c r="AF30">
        <f t="shared" si="1"/>
        <v>40</v>
      </c>
      <c r="AG30">
        <f t="shared" si="1"/>
        <v>40</v>
      </c>
      <c r="AH30">
        <f t="shared" si="1"/>
        <v>40</v>
      </c>
      <c r="AI30">
        <f t="shared" si="1"/>
        <v>35</v>
      </c>
      <c r="AJ30">
        <f t="shared" si="1"/>
        <v>30</v>
      </c>
      <c r="AK30">
        <f t="shared" si="1"/>
        <v>75</v>
      </c>
      <c r="AL30">
        <f t="shared" si="1"/>
        <v>40</v>
      </c>
    </row>
    <row r="31" spans="1:39">
      <c r="A31" s="17">
        <v>17</v>
      </c>
      <c r="B31" s="17">
        <v>14</v>
      </c>
      <c r="C31" s="4" t="str">
        <f t="shared" si="2"/>
        <v>Pirates</v>
      </c>
      <c r="D31" s="49">
        <f t="shared" si="3"/>
        <v>2.7735254089680056E-2</v>
      </c>
      <c r="E31" s="38">
        <f t="shared" si="4"/>
        <v>2.7735254089680056E-2</v>
      </c>
      <c r="F31" s="1">
        <f t="shared" si="5"/>
        <v>7.8947368421052627E-2</v>
      </c>
      <c r="G31" s="38">
        <f t="shared" si="7"/>
        <v>117.05948454950837</v>
      </c>
      <c r="H31" s="18">
        <f t="shared" si="6"/>
        <v>30</v>
      </c>
      <c r="U31" s="17">
        <v>17</v>
      </c>
      <c r="V31">
        <f t="shared" si="1"/>
        <v>60</v>
      </c>
      <c r="W31">
        <f t="shared" si="1"/>
        <v>25</v>
      </c>
      <c r="X31">
        <f t="shared" si="1"/>
        <v>10</v>
      </c>
      <c r="Y31">
        <f t="shared" si="1"/>
        <v>60</v>
      </c>
      <c r="Z31">
        <f t="shared" si="1"/>
        <v>40</v>
      </c>
      <c r="AA31">
        <f t="shared" si="1"/>
        <v>30.000000000000004</v>
      </c>
      <c r="AB31">
        <f t="shared" si="1"/>
        <v>20</v>
      </c>
      <c r="AC31">
        <f t="shared" si="1"/>
        <v>20</v>
      </c>
      <c r="AD31">
        <f t="shared" si="1"/>
        <v>60</v>
      </c>
      <c r="AE31">
        <f t="shared" si="1"/>
        <v>40</v>
      </c>
      <c r="AF31">
        <f t="shared" si="1"/>
        <v>40</v>
      </c>
      <c r="AG31">
        <f t="shared" si="1"/>
        <v>40</v>
      </c>
      <c r="AH31">
        <f t="shared" si="1"/>
        <v>35</v>
      </c>
      <c r="AI31">
        <f t="shared" si="1"/>
        <v>30</v>
      </c>
      <c r="AJ31">
        <f t="shared" si="1"/>
        <v>30</v>
      </c>
      <c r="AK31">
        <f t="shared" si="1"/>
        <v>80</v>
      </c>
      <c r="AL31">
        <f t="shared" si="1"/>
        <v>40</v>
      </c>
    </row>
    <row r="32" spans="1:39">
      <c r="A32" s="17">
        <v>18</v>
      </c>
      <c r="B32" s="17">
        <v>17</v>
      </c>
      <c r="C32" s="24" t="str">
        <f t="shared" si="2"/>
        <v>Star Tours</v>
      </c>
      <c r="D32" s="50">
        <f t="shared" si="3"/>
        <v>7.5540162362182181E-2</v>
      </c>
      <c r="E32" s="41">
        <f t="shared" si="4"/>
        <v>7.5540162362182181E-2</v>
      </c>
      <c r="F32" s="28">
        <f t="shared" si="5"/>
        <v>6.4220183486238536E-2</v>
      </c>
      <c r="G32" s="38">
        <f t="shared" si="7"/>
        <v>275.07923904373905</v>
      </c>
      <c r="H32" s="18">
        <f t="shared" si="6"/>
        <v>35</v>
      </c>
      <c r="U32" s="17">
        <v>18</v>
      </c>
      <c r="V32">
        <f t="shared" si="1"/>
        <v>60</v>
      </c>
      <c r="W32">
        <f t="shared" si="1"/>
        <v>25</v>
      </c>
      <c r="X32">
        <f t="shared" si="1"/>
        <v>10</v>
      </c>
      <c r="Y32">
        <f t="shared" si="1"/>
        <v>60</v>
      </c>
      <c r="Z32">
        <f t="shared" si="1"/>
        <v>40</v>
      </c>
      <c r="AA32">
        <f t="shared" si="1"/>
        <v>30.000000000000004</v>
      </c>
      <c r="AB32">
        <f t="shared" si="1"/>
        <v>15</v>
      </c>
      <c r="AC32">
        <f t="shared" si="1"/>
        <v>20</v>
      </c>
      <c r="AD32">
        <f t="shared" si="1"/>
        <v>60</v>
      </c>
      <c r="AE32">
        <f t="shared" si="1"/>
        <v>40</v>
      </c>
      <c r="AF32">
        <f t="shared" si="1"/>
        <v>35</v>
      </c>
      <c r="AG32">
        <f t="shared" si="1"/>
        <v>40</v>
      </c>
      <c r="AH32">
        <f t="shared" si="1"/>
        <v>30</v>
      </c>
      <c r="AI32">
        <f t="shared" si="1"/>
        <v>25</v>
      </c>
      <c r="AJ32">
        <f t="shared" si="1"/>
        <v>25</v>
      </c>
      <c r="AK32">
        <f t="shared" si="1"/>
        <v>80</v>
      </c>
      <c r="AL32">
        <f t="shared" si="1"/>
        <v>35</v>
      </c>
    </row>
    <row r="33" spans="1:38">
      <c r="A33" s="17">
        <v>19</v>
      </c>
      <c r="B33" s="17">
        <v>15</v>
      </c>
      <c r="C33" s="4" t="str">
        <f t="shared" si="2"/>
        <v>Buzz Lightyear</v>
      </c>
      <c r="D33" s="49">
        <f t="shared" si="3"/>
        <v>9.6058656335458042E-3</v>
      </c>
      <c r="E33" s="38">
        <f t="shared" si="4"/>
        <v>9.6058656335458042E-3</v>
      </c>
      <c r="F33" s="12">
        <f t="shared" si="5"/>
        <v>5.4054054054054057E-2</v>
      </c>
      <c r="G33" s="38">
        <f t="shared" si="7"/>
        <v>32.923290655312897</v>
      </c>
      <c r="H33" s="18">
        <f t="shared" si="6"/>
        <v>20</v>
      </c>
      <c r="U33" s="17">
        <v>19</v>
      </c>
      <c r="V33">
        <f t="shared" si="1"/>
        <v>60</v>
      </c>
      <c r="W33">
        <f t="shared" si="1"/>
        <v>25</v>
      </c>
      <c r="X33">
        <f t="shared" si="1"/>
        <v>10</v>
      </c>
      <c r="Y33">
        <f t="shared" si="1"/>
        <v>50</v>
      </c>
      <c r="Z33">
        <f t="shared" si="1"/>
        <v>40</v>
      </c>
      <c r="AA33">
        <f t="shared" si="1"/>
        <v>30.000000000000004</v>
      </c>
      <c r="AB33">
        <f t="shared" si="1"/>
        <v>15</v>
      </c>
      <c r="AC33">
        <f t="shared" si="1"/>
        <v>20</v>
      </c>
      <c r="AD33">
        <f t="shared" si="1"/>
        <v>60</v>
      </c>
      <c r="AE33">
        <f t="shared" si="1"/>
        <v>45</v>
      </c>
      <c r="AF33">
        <f t="shared" si="1"/>
        <v>30</v>
      </c>
      <c r="AG33">
        <f t="shared" si="1"/>
        <v>35</v>
      </c>
      <c r="AH33">
        <f t="shared" si="1"/>
        <v>25</v>
      </c>
      <c r="AI33">
        <f t="shared" si="1"/>
        <v>20</v>
      </c>
      <c r="AJ33">
        <f t="shared" si="1"/>
        <v>20</v>
      </c>
      <c r="AK33">
        <f t="shared" si="1"/>
        <v>70</v>
      </c>
      <c r="AL33">
        <f t="shared" si="1"/>
        <v>30</v>
      </c>
    </row>
    <row r="34" spans="1:38">
      <c r="A34" s="17">
        <v>20</v>
      </c>
      <c r="B34" s="17">
        <v>5</v>
      </c>
      <c r="C34" s="4" t="str">
        <f t="shared" si="2"/>
        <v>Alice in Wonderland</v>
      </c>
      <c r="D34" s="49">
        <f t="shared" si="3"/>
        <v>4.088898791800083E-2</v>
      </c>
      <c r="E34" s="38">
        <f t="shared" si="4"/>
        <v>4.088898791800083E-2</v>
      </c>
      <c r="F34" s="12">
        <f t="shared" si="5"/>
        <v>6.1403508771929821E-2</v>
      </c>
      <c r="G34" s="38">
        <f t="shared" si="7"/>
        <v>130.10141514607648</v>
      </c>
      <c r="H34" s="18">
        <f t="shared" si="6"/>
        <v>35</v>
      </c>
      <c r="U34" s="17">
        <v>20</v>
      </c>
      <c r="V34">
        <f t="shared" si="1"/>
        <v>45</v>
      </c>
      <c r="W34">
        <f t="shared" si="1"/>
        <v>15</v>
      </c>
      <c r="X34">
        <f t="shared" si="1"/>
        <v>10</v>
      </c>
      <c r="Y34">
        <f t="shared" si="1"/>
        <v>35</v>
      </c>
      <c r="Z34">
        <f t="shared" si="1"/>
        <v>35</v>
      </c>
      <c r="AA34">
        <f t="shared" si="1"/>
        <v>30.000000000000004</v>
      </c>
      <c r="AB34">
        <f t="shared" si="1"/>
        <v>10</v>
      </c>
      <c r="AC34">
        <f t="shared" si="1"/>
        <v>45</v>
      </c>
      <c r="AD34">
        <f t="shared" si="1"/>
        <v>45</v>
      </c>
      <c r="AE34">
        <f t="shared" si="1"/>
        <v>45</v>
      </c>
      <c r="AF34">
        <f t="shared" si="1"/>
        <v>25</v>
      </c>
      <c r="AG34">
        <f t="shared" si="1"/>
        <v>30</v>
      </c>
      <c r="AH34">
        <f t="shared" si="1"/>
        <v>20</v>
      </c>
      <c r="AI34">
        <f t="shared" si="1"/>
        <v>15</v>
      </c>
      <c r="AJ34">
        <f t="shared" si="1"/>
        <v>20</v>
      </c>
      <c r="AK34">
        <f t="shared" si="1"/>
        <v>65</v>
      </c>
      <c r="AL34">
        <f t="shared" si="1"/>
        <v>25</v>
      </c>
    </row>
    <row r="35" spans="1:38">
      <c r="A35" s="17">
        <v>21</v>
      </c>
      <c r="B35" s="17">
        <v>4</v>
      </c>
      <c r="C35" s="4" t="str">
        <f t="shared" si="2"/>
        <v>Splash Mtn</v>
      </c>
      <c r="D35" s="49">
        <f t="shared" si="3"/>
        <v>7.2686753478064511E-2</v>
      </c>
      <c r="E35" s="38">
        <f t="shared" si="4"/>
        <v>7.2686753478064511E-2</v>
      </c>
      <c r="F35" s="12">
        <f t="shared" si="5"/>
        <v>4.7619047619047616E-2</v>
      </c>
      <c r="G35" s="38">
        <f t="shared" si="7"/>
        <v>430.58523917795367</v>
      </c>
      <c r="H35" s="18">
        <f t="shared" si="6"/>
        <v>25</v>
      </c>
      <c r="U35" s="17">
        <v>21</v>
      </c>
      <c r="V35">
        <f t="shared" si="1"/>
        <v>40</v>
      </c>
      <c r="W35">
        <f t="shared" si="1"/>
        <v>10</v>
      </c>
      <c r="X35">
        <f t="shared" si="1"/>
        <v>10</v>
      </c>
      <c r="Y35">
        <f t="shared" si="1"/>
        <v>25</v>
      </c>
      <c r="Z35">
        <f t="shared" si="1"/>
        <v>30</v>
      </c>
      <c r="AA35">
        <f t="shared" si="1"/>
        <v>25</v>
      </c>
      <c r="AB35">
        <f t="shared" si="1"/>
        <v>10</v>
      </c>
      <c r="AC35">
        <f t="shared" si="1"/>
        <v>15</v>
      </c>
      <c r="AD35">
        <f t="shared" si="1"/>
        <v>35</v>
      </c>
      <c r="AE35">
        <f t="shared" si="1"/>
        <v>40</v>
      </c>
      <c r="AF35">
        <f t="shared" si="1"/>
        <v>20</v>
      </c>
      <c r="AG35">
        <f t="shared" si="1"/>
        <v>25</v>
      </c>
      <c r="AH35">
        <f t="shared" si="1"/>
        <v>15</v>
      </c>
      <c r="AI35">
        <f t="shared" si="1"/>
        <v>10</v>
      </c>
      <c r="AJ35">
        <f t="shared" si="1"/>
        <v>15</v>
      </c>
      <c r="AK35">
        <f t="shared" si="1"/>
        <v>59.999999999999993</v>
      </c>
      <c r="AL35">
        <f t="shared" si="1"/>
        <v>20</v>
      </c>
    </row>
    <row r="36" spans="1:38">
      <c r="A36" s="17">
        <v>22</v>
      </c>
      <c r="B36" s="17">
        <v>13</v>
      </c>
      <c r="C36" s="4" t="str">
        <f t="shared" si="2"/>
        <v>Haunted Mansion</v>
      </c>
      <c r="D36" s="49">
        <f t="shared" si="3"/>
        <v>1.6348341587255268E-2</v>
      </c>
      <c r="E36" s="38">
        <f t="shared" si="4"/>
        <v>1.6348341587255268E-2</v>
      </c>
      <c r="F36" s="12">
        <f t="shared" si="5"/>
        <v>3.7037037037037035E-2</v>
      </c>
      <c r="G36" s="38">
        <f t="shared" si="7"/>
        <v>85.530866119049492</v>
      </c>
      <c r="H36" s="18">
        <f t="shared" si="6"/>
        <v>15</v>
      </c>
      <c r="U36" s="17">
        <v>22</v>
      </c>
      <c r="V36">
        <f t="shared" si="1"/>
        <v>35</v>
      </c>
      <c r="W36">
        <f t="shared" si="1"/>
        <v>5</v>
      </c>
      <c r="X36">
        <f t="shared" si="1"/>
        <v>10</v>
      </c>
      <c r="Y36">
        <f t="shared" si="1"/>
        <v>15</v>
      </c>
      <c r="Z36">
        <f t="shared" si="1"/>
        <v>30</v>
      </c>
      <c r="AA36">
        <f t="shared" si="1"/>
        <v>25</v>
      </c>
      <c r="AB36">
        <f t="shared" si="1"/>
        <v>10</v>
      </c>
      <c r="AC36">
        <f t="shared" si="1"/>
        <v>15</v>
      </c>
      <c r="AD36">
        <f t="shared" si="1"/>
        <v>30</v>
      </c>
      <c r="AE36">
        <f t="shared" si="1"/>
        <v>40</v>
      </c>
      <c r="AF36">
        <f t="shared" si="1"/>
        <v>15</v>
      </c>
      <c r="AG36">
        <f t="shared" si="1"/>
        <v>20</v>
      </c>
      <c r="AH36">
        <f t="shared" si="1"/>
        <v>15</v>
      </c>
      <c r="AI36">
        <f t="shared" si="1"/>
        <v>10</v>
      </c>
      <c r="AJ36">
        <f t="shared" si="1"/>
        <v>15</v>
      </c>
      <c r="AK36">
        <f t="shared" si="1"/>
        <v>35</v>
      </c>
      <c r="AL36">
        <f t="shared" si="1"/>
        <v>20</v>
      </c>
    </row>
    <row r="37" spans="1:38">
      <c r="A37" s="17">
        <v>23</v>
      </c>
      <c r="B37" s="17">
        <v>1</v>
      </c>
      <c r="C37" s="4" t="str">
        <f t="shared" si="2"/>
        <v>Indiana Jones</v>
      </c>
      <c r="D37" s="49">
        <f t="shared" si="3"/>
        <v>4.3406939779412235E-2</v>
      </c>
      <c r="E37" s="38">
        <f t="shared" si="4"/>
        <v>4.3406939779412235E-2</v>
      </c>
      <c r="F37" s="12">
        <f t="shared" si="5"/>
        <v>2.7586206896551724E-2</v>
      </c>
      <c r="G37" s="38">
        <f t="shared" si="7"/>
        <v>166.24766329420825</v>
      </c>
      <c r="H37" s="18">
        <f t="shared" si="6"/>
        <v>20</v>
      </c>
      <c r="U37" s="17">
        <v>23</v>
      </c>
      <c r="V37">
        <f t="shared" ref="V37:AL38" si="8">V18*V$20</f>
        <v>20</v>
      </c>
      <c r="W37">
        <f t="shared" si="8"/>
        <v>5</v>
      </c>
      <c r="X37">
        <f t="shared" si="8"/>
        <v>10</v>
      </c>
      <c r="Y37">
        <f t="shared" si="8"/>
        <v>10.000000000000002</v>
      </c>
      <c r="Z37">
        <f t="shared" si="8"/>
        <v>20</v>
      </c>
      <c r="AA37">
        <f t="shared" si="8"/>
        <v>15.000000000000002</v>
      </c>
      <c r="AB37">
        <f t="shared" si="8"/>
        <v>10</v>
      </c>
      <c r="AC37">
        <f t="shared" si="8"/>
        <v>10</v>
      </c>
      <c r="AD37">
        <f t="shared" si="8"/>
        <v>30</v>
      </c>
      <c r="AE37">
        <f t="shared" si="8"/>
        <v>35</v>
      </c>
      <c r="AF37">
        <f t="shared" si="8"/>
        <v>15</v>
      </c>
      <c r="AG37">
        <f t="shared" si="8"/>
        <v>10</v>
      </c>
      <c r="AH37">
        <f t="shared" si="8"/>
        <v>10</v>
      </c>
      <c r="AI37">
        <f t="shared" si="8"/>
        <v>10</v>
      </c>
      <c r="AJ37">
        <f t="shared" si="8"/>
        <v>10</v>
      </c>
      <c r="AK37">
        <f t="shared" si="8"/>
        <v>35</v>
      </c>
      <c r="AL37">
        <f t="shared" si="8"/>
        <v>20</v>
      </c>
    </row>
    <row r="38" spans="1:38" ht="15" thickBot="1">
      <c r="A38" s="19">
        <v>24</v>
      </c>
      <c r="B38" s="19">
        <v>16</v>
      </c>
      <c r="C38" s="4" t="str">
        <f t="shared" si="2"/>
        <v>Space Mtn</v>
      </c>
      <c r="D38" s="49">
        <f t="shared" si="3"/>
        <v>6.1611762184374974E-2</v>
      </c>
      <c r="E38" s="38">
        <f t="shared" si="4"/>
        <v>6.1611762184374974E-2</v>
      </c>
      <c r="F38" s="12">
        <f t="shared" si="5"/>
        <v>3.6585365853658534E-2</v>
      </c>
      <c r="G38" s="38">
        <f t="shared" si="7"/>
        <v>285.48610254472004</v>
      </c>
      <c r="H38" s="18">
        <f t="shared" si="6"/>
        <v>29.999999999999996</v>
      </c>
      <c r="U38" s="19">
        <v>24</v>
      </c>
      <c r="V38">
        <f t="shared" si="8"/>
        <v>20</v>
      </c>
      <c r="W38">
        <f t="shared" si="8"/>
        <v>5</v>
      </c>
      <c r="X38">
        <f t="shared" si="8"/>
        <v>5</v>
      </c>
      <c r="Y38">
        <f t="shared" si="8"/>
        <v>10.000000000000002</v>
      </c>
      <c r="Z38">
        <f t="shared" si="8"/>
        <v>20</v>
      </c>
      <c r="AA38">
        <f t="shared" si="8"/>
        <v>15.000000000000002</v>
      </c>
      <c r="AB38">
        <f t="shared" si="8"/>
        <v>10</v>
      </c>
      <c r="AC38">
        <f t="shared" si="8"/>
        <v>10</v>
      </c>
      <c r="AD38">
        <f t="shared" si="8"/>
        <v>30</v>
      </c>
      <c r="AE38">
        <f t="shared" si="8"/>
        <v>35</v>
      </c>
      <c r="AF38">
        <f t="shared" si="8"/>
        <v>15</v>
      </c>
      <c r="AG38">
        <f t="shared" si="8"/>
        <v>5</v>
      </c>
      <c r="AH38">
        <f t="shared" si="8"/>
        <v>5</v>
      </c>
      <c r="AI38">
        <f t="shared" si="8"/>
        <v>10</v>
      </c>
      <c r="AJ38">
        <f t="shared" si="8"/>
        <v>10</v>
      </c>
      <c r="AK38">
        <f t="shared" si="8"/>
        <v>29.999999999999996</v>
      </c>
      <c r="AL38">
        <f t="shared" si="8"/>
        <v>15</v>
      </c>
    </row>
    <row r="39" spans="1:38" ht="15">
      <c r="A39" s="16"/>
      <c r="B39" s="12"/>
      <c r="C39" s="12"/>
      <c r="D39" s="49">
        <f>SUM(D22:D38)</f>
        <v>0.61833360835924611</v>
      </c>
      <c r="E39" s="12"/>
      <c r="F39" s="12">
        <f>SUM(F22:F38)</f>
        <v>0.92246554792789759</v>
      </c>
      <c r="G39" s="39">
        <f>SUM(G23:G38)</f>
        <v>2540.8203992254817</v>
      </c>
      <c r="H39" s="68">
        <f>SUM(H22:H38)</f>
        <v>400</v>
      </c>
      <c r="K39">
        <f>D39-SUM(D29:D32)</f>
        <v>0.44631136924264891</v>
      </c>
      <c r="L39" t="s">
        <v>31</v>
      </c>
      <c r="V39" s="5">
        <v>1</v>
      </c>
      <c r="W39" s="5">
        <v>2</v>
      </c>
      <c r="X39" s="5">
        <v>3</v>
      </c>
      <c r="Y39" s="5">
        <v>4</v>
      </c>
      <c r="Z39" s="5">
        <v>5</v>
      </c>
      <c r="AA39" s="5">
        <v>6</v>
      </c>
      <c r="AB39" s="5">
        <v>7</v>
      </c>
      <c r="AC39" s="5">
        <v>8</v>
      </c>
      <c r="AD39" s="5">
        <v>9</v>
      </c>
      <c r="AE39" s="5">
        <v>10</v>
      </c>
      <c r="AF39" s="5">
        <v>11</v>
      </c>
      <c r="AG39" s="5">
        <v>12</v>
      </c>
      <c r="AH39" s="5">
        <v>13</v>
      </c>
      <c r="AI39" s="5">
        <v>14</v>
      </c>
      <c r="AJ39" s="5">
        <v>15</v>
      </c>
      <c r="AK39" s="5">
        <v>16</v>
      </c>
      <c r="AL39" s="22">
        <v>17</v>
      </c>
    </row>
    <row r="40" spans="1:38">
      <c r="A40" s="16"/>
      <c r="B40" s="12" t="s">
        <v>3</v>
      </c>
      <c r="C40" s="12"/>
      <c r="D40" s="69">
        <v>1</v>
      </c>
      <c r="E40" s="12"/>
      <c r="F40" s="69">
        <v>0</v>
      </c>
      <c r="G40" s="12"/>
      <c r="H40" s="18"/>
      <c r="K40">
        <f>F39-SUM(F29:F32)</f>
        <v>0.6206527197282713</v>
      </c>
      <c r="L40" t="s">
        <v>32</v>
      </c>
      <c r="U40" s="17">
        <v>1</v>
      </c>
      <c r="V40">
        <f>C3*C$20</f>
        <v>0</v>
      </c>
      <c r="W40">
        <f t="shared" ref="W40:AL55" si="9">D3*D$20</f>
        <v>35.41571747416252</v>
      </c>
      <c r="X40">
        <f t="shared" si="9"/>
        <v>75.235308449802986</v>
      </c>
      <c r="Y40">
        <f t="shared" si="9"/>
        <v>243.12415046854719</v>
      </c>
      <c r="Z40">
        <f t="shared" si="9"/>
        <v>285.38608101250298</v>
      </c>
      <c r="AA40">
        <f t="shared" si="9"/>
        <v>289.17855867575389</v>
      </c>
      <c r="AB40">
        <f t="shared" si="9"/>
        <v>422.239931684601</v>
      </c>
      <c r="AC40">
        <f t="shared" si="9"/>
        <v>299.18469658294089</v>
      </c>
      <c r="AD40">
        <f t="shared" si="9"/>
        <v>294.34674965435448</v>
      </c>
      <c r="AE40">
        <f t="shared" si="9"/>
        <v>243.58872607986009</v>
      </c>
      <c r="AF40">
        <f t="shared" si="9"/>
        <v>203.00393542072791</v>
      </c>
      <c r="AG40">
        <f t="shared" si="9"/>
        <v>476.53795812918798</v>
      </c>
      <c r="AH40">
        <f t="shared" si="9"/>
        <v>166.24766329420825</v>
      </c>
      <c r="AI40">
        <f t="shared" si="9"/>
        <v>43.627434418712667</v>
      </c>
      <c r="AJ40">
        <f t="shared" si="9"/>
        <v>235.9205617282789</v>
      </c>
      <c r="AK40">
        <f t="shared" si="9"/>
        <v>285.48610254472004</v>
      </c>
      <c r="AL40">
        <f t="shared" si="9"/>
        <v>231.45532036128384</v>
      </c>
    </row>
    <row r="41" spans="1:38">
      <c r="A41" s="16"/>
      <c r="B41" s="12"/>
      <c r="C41" s="12"/>
      <c r="D41" s="12"/>
      <c r="E41" s="12"/>
      <c r="F41" s="12"/>
      <c r="G41" s="12"/>
      <c r="H41" s="18"/>
      <c r="U41" s="17">
        <v>2</v>
      </c>
      <c r="V41">
        <f t="shared" ref="V41:AK56" si="10">C4*C$20</f>
        <v>35.41571747416252</v>
      </c>
      <c r="W41">
        <f t="shared" si="9"/>
        <v>0</v>
      </c>
      <c r="X41">
        <f t="shared" si="9"/>
        <v>44.436335182955069</v>
      </c>
      <c r="Y41">
        <f t="shared" si="9"/>
        <v>273.1282170184997</v>
      </c>
      <c r="Z41">
        <f t="shared" si="9"/>
        <v>257.94215654492939</v>
      </c>
      <c r="AA41">
        <f t="shared" si="9"/>
        <v>268.18432904191525</v>
      </c>
      <c r="AB41">
        <f t="shared" si="9"/>
        <v>398.14575455830294</v>
      </c>
      <c r="AC41">
        <f t="shared" si="9"/>
        <v>273.11509923526529</v>
      </c>
      <c r="AD41">
        <f t="shared" si="9"/>
        <v>263.58393767409399</v>
      </c>
      <c r="AE41">
        <f t="shared" si="9"/>
        <v>219.53121870866025</v>
      </c>
      <c r="AF41">
        <f t="shared" si="9"/>
        <v>200.11373184634655</v>
      </c>
      <c r="AG41">
        <f t="shared" si="9"/>
        <v>456.11462948302591</v>
      </c>
      <c r="AH41">
        <f t="shared" si="9"/>
        <v>199.21786127021554</v>
      </c>
      <c r="AI41">
        <f t="shared" si="9"/>
        <v>79.03822260954027</v>
      </c>
      <c r="AJ41">
        <f t="shared" si="9"/>
        <v>201.14756751767686</v>
      </c>
      <c r="AK41">
        <f t="shared" si="9"/>
        <v>250.88589035856424</v>
      </c>
      <c r="AL41">
        <f t="shared" si="9"/>
        <v>196.0671434542468</v>
      </c>
    </row>
    <row r="42" spans="1:38" ht="15" thickBot="1">
      <c r="A42" s="63"/>
      <c r="B42" s="20"/>
      <c r="C42" s="70">
        <f>D39*D40</f>
        <v>0.61833360835924611</v>
      </c>
      <c r="D42" s="20"/>
      <c r="E42" s="20">
        <f>F39*F40</f>
        <v>0</v>
      </c>
      <c r="F42" s="20" t="s">
        <v>8</v>
      </c>
      <c r="G42" s="20"/>
      <c r="H42" s="71">
        <f>E42+C42</f>
        <v>0.61833360835924611</v>
      </c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U42" s="17">
        <v>3</v>
      </c>
      <c r="V42">
        <f t="shared" si="10"/>
        <v>75.235308449802986</v>
      </c>
      <c r="W42">
        <f t="shared" si="9"/>
        <v>44.436335182955069</v>
      </c>
      <c r="X42">
        <f t="shared" si="9"/>
        <v>0</v>
      </c>
      <c r="Y42">
        <f t="shared" si="9"/>
        <v>291.68873208474383</v>
      </c>
      <c r="Z42">
        <f t="shared" si="9"/>
        <v>213.54567105456343</v>
      </c>
      <c r="AA42">
        <f t="shared" si="9"/>
        <v>226.12164826396045</v>
      </c>
      <c r="AB42">
        <f t="shared" si="9"/>
        <v>354.40223799523591</v>
      </c>
      <c r="AC42">
        <f t="shared" si="9"/>
        <v>228.93534948956807</v>
      </c>
      <c r="AD42">
        <f t="shared" si="9"/>
        <v>219.64957303895184</v>
      </c>
      <c r="AE42">
        <f t="shared" si="9"/>
        <v>176.13361760590169</v>
      </c>
      <c r="AF42">
        <f t="shared" si="9"/>
        <v>175.53810902631469</v>
      </c>
      <c r="AG42">
        <f t="shared" si="9"/>
        <v>413.86441663557724</v>
      </c>
      <c r="AH42">
        <f t="shared" si="9"/>
        <v>225.40989687633373</v>
      </c>
      <c r="AI42">
        <f t="shared" si="9"/>
        <v>117.05948454950837</v>
      </c>
      <c r="AJ42">
        <f t="shared" si="9"/>
        <v>163.05880626550467</v>
      </c>
      <c r="AK42">
        <f t="shared" si="9"/>
        <v>226.64433982944462</v>
      </c>
      <c r="AL42">
        <f t="shared" si="9"/>
        <v>162.77018054803818</v>
      </c>
    </row>
    <row r="43" spans="1:38">
      <c r="U43" s="17">
        <v>4</v>
      </c>
      <c r="V43">
        <f t="shared" si="10"/>
        <v>243.12415046854719</v>
      </c>
      <c r="W43">
        <f t="shared" si="9"/>
        <v>273.1282170184997</v>
      </c>
      <c r="X43">
        <f t="shared" si="9"/>
        <v>291.68873208474383</v>
      </c>
      <c r="Y43">
        <f t="shared" si="9"/>
        <v>0</v>
      </c>
      <c r="Z43">
        <f t="shared" si="9"/>
        <v>430.58523917795372</v>
      </c>
      <c r="AA43">
        <f t="shared" si="9"/>
        <v>393.65678799828754</v>
      </c>
      <c r="AB43">
        <f t="shared" si="9"/>
        <v>523.92586826058493</v>
      </c>
      <c r="AC43">
        <f t="shared" si="9"/>
        <v>433.02117322658592</v>
      </c>
      <c r="AD43">
        <f t="shared" si="9"/>
        <v>460.99990848306385</v>
      </c>
      <c r="AE43">
        <f t="shared" si="9"/>
        <v>377.39239285121079</v>
      </c>
      <c r="AF43">
        <f t="shared" si="9"/>
        <v>243.50268764516562</v>
      </c>
      <c r="AG43">
        <f t="shared" si="9"/>
        <v>545.19424297983869</v>
      </c>
      <c r="AH43">
        <f t="shared" si="9"/>
        <v>85.530866119049492</v>
      </c>
      <c r="AI43">
        <f t="shared" si="9"/>
        <v>209.16282830150311</v>
      </c>
      <c r="AJ43">
        <f t="shared" si="9"/>
        <v>443.65343531531391</v>
      </c>
      <c r="AK43">
        <f t="shared" si="9"/>
        <v>518.33181927135797</v>
      </c>
      <c r="AL43">
        <f t="shared" si="9"/>
        <v>450.94909994727891</v>
      </c>
    </row>
    <row r="44" spans="1:38">
      <c r="U44" s="17">
        <v>5</v>
      </c>
      <c r="V44">
        <f t="shared" si="10"/>
        <v>285.38608101250298</v>
      </c>
      <c r="W44">
        <f t="shared" si="9"/>
        <v>257.94215654492939</v>
      </c>
      <c r="X44">
        <f t="shared" si="9"/>
        <v>213.54567105456346</v>
      </c>
      <c r="Y44">
        <f t="shared" si="9"/>
        <v>430.58523917795367</v>
      </c>
      <c r="Z44">
        <f t="shared" si="9"/>
        <v>0</v>
      </c>
      <c r="AA44">
        <f t="shared" si="9"/>
        <v>69.455125502039664</v>
      </c>
      <c r="AB44">
        <f t="shared" si="9"/>
        <v>146.08932876096961</v>
      </c>
      <c r="AC44">
        <f t="shared" si="9"/>
        <v>21.968778976333269</v>
      </c>
      <c r="AD44">
        <f t="shared" si="9"/>
        <v>46.120406617537434</v>
      </c>
      <c r="AE44">
        <f t="shared" si="9"/>
        <v>53.25280228115453</v>
      </c>
      <c r="AF44">
        <f t="shared" si="9"/>
        <v>196.18586926043142</v>
      </c>
      <c r="AG44">
        <f t="shared" si="9"/>
        <v>217.34893875517614</v>
      </c>
      <c r="AH44">
        <f t="shared" si="9"/>
        <v>394.82939421009377</v>
      </c>
      <c r="AI44">
        <f t="shared" si="9"/>
        <v>321.85836784012554</v>
      </c>
      <c r="AJ44">
        <f t="shared" si="9"/>
        <v>130.10141514607648</v>
      </c>
      <c r="AK44">
        <f t="shared" si="9"/>
        <v>234.1745320258795</v>
      </c>
      <c r="AL44">
        <f t="shared" si="9"/>
        <v>162.97627457082967</v>
      </c>
    </row>
    <row r="45" spans="1:38">
      <c r="C45" t="s">
        <v>64</v>
      </c>
      <c r="G45">
        <f>G39*3</f>
        <v>7622.4611976764445</v>
      </c>
      <c r="U45" s="17">
        <v>6</v>
      </c>
      <c r="V45">
        <f t="shared" si="10"/>
        <v>289.17855867575389</v>
      </c>
      <c r="W45">
        <f t="shared" si="9"/>
        <v>268.18432904191525</v>
      </c>
      <c r="X45">
        <f t="shared" si="9"/>
        <v>226.1216482639604</v>
      </c>
      <c r="Y45">
        <f t="shared" si="9"/>
        <v>393.65678799828754</v>
      </c>
      <c r="Z45">
        <f t="shared" si="9"/>
        <v>69.455125502039664</v>
      </c>
      <c r="AA45">
        <f t="shared" si="9"/>
        <v>0</v>
      </c>
      <c r="AB45">
        <f t="shared" si="9"/>
        <v>137.10365996034804</v>
      </c>
      <c r="AC45">
        <f t="shared" si="9"/>
        <v>54.816916820998749</v>
      </c>
      <c r="AD45">
        <f t="shared" si="9"/>
        <v>115.54084629340073</v>
      </c>
      <c r="AE45">
        <f t="shared" si="9"/>
        <v>55.11594960765737</v>
      </c>
      <c r="AF45">
        <f t="shared" si="9"/>
        <v>150.6555634966613</v>
      </c>
      <c r="AG45">
        <f t="shared" si="9"/>
        <v>187.93059434003794</v>
      </c>
      <c r="AH45">
        <f t="shared" si="9"/>
        <v>370.49370442246158</v>
      </c>
      <c r="AI45">
        <f t="shared" si="9"/>
        <v>319.2524065418915</v>
      </c>
      <c r="AJ45">
        <f t="shared" si="9"/>
        <v>189.22843379725697</v>
      </c>
      <c r="AK45">
        <f t="shared" si="9"/>
        <v>297.2839405593038</v>
      </c>
      <c r="AL45">
        <f t="shared" si="9"/>
        <v>220.94920483065883</v>
      </c>
    </row>
    <row r="46" spans="1:38">
      <c r="C46" t="s">
        <v>65</v>
      </c>
      <c r="G46">
        <f>G45/5280</f>
        <v>1.4436479541053873</v>
      </c>
      <c r="U46" s="17">
        <v>7</v>
      </c>
      <c r="V46">
        <f t="shared" si="10"/>
        <v>422.239931684601</v>
      </c>
      <c r="W46">
        <f t="shared" si="9"/>
        <v>398.14575455830294</v>
      </c>
      <c r="X46">
        <f t="shared" si="9"/>
        <v>354.40223799523591</v>
      </c>
      <c r="Y46">
        <f t="shared" si="9"/>
        <v>523.92586826058493</v>
      </c>
      <c r="Z46">
        <f t="shared" si="9"/>
        <v>146.08932876096961</v>
      </c>
      <c r="AA46">
        <f t="shared" si="9"/>
        <v>137.10365996034804</v>
      </c>
      <c r="AB46">
        <f t="shared" si="9"/>
        <v>0</v>
      </c>
      <c r="AC46">
        <f t="shared" si="9"/>
        <v>127.04302098859858</v>
      </c>
      <c r="AD46">
        <f t="shared" si="9"/>
        <v>166.51786372548233</v>
      </c>
      <c r="AE46">
        <f t="shared" si="9"/>
        <v>178.79249083232051</v>
      </c>
      <c r="AF46">
        <f t="shared" si="9"/>
        <v>281.09763747137629</v>
      </c>
      <c r="AG46">
        <f t="shared" si="9"/>
        <v>80.985227741250185</v>
      </c>
      <c r="AH46">
        <f t="shared" si="9"/>
        <v>506.4497087106385</v>
      </c>
      <c r="AI46">
        <f t="shared" si="9"/>
        <v>454.60608976349624</v>
      </c>
      <c r="AJ46">
        <f t="shared" si="9"/>
        <v>266.95448741353545</v>
      </c>
      <c r="AK46">
        <f t="shared" si="9"/>
        <v>357.85686355779404</v>
      </c>
      <c r="AL46">
        <f t="shared" si="9"/>
        <v>299.2056517337632</v>
      </c>
    </row>
    <row r="47" spans="1:38">
      <c r="C47" t="s">
        <v>66</v>
      </c>
      <c r="G47">
        <f>H39/60</f>
        <v>6.666666666666667</v>
      </c>
      <c r="U47" s="17">
        <v>8</v>
      </c>
      <c r="V47">
        <f t="shared" si="10"/>
        <v>299.18469658294089</v>
      </c>
      <c r="W47">
        <f t="shared" si="9"/>
        <v>273.11509923526529</v>
      </c>
      <c r="X47">
        <f t="shared" si="9"/>
        <v>228.93534948956807</v>
      </c>
      <c r="Y47">
        <f t="shared" si="9"/>
        <v>433.02117322658592</v>
      </c>
      <c r="Z47">
        <f t="shared" si="9"/>
        <v>21.968778976333269</v>
      </c>
      <c r="AA47">
        <f t="shared" si="9"/>
        <v>54.816916820998742</v>
      </c>
      <c r="AB47">
        <f t="shared" si="9"/>
        <v>127.04302098859857</v>
      </c>
      <c r="AC47">
        <f t="shared" si="9"/>
        <v>0</v>
      </c>
      <c r="AD47">
        <f t="shared" si="9"/>
        <v>63.794208341811625</v>
      </c>
      <c r="AE47">
        <f t="shared" si="9"/>
        <v>58.440074323805938</v>
      </c>
      <c r="AF47">
        <f t="shared" si="9"/>
        <v>194.30568622833704</v>
      </c>
      <c r="AG47">
        <f t="shared" si="9"/>
        <v>196.24129880676139</v>
      </c>
      <c r="AH47">
        <f t="shared" si="9"/>
        <v>401.34210495569926</v>
      </c>
      <c r="AI47">
        <f t="shared" si="9"/>
        <v>334.23445421028055</v>
      </c>
      <c r="AJ47">
        <f t="shared" si="9"/>
        <v>152.05756119461753</v>
      </c>
      <c r="AK47">
        <f t="shared" si="9"/>
        <v>255.62654057901639</v>
      </c>
      <c r="AL47">
        <f t="shared" si="9"/>
        <v>184.93928790034644</v>
      </c>
    </row>
    <row r="48" spans="1:38">
      <c r="C48" t="s">
        <v>67</v>
      </c>
      <c r="G48">
        <f>SUM(D29:D32)/D39</f>
        <v>0.27820295838853043</v>
      </c>
      <c r="U48" s="17">
        <v>9</v>
      </c>
      <c r="V48">
        <f t="shared" si="10"/>
        <v>294.34674965435448</v>
      </c>
      <c r="W48">
        <f t="shared" si="9"/>
        <v>263.58393767409399</v>
      </c>
      <c r="X48">
        <f t="shared" si="9"/>
        <v>219.64957303895184</v>
      </c>
      <c r="Y48">
        <f t="shared" si="9"/>
        <v>460.99990848306379</v>
      </c>
      <c r="Z48">
        <f t="shared" si="9"/>
        <v>46.120406617537434</v>
      </c>
      <c r="AA48">
        <f t="shared" si="9"/>
        <v>115.54084629340075</v>
      </c>
      <c r="AB48">
        <f t="shared" si="9"/>
        <v>166.51786372548233</v>
      </c>
      <c r="AC48">
        <f t="shared" si="9"/>
        <v>63.794208341811625</v>
      </c>
      <c r="AD48">
        <f t="shared" si="9"/>
        <v>0</v>
      </c>
      <c r="AE48">
        <f t="shared" si="9"/>
        <v>90.664956666995778</v>
      </c>
      <c r="AF48">
        <f t="shared" si="9"/>
        <v>234.26543137137057</v>
      </c>
      <c r="AG48">
        <f t="shared" si="9"/>
        <v>244.21262443256944</v>
      </c>
      <c r="AH48">
        <f t="shared" si="9"/>
        <v>418.58691675179392</v>
      </c>
      <c r="AI48">
        <f t="shared" si="9"/>
        <v>333.91043574757589</v>
      </c>
      <c r="AJ48">
        <f t="shared" si="9"/>
        <v>100.53876287995733</v>
      </c>
      <c r="AK48">
        <f t="shared" si="9"/>
        <v>196.03012242617947</v>
      </c>
      <c r="AL48">
        <f t="shared" si="9"/>
        <v>132.68848704068344</v>
      </c>
    </row>
    <row r="49" spans="3:38">
      <c r="C49" t="s">
        <v>68</v>
      </c>
      <c r="G49">
        <f>SUM(F29:F32)/F39</f>
        <v>0.32718059647601799</v>
      </c>
      <c r="U49" s="17">
        <v>10</v>
      </c>
      <c r="V49">
        <f t="shared" si="10"/>
        <v>243.58872607986012</v>
      </c>
      <c r="W49">
        <f t="shared" si="9"/>
        <v>219.53121870866028</v>
      </c>
      <c r="X49">
        <f t="shared" si="9"/>
        <v>176.13361760590169</v>
      </c>
      <c r="Y49">
        <f t="shared" si="9"/>
        <v>377.39239285121079</v>
      </c>
      <c r="Z49">
        <f t="shared" si="9"/>
        <v>53.252802281154523</v>
      </c>
      <c r="AA49">
        <f t="shared" si="9"/>
        <v>55.115949607657363</v>
      </c>
      <c r="AB49">
        <f t="shared" si="9"/>
        <v>178.79249083232051</v>
      </c>
      <c r="AC49">
        <f t="shared" si="9"/>
        <v>58.440074323805938</v>
      </c>
      <c r="AD49">
        <f t="shared" si="9"/>
        <v>90.664956666995778</v>
      </c>
      <c r="AE49">
        <f t="shared" si="9"/>
        <v>0</v>
      </c>
      <c r="AF49">
        <f t="shared" si="9"/>
        <v>144.14840241197871</v>
      </c>
      <c r="AG49">
        <f t="shared" si="9"/>
        <v>238.93956076898073</v>
      </c>
      <c r="AH49">
        <f t="shared" si="9"/>
        <v>343.23800472175236</v>
      </c>
      <c r="AI49">
        <f t="shared" si="9"/>
        <v>277.19471876766289</v>
      </c>
      <c r="AJ49">
        <f t="shared" si="9"/>
        <v>140.34652822183338</v>
      </c>
      <c r="AK49">
        <f t="shared" si="9"/>
        <v>249.56439084237218</v>
      </c>
      <c r="AL49">
        <f t="shared" si="9"/>
        <v>170.59544177993732</v>
      </c>
    </row>
    <row r="50" spans="3:38">
      <c r="U50" s="17">
        <v>11</v>
      </c>
      <c r="V50">
        <f t="shared" si="10"/>
        <v>203.00393542072791</v>
      </c>
      <c r="W50">
        <f t="shared" si="9"/>
        <v>200.11373184634655</v>
      </c>
      <c r="X50">
        <f t="shared" si="9"/>
        <v>175.53810902631469</v>
      </c>
      <c r="Y50">
        <f t="shared" si="9"/>
        <v>243.50268764516565</v>
      </c>
      <c r="Z50">
        <f t="shared" si="9"/>
        <v>196.18586926043142</v>
      </c>
      <c r="AA50">
        <f t="shared" si="9"/>
        <v>150.6555634966613</v>
      </c>
      <c r="AB50">
        <f t="shared" si="9"/>
        <v>281.09763747137629</v>
      </c>
      <c r="AC50">
        <f t="shared" si="9"/>
        <v>194.30568622833704</v>
      </c>
      <c r="AD50">
        <f t="shared" si="9"/>
        <v>234.26543137137054</v>
      </c>
      <c r="AE50">
        <f t="shared" si="9"/>
        <v>144.14840241197871</v>
      </c>
      <c r="AF50">
        <f t="shared" si="9"/>
        <v>0</v>
      </c>
      <c r="AG50">
        <f t="shared" si="9"/>
        <v>310.40995171196965</v>
      </c>
      <c r="AH50">
        <f t="shared" si="9"/>
        <v>229.52406256746684</v>
      </c>
      <c r="AI50">
        <f t="shared" si="9"/>
        <v>215.60524896378325</v>
      </c>
      <c r="AJ50">
        <f t="shared" si="9"/>
        <v>253.90774206554252</v>
      </c>
      <c r="AK50">
        <f t="shared" si="9"/>
        <v>355.60542381889445</v>
      </c>
      <c r="AL50">
        <f t="shared" si="9"/>
        <v>274.98992588644165</v>
      </c>
    </row>
    <row r="51" spans="3:38">
      <c r="U51" s="17">
        <v>12</v>
      </c>
      <c r="V51">
        <f t="shared" si="10"/>
        <v>476.53795812918798</v>
      </c>
      <c r="W51">
        <f t="shared" si="9"/>
        <v>456.11462948302585</v>
      </c>
      <c r="X51">
        <f t="shared" si="9"/>
        <v>413.86441663557724</v>
      </c>
      <c r="Y51">
        <f t="shared" si="9"/>
        <v>545.19424297983869</v>
      </c>
      <c r="Z51">
        <f t="shared" si="9"/>
        <v>217.34893875517614</v>
      </c>
      <c r="AA51">
        <f t="shared" si="9"/>
        <v>187.93059434003794</v>
      </c>
      <c r="AB51">
        <f t="shared" si="9"/>
        <v>80.985227741250185</v>
      </c>
      <c r="AC51">
        <f t="shared" si="9"/>
        <v>196.24129880676139</v>
      </c>
      <c r="AD51">
        <f t="shared" si="9"/>
        <v>244.21262443256944</v>
      </c>
      <c r="AE51">
        <f t="shared" si="9"/>
        <v>238.93956076898073</v>
      </c>
      <c r="AF51">
        <f t="shared" si="9"/>
        <v>310.40995171196965</v>
      </c>
      <c r="AG51">
        <f t="shared" si="9"/>
        <v>0</v>
      </c>
      <c r="AH51">
        <f t="shared" si="9"/>
        <v>539.93396275766452</v>
      </c>
      <c r="AI51">
        <f t="shared" si="9"/>
        <v>504.71867173682426</v>
      </c>
      <c r="AJ51">
        <f t="shared" si="9"/>
        <v>343.71766130424044</v>
      </c>
      <c r="AK51">
        <f t="shared" si="9"/>
        <v>437.85195352068683</v>
      </c>
      <c r="AL51">
        <f t="shared" si="9"/>
        <v>376.39033374729303</v>
      </c>
    </row>
    <row r="52" spans="3:38">
      <c r="U52" s="17">
        <v>13</v>
      </c>
      <c r="V52">
        <f t="shared" si="10"/>
        <v>166.24766329420825</v>
      </c>
      <c r="W52">
        <f t="shared" si="9"/>
        <v>199.21786127021554</v>
      </c>
      <c r="X52">
        <f t="shared" si="9"/>
        <v>225.40989687633373</v>
      </c>
      <c r="Y52">
        <f t="shared" si="9"/>
        <v>85.530866119049492</v>
      </c>
      <c r="Z52">
        <f t="shared" si="9"/>
        <v>394.82939421009377</v>
      </c>
      <c r="AA52">
        <f t="shared" si="9"/>
        <v>370.49370442246158</v>
      </c>
      <c r="AB52">
        <f t="shared" si="9"/>
        <v>506.44970871063845</v>
      </c>
      <c r="AC52">
        <f t="shared" si="9"/>
        <v>401.34210495569926</v>
      </c>
      <c r="AD52">
        <f t="shared" si="9"/>
        <v>418.58691675179392</v>
      </c>
      <c r="AE52">
        <f t="shared" si="9"/>
        <v>343.23800472175242</v>
      </c>
      <c r="AF52">
        <f t="shared" si="9"/>
        <v>229.52406256746684</v>
      </c>
      <c r="AG52">
        <f t="shared" si="9"/>
        <v>539.93396275766452</v>
      </c>
      <c r="AH52">
        <f t="shared" si="9"/>
        <v>0</v>
      </c>
      <c r="AI52">
        <f t="shared" si="9"/>
        <v>127.9721607205676</v>
      </c>
      <c r="AJ52">
        <f t="shared" si="9"/>
        <v>385.50102343587747</v>
      </c>
      <c r="AK52">
        <f t="shared" si="9"/>
        <v>449.4287392065018</v>
      </c>
      <c r="AL52">
        <f t="shared" si="9"/>
        <v>388.07023356065002</v>
      </c>
    </row>
    <row r="53" spans="3:38">
      <c r="U53" s="17">
        <v>14</v>
      </c>
      <c r="V53">
        <f t="shared" si="10"/>
        <v>43.627434418712667</v>
      </c>
      <c r="W53">
        <f t="shared" si="9"/>
        <v>79.03822260954027</v>
      </c>
      <c r="X53">
        <f t="shared" si="9"/>
        <v>117.05948454950837</v>
      </c>
      <c r="Y53">
        <f t="shared" si="9"/>
        <v>209.16282830150311</v>
      </c>
      <c r="Z53">
        <f t="shared" si="9"/>
        <v>321.85836784012554</v>
      </c>
      <c r="AA53">
        <f t="shared" si="9"/>
        <v>319.2524065418915</v>
      </c>
      <c r="AB53">
        <f t="shared" si="9"/>
        <v>454.60608976349624</v>
      </c>
      <c r="AC53">
        <f t="shared" si="9"/>
        <v>334.23445421028055</v>
      </c>
      <c r="AD53">
        <f t="shared" si="9"/>
        <v>333.91043574757589</v>
      </c>
      <c r="AE53">
        <f t="shared" si="9"/>
        <v>277.19471876766289</v>
      </c>
      <c r="AF53">
        <f t="shared" si="9"/>
        <v>215.60524896378325</v>
      </c>
      <c r="AG53">
        <f t="shared" si="9"/>
        <v>504.71867173682426</v>
      </c>
      <c r="AH53">
        <f t="shared" si="9"/>
        <v>127.9721607205676</v>
      </c>
      <c r="AI53">
        <f t="shared" si="9"/>
        <v>0</v>
      </c>
      <c r="AJ53">
        <f t="shared" si="9"/>
        <v>279.11449624635367</v>
      </c>
      <c r="AK53">
        <f t="shared" si="9"/>
        <v>328.16830545471561</v>
      </c>
      <c r="AL53">
        <f t="shared" si="9"/>
        <v>275.07923904373905</v>
      </c>
    </row>
    <row r="54" spans="3:38">
      <c r="U54" s="17">
        <v>15</v>
      </c>
      <c r="V54">
        <f t="shared" si="10"/>
        <v>235.9205617282789</v>
      </c>
      <c r="W54">
        <f t="shared" si="9"/>
        <v>201.14756751767686</v>
      </c>
      <c r="X54">
        <f t="shared" si="9"/>
        <v>163.05880626550467</v>
      </c>
      <c r="Y54">
        <f t="shared" si="9"/>
        <v>443.65343531531403</v>
      </c>
      <c r="Z54">
        <f t="shared" si="9"/>
        <v>130.10141514607648</v>
      </c>
      <c r="AA54">
        <f t="shared" si="9"/>
        <v>189.22843379725697</v>
      </c>
      <c r="AB54">
        <f t="shared" si="9"/>
        <v>266.95448741353545</v>
      </c>
      <c r="AC54">
        <f t="shared" si="9"/>
        <v>152.05756119461753</v>
      </c>
      <c r="AD54">
        <f t="shared" si="9"/>
        <v>100.53876287995733</v>
      </c>
      <c r="AE54">
        <f t="shared" si="9"/>
        <v>140.34652822183338</v>
      </c>
      <c r="AF54">
        <f t="shared" si="9"/>
        <v>253.90774206554249</v>
      </c>
      <c r="AG54">
        <f t="shared" si="9"/>
        <v>343.71766130424044</v>
      </c>
      <c r="AH54">
        <f t="shared" si="9"/>
        <v>385.50102343587753</v>
      </c>
      <c r="AI54">
        <f t="shared" si="9"/>
        <v>279.11449624635367</v>
      </c>
      <c r="AJ54">
        <f t="shared" si="9"/>
        <v>0</v>
      </c>
      <c r="AK54">
        <f t="shared" si="9"/>
        <v>109.24350736136221</v>
      </c>
      <c r="AL54">
        <f t="shared" si="9"/>
        <v>32.923290655312897</v>
      </c>
    </row>
    <row r="55" spans="3:38">
      <c r="U55" s="17">
        <v>16</v>
      </c>
      <c r="V55">
        <f t="shared" si="10"/>
        <v>285.48610254472004</v>
      </c>
      <c r="W55">
        <f t="shared" si="9"/>
        <v>250.88589035856424</v>
      </c>
      <c r="X55">
        <f t="shared" si="9"/>
        <v>226.64433982944459</v>
      </c>
      <c r="Y55">
        <f t="shared" si="9"/>
        <v>518.33181927135797</v>
      </c>
      <c r="Z55">
        <f t="shared" si="9"/>
        <v>234.17453202587953</v>
      </c>
      <c r="AA55">
        <f t="shared" si="9"/>
        <v>297.2839405593038</v>
      </c>
      <c r="AB55">
        <f t="shared" si="9"/>
        <v>357.85686355779404</v>
      </c>
      <c r="AC55">
        <f t="shared" si="9"/>
        <v>255.62654057901639</v>
      </c>
      <c r="AD55">
        <f t="shared" si="9"/>
        <v>196.03012242617947</v>
      </c>
      <c r="AE55">
        <f t="shared" si="9"/>
        <v>249.56439084237218</v>
      </c>
      <c r="AF55">
        <f t="shared" si="9"/>
        <v>355.60542381889445</v>
      </c>
      <c r="AG55">
        <f t="shared" si="9"/>
        <v>437.85195352068683</v>
      </c>
      <c r="AH55">
        <f t="shared" si="9"/>
        <v>449.42873920650186</v>
      </c>
      <c r="AI55">
        <f t="shared" si="9"/>
        <v>328.16830545471561</v>
      </c>
      <c r="AJ55">
        <f t="shared" si="9"/>
        <v>109.24350736136221</v>
      </c>
      <c r="AK55">
        <f t="shared" si="9"/>
        <v>0</v>
      </c>
      <c r="AL55">
        <f t="shared" ref="AL55:AL56" si="11">S18*S$20</f>
        <v>81.447413962744818</v>
      </c>
    </row>
    <row r="56" spans="3:38" ht="15" thickBot="1">
      <c r="U56" s="19">
        <v>17</v>
      </c>
      <c r="V56">
        <f t="shared" si="10"/>
        <v>231.45532036128384</v>
      </c>
      <c r="W56">
        <f t="shared" si="10"/>
        <v>196.0671434542468</v>
      </c>
      <c r="X56">
        <f t="shared" si="10"/>
        <v>162.77018054803818</v>
      </c>
      <c r="Y56">
        <f t="shared" si="10"/>
        <v>450.94909994727897</v>
      </c>
      <c r="Z56">
        <f t="shared" si="10"/>
        <v>162.97627457082967</v>
      </c>
      <c r="AA56">
        <f t="shared" si="10"/>
        <v>220.9492048306588</v>
      </c>
      <c r="AB56">
        <f t="shared" si="10"/>
        <v>299.2056517337632</v>
      </c>
      <c r="AC56">
        <f t="shared" si="10"/>
        <v>184.93928790034644</v>
      </c>
      <c r="AD56">
        <f t="shared" si="10"/>
        <v>132.68848704068344</v>
      </c>
      <c r="AE56">
        <f t="shared" si="10"/>
        <v>170.59544177993732</v>
      </c>
      <c r="AF56">
        <f t="shared" si="10"/>
        <v>274.98992588644165</v>
      </c>
      <c r="AG56">
        <f t="shared" si="10"/>
        <v>376.39033374729303</v>
      </c>
      <c r="AH56">
        <f t="shared" si="10"/>
        <v>388.07023356065002</v>
      </c>
      <c r="AI56">
        <f t="shared" si="10"/>
        <v>275.07923904373905</v>
      </c>
      <c r="AJ56">
        <f t="shared" si="10"/>
        <v>32.923290655312897</v>
      </c>
      <c r="AK56">
        <f t="shared" si="10"/>
        <v>81.447413962744832</v>
      </c>
      <c r="AL56">
        <f t="shared" si="11"/>
        <v>0</v>
      </c>
    </row>
  </sheetData>
  <conditionalFormatting sqref="C22:C38">
    <cfRule type="expression" dxfId="0" priority="1">
      <formula>MATCH(C22,$M$22:$M$30,0)</formula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1</vt:i4>
      </vt:variant>
    </vt:vector>
  </HeadingPairs>
  <TitlesOfParts>
    <vt:vector size="11" baseType="lpstr">
      <vt:lpstr>Map</vt:lpstr>
      <vt:lpstr>DL</vt:lpstr>
      <vt:lpstr>DLFP</vt:lpstr>
      <vt:lpstr>coord</vt:lpstr>
      <vt:lpstr>MK</vt:lpstr>
      <vt:lpstr>coordMK</vt:lpstr>
      <vt:lpstr>Scenario1-BestPath</vt:lpstr>
      <vt:lpstr>Scenario2-MinWalk</vt:lpstr>
      <vt:lpstr>Scenario3-MinWait</vt:lpstr>
      <vt:lpstr>Scenario4-Min35</vt:lpstr>
      <vt:lpstr>List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Jon Hager</dc:creator>
  <cp:lastModifiedBy>Jon Hager</cp:lastModifiedBy>
  <dcterms:created xsi:type="dcterms:W3CDTF">2018-04-19T20:15:55Z</dcterms:created>
  <dcterms:modified xsi:type="dcterms:W3CDTF">2018-12-19T00:21:55Z</dcterms:modified>
</cp:coreProperties>
</file>