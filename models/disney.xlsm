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8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9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0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1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29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isney\models\"/>
    </mc:Choice>
  </mc:AlternateContent>
  <xr:revisionPtr revIDLastSave="0" documentId="13_ncr:1_{F612EDB8-35B2-459D-A398-7BF2C8AF9171}" xr6:coauthVersionLast="40" xr6:coauthVersionMax="40" xr10:uidLastSave="{00000000-0000-0000-0000-000000000000}"/>
  <bookViews>
    <workbookView xWindow="0" yWindow="0" windowWidth="9570" windowHeight="8160" activeTab="3" xr2:uid="{DB4F13A7-DF27-4C70-A4B6-5A8B936D5FDF}"/>
  </bookViews>
  <sheets>
    <sheet name="DL" sheetId="1" r:id="rId1"/>
    <sheet name="DLFastPass" sheetId="2" state="hidden" r:id="rId2"/>
    <sheet name="coord" sheetId="4" state="hidden" r:id="rId3"/>
    <sheet name="ScenarioSummary" sheetId="19" r:id="rId4"/>
    <sheet name="Scenario1-BestPath" sheetId="7" r:id="rId5"/>
    <sheet name="Scenario2-MinWalk" sheetId="8" r:id="rId6"/>
    <sheet name="Scenario3-MinWait" sheetId="9" r:id="rId7"/>
    <sheet name="Scenario4-Min35" sheetId="10" r:id="rId8"/>
    <sheet name="MK" sheetId="5" r:id="rId9"/>
    <sheet name="MKScenario1-BestPath" sheetId="11" r:id="rId10"/>
    <sheet name="MKScenario2-MinWalk" sheetId="12" r:id="rId11"/>
    <sheet name="MKScenario3-MinWait" sheetId="13" r:id="rId12"/>
    <sheet name="MKScenario4-Min50" sheetId="14" r:id="rId13"/>
    <sheet name="coordMK" sheetId="6" state="hidden" r:id="rId14"/>
    <sheet name="Map" sheetId="3" state="hidden" r:id="rId15"/>
  </sheets>
  <functionGroups builtInGroupCount="19"/>
  <definedNames>
    <definedName name="List">DLFastPass!$M$22:$M$30</definedName>
    <definedName name="solver_adj" localSheetId="0" hidden="1">DL!$B$22:$B$38</definedName>
    <definedName name="solver_adj" localSheetId="1" hidden="1">DLFastPass!$B$22:$B$38</definedName>
    <definedName name="solver_adj" localSheetId="8" hidden="1">MK!$B$20:$B$34</definedName>
    <definedName name="solver_adj" localSheetId="9" hidden="1">'MKScenario1-BestPath'!$B$20:$B$34</definedName>
    <definedName name="solver_adj" localSheetId="10" hidden="1">'MKScenario2-MinWalk'!$B$20:$B$34</definedName>
    <definedName name="solver_adj" localSheetId="11" hidden="1">'MKScenario3-MinWait'!$B$20:$B$34</definedName>
    <definedName name="solver_adj" localSheetId="12" hidden="1">'MKScenario4-Min50'!$B$20:$B$34</definedName>
    <definedName name="solver_adj" localSheetId="4" hidden="1">'Scenario1-BestPath'!$B$22:$B$38</definedName>
    <definedName name="solver_adj" localSheetId="5" hidden="1">'Scenario2-MinWalk'!$B$22:$B$38</definedName>
    <definedName name="solver_adj" localSheetId="6" hidden="1">'Scenario3-MinWait'!$B$22:$B$38</definedName>
    <definedName name="solver_adj" localSheetId="7" hidden="1">'Scenario4-Min35'!$B$22:$B$38</definedName>
    <definedName name="solver_cvg" localSheetId="0" hidden="1">0.0001</definedName>
    <definedName name="solver_cvg" localSheetId="1" hidden="1">0.0001</definedName>
    <definedName name="solver_cvg" localSheetId="8" hidden="1">0.0001</definedName>
    <definedName name="solver_cvg" localSheetId="9" hidden="1">0.0001</definedName>
    <definedName name="solver_cvg" localSheetId="10" hidden="1">0.0001</definedName>
    <definedName name="solver_cvg" localSheetId="11" hidden="1">0.0001</definedName>
    <definedName name="solver_cvg" localSheetId="12" hidden="1">0.0001</definedName>
    <definedName name="solver_cvg" localSheetId="4" hidden="1">0.0001</definedName>
    <definedName name="solver_cvg" localSheetId="5" hidden="1">0.0001</definedName>
    <definedName name="solver_cvg" localSheetId="6" hidden="1">0.0001</definedName>
    <definedName name="solver_cvg" localSheetId="7" hidden="1">0.0001</definedName>
    <definedName name="solver_drv" localSheetId="0" hidden="1">2</definedName>
    <definedName name="solver_drv" localSheetId="1" hidden="1">2</definedName>
    <definedName name="solver_drv" localSheetId="8" hidden="1">1</definedName>
    <definedName name="solver_drv" localSheetId="9" hidden="1">1</definedName>
    <definedName name="solver_drv" localSheetId="10" hidden="1">2</definedName>
    <definedName name="solver_drv" localSheetId="11" hidden="1">1</definedName>
    <definedName name="solver_drv" localSheetId="12" hidden="1">1</definedName>
    <definedName name="solver_drv" localSheetId="4" hidden="1">2</definedName>
    <definedName name="solver_drv" localSheetId="5" hidden="1">1</definedName>
    <definedName name="solver_drv" localSheetId="6" hidden="1">2</definedName>
    <definedName name="solver_drv" localSheetId="7" hidden="1">1</definedName>
    <definedName name="solver_eng" localSheetId="0" hidden="1">3</definedName>
    <definedName name="solver_eng" localSheetId="1" hidden="1">3</definedName>
    <definedName name="solver_eng" localSheetId="8" hidden="1">3</definedName>
    <definedName name="solver_eng" localSheetId="9" hidden="1">3</definedName>
    <definedName name="solver_eng" localSheetId="10" hidden="1">3</definedName>
    <definedName name="solver_eng" localSheetId="11" hidden="1">3</definedName>
    <definedName name="solver_eng" localSheetId="12" hidden="1">3</definedName>
    <definedName name="solver_eng" localSheetId="4" hidden="1">3</definedName>
    <definedName name="solver_eng" localSheetId="5" hidden="1">3</definedName>
    <definedName name="solver_eng" localSheetId="6" hidden="1">3</definedName>
    <definedName name="solver_eng" localSheetId="7" hidden="1">3</definedName>
    <definedName name="solver_est" localSheetId="0" hidden="1">1</definedName>
    <definedName name="solver_est" localSheetId="1" hidden="1">1</definedName>
    <definedName name="solver_est" localSheetId="8" hidden="1">1</definedName>
    <definedName name="solver_est" localSheetId="9" hidden="1">1</definedName>
    <definedName name="solver_est" localSheetId="10" hidden="1">1</definedName>
    <definedName name="solver_est" localSheetId="11" hidden="1">1</definedName>
    <definedName name="solver_est" localSheetId="12" hidden="1">1</definedName>
    <definedName name="solver_est" localSheetId="4" hidden="1">1</definedName>
    <definedName name="solver_est" localSheetId="5" hidden="1">1</definedName>
    <definedName name="solver_est" localSheetId="6" hidden="1">1</definedName>
    <definedName name="solver_est" localSheetId="7" hidden="1">1</definedName>
    <definedName name="solver_itr" localSheetId="0" hidden="1">1000</definedName>
    <definedName name="solver_itr" localSheetId="1" hidden="1">1000</definedName>
    <definedName name="solver_itr" localSheetId="8" hidden="1">2147483647</definedName>
    <definedName name="solver_itr" localSheetId="9" hidden="1">2147483647</definedName>
    <definedName name="solver_itr" localSheetId="10" hidden="1">2147483647</definedName>
    <definedName name="solver_itr" localSheetId="11" hidden="1">2147483647</definedName>
    <definedName name="solver_itr" localSheetId="12" hidden="1">2147483647</definedName>
    <definedName name="solver_itr" localSheetId="4" hidden="1">2147483647</definedName>
    <definedName name="solver_itr" localSheetId="5" hidden="1">2147483647</definedName>
    <definedName name="solver_itr" localSheetId="6" hidden="1">2147483647</definedName>
    <definedName name="solver_itr" localSheetId="7" hidden="1">2147483647</definedName>
    <definedName name="solver_lhs1" localSheetId="0" hidden="1">DL!$B$22:$B$38</definedName>
    <definedName name="solver_lhs1" localSheetId="1" hidden="1">DLFastPass!$B$22:$B$38</definedName>
    <definedName name="solver_lhs1" localSheetId="8" hidden="1">MK!$B$20:$B$34</definedName>
    <definedName name="solver_lhs1" localSheetId="9" hidden="1">'MKScenario1-BestPath'!$B$20:$B$34</definedName>
    <definedName name="solver_lhs1" localSheetId="10" hidden="1">'MKScenario2-MinWalk'!$B$20:$B$34</definedName>
    <definedName name="solver_lhs1" localSheetId="11" hidden="1">'MKScenario3-MinWait'!$B$20:$B$34</definedName>
    <definedName name="solver_lhs1" localSheetId="12" hidden="1">'MKScenario4-Min50'!$B$20:$B$34</definedName>
    <definedName name="solver_lhs1" localSheetId="4" hidden="1">'Scenario1-BestPath'!$B$22:$B$38</definedName>
    <definedName name="solver_lhs1" localSheetId="5" hidden="1">'Scenario2-MinWalk'!$B$22:$B$38</definedName>
    <definedName name="solver_lhs1" localSheetId="6" hidden="1">'Scenario3-MinWait'!$B$22:$B$38</definedName>
    <definedName name="solver_lhs1" localSheetId="7" hidden="1">'Scenario4-Min35'!$B$22:$B$38</definedName>
    <definedName name="solver_lhs2" localSheetId="0" hidden="1">DL!$H$22:$H$38</definedName>
    <definedName name="solver_lhs2" localSheetId="1" hidden="1">DLFastPass!$B$30</definedName>
    <definedName name="solver_lhs2" localSheetId="8" hidden="1">MK!$H$20:$H$34</definedName>
    <definedName name="solver_lhs2" localSheetId="12" hidden="1">'MKScenario4-Min50'!$H$20:$H$34</definedName>
    <definedName name="solver_lhs2" localSheetId="7" hidden="1">'Scenario4-Min35'!$H$22:$H$38</definedName>
    <definedName name="solver_lhs3" localSheetId="0" hidden="1">DL!$B$24</definedName>
    <definedName name="solver_lhs3" localSheetId="1" hidden="1">DLFastPass!$B$30</definedName>
    <definedName name="solver_lhs4" localSheetId="0" hidden="1">DL!$B$25</definedName>
    <definedName name="solver_lhs4" localSheetId="1" hidden="1">DLFastPass!$B$31</definedName>
    <definedName name="solver_lhs5" localSheetId="0" hidden="1">DL!$B$26</definedName>
    <definedName name="solver_lhs5" localSheetId="1" hidden="1">DLFastPass!$B$32</definedName>
    <definedName name="solver_lhs6" localSheetId="0" hidden="1">DL!#REF!</definedName>
    <definedName name="solver_lhs6" localSheetId="1" hidden="1">DLFastPass!#REF!</definedName>
    <definedName name="solver_mip" localSheetId="0" hidden="1">2147483647</definedName>
    <definedName name="solver_mip" localSheetId="1" hidden="1">2147483647</definedName>
    <definedName name="solver_mip" localSheetId="8" hidden="1">2147483647</definedName>
    <definedName name="solver_mip" localSheetId="9" hidden="1">2147483647</definedName>
    <definedName name="solver_mip" localSheetId="10" hidden="1">2147483647</definedName>
    <definedName name="solver_mip" localSheetId="11" hidden="1">2147483647</definedName>
    <definedName name="solver_mip" localSheetId="12" hidden="1">2147483647</definedName>
    <definedName name="solver_mip" localSheetId="4" hidden="1">2147483647</definedName>
    <definedName name="solver_mip" localSheetId="5" hidden="1">2147483647</definedName>
    <definedName name="solver_mip" localSheetId="6" hidden="1">2147483647</definedName>
    <definedName name="solver_mip" localSheetId="7" hidden="1">2147483647</definedName>
    <definedName name="solver_mni" localSheetId="0" hidden="1">30</definedName>
    <definedName name="solver_mni" localSheetId="1" hidden="1">30</definedName>
    <definedName name="solver_mni" localSheetId="8" hidden="1">30</definedName>
    <definedName name="solver_mni" localSheetId="9" hidden="1">30</definedName>
    <definedName name="solver_mni" localSheetId="10" hidden="1">30</definedName>
    <definedName name="solver_mni" localSheetId="11" hidden="1">30</definedName>
    <definedName name="solver_mni" localSheetId="12" hidden="1">30</definedName>
    <definedName name="solver_mni" localSheetId="4" hidden="1">30</definedName>
    <definedName name="solver_mni" localSheetId="5" hidden="1">30</definedName>
    <definedName name="solver_mni" localSheetId="6" hidden="1">30</definedName>
    <definedName name="solver_mni" localSheetId="7" hidden="1">30</definedName>
    <definedName name="solver_mrt" localSheetId="0" hidden="1">0.075</definedName>
    <definedName name="solver_mrt" localSheetId="1" hidden="1">0.075</definedName>
    <definedName name="solver_mrt" localSheetId="8" hidden="1">0.075</definedName>
    <definedName name="solver_mrt" localSheetId="9" hidden="1">0.075</definedName>
    <definedName name="solver_mrt" localSheetId="10" hidden="1">0.075</definedName>
    <definedName name="solver_mrt" localSheetId="11" hidden="1">0.075</definedName>
    <definedName name="solver_mrt" localSheetId="12" hidden="1">0.075</definedName>
    <definedName name="solver_mrt" localSheetId="4" hidden="1">0.075</definedName>
    <definedName name="solver_mrt" localSheetId="5" hidden="1">0.075</definedName>
    <definedName name="solver_mrt" localSheetId="6" hidden="1">0.075</definedName>
    <definedName name="solver_mrt" localSheetId="7" hidden="1">0.075</definedName>
    <definedName name="solver_msl" localSheetId="0" hidden="1">2</definedName>
    <definedName name="solver_msl" localSheetId="1" hidden="1">2</definedName>
    <definedName name="solver_msl" localSheetId="8" hidden="1">2</definedName>
    <definedName name="solver_msl" localSheetId="9" hidden="1">2</definedName>
    <definedName name="solver_msl" localSheetId="10" hidden="1">2</definedName>
    <definedName name="solver_msl" localSheetId="11" hidden="1">2</definedName>
    <definedName name="solver_msl" localSheetId="12" hidden="1">2</definedName>
    <definedName name="solver_msl" localSheetId="4" hidden="1">2</definedName>
    <definedName name="solver_msl" localSheetId="5" hidden="1">2</definedName>
    <definedName name="solver_msl" localSheetId="6" hidden="1">2</definedName>
    <definedName name="solver_msl" localSheetId="7" hidden="1">2</definedName>
    <definedName name="solver_neg" localSheetId="0" hidden="1">1</definedName>
    <definedName name="solver_neg" localSheetId="1" hidden="1">1</definedName>
    <definedName name="solver_neg" localSheetId="8" hidden="1">1</definedName>
    <definedName name="solver_neg" localSheetId="9" hidden="1">1</definedName>
    <definedName name="solver_neg" localSheetId="10" hidden="1">1</definedName>
    <definedName name="solver_neg" localSheetId="11" hidden="1">1</definedName>
    <definedName name="solver_neg" localSheetId="12" hidden="1">1</definedName>
    <definedName name="solver_neg" localSheetId="4" hidden="1">1</definedName>
    <definedName name="solver_neg" localSheetId="5" hidden="1">1</definedName>
    <definedName name="solver_neg" localSheetId="6" hidden="1">1</definedName>
    <definedName name="solver_neg" localSheetId="7" hidden="1">1</definedName>
    <definedName name="solver_nod" localSheetId="0" hidden="1">2147483647</definedName>
    <definedName name="solver_nod" localSheetId="1" hidden="1">2147483647</definedName>
    <definedName name="solver_nod" localSheetId="8" hidden="1">2147483647</definedName>
    <definedName name="solver_nod" localSheetId="9" hidden="1">2147483647</definedName>
    <definedName name="solver_nod" localSheetId="10" hidden="1">2147483647</definedName>
    <definedName name="solver_nod" localSheetId="11" hidden="1">2147483647</definedName>
    <definedName name="solver_nod" localSheetId="12" hidden="1">2147483647</definedName>
    <definedName name="solver_nod" localSheetId="4" hidden="1">2147483647</definedName>
    <definedName name="solver_nod" localSheetId="5" hidden="1">2147483647</definedName>
    <definedName name="solver_nod" localSheetId="6" hidden="1">2147483647</definedName>
    <definedName name="solver_nod" localSheetId="7" hidden="1">2147483647</definedName>
    <definedName name="solver_num" localSheetId="0" hidden="1">1</definedName>
    <definedName name="solver_num" localSheetId="1" hidden="1">1</definedName>
    <definedName name="solver_num" localSheetId="8" hidden="1">2</definedName>
    <definedName name="solver_num" localSheetId="9" hidden="1">1</definedName>
    <definedName name="solver_num" localSheetId="10" hidden="1">1</definedName>
    <definedName name="solver_num" localSheetId="11" hidden="1">1</definedName>
    <definedName name="solver_num" localSheetId="12" hidden="1">2</definedName>
    <definedName name="solver_num" localSheetId="4" hidden="1">1</definedName>
    <definedName name="solver_num" localSheetId="5" hidden="1">1</definedName>
    <definedName name="solver_num" localSheetId="6" hidden="1">1</definedName>
    <definedName name="solver_num" localSheetId="7" hidden="1">2</definedName>
    <definedName name="solver_nwt" localSheetId="0" hidden="1">1</definedName>
    <definedName name="solver_nwt" localSheetId="1" hidden="1">1</definedName>
    <definedName name="solver_nwt" localSheetId="8" hidden="1">1</definedName>
    <definedName name="solver_nwt" localSheetId="9" hidden="1">1</definedName>
    <definedName name="solver_nwt" localSheetId="10" hidden="1">1</definedName>
    <definedName name="solver_nwt" localSheetId="11" hidden="1">1</definedName>
    <definedName name="solver_nwt" localSheetId="12" hidden="1">1</definedName>
    <definedName name="solver_nwt" localSheetId="4" hidden="1">1</definedName>
    <definedName name="solver_nwt" localSheetId="5" hidden="1">1</definedName>
    <definedName name="solver_nwt" localSheetId="6" hidden="1">1</definedName>
    <definedName name="solver_nwt" localSheetId="7" hidden="1">1</definedName>
    <definedName name="solver_opt" localSheetId="0" hidden="1">DL!$H$42</definedName>
    <definedName name="solver_opt" localSheetId="1" hidden="1">DLFastPass!$H$42</definedName>
    <definedName name="solver_opt" localSheetId="8" hidden="1">MK!$H$38</definedName>
    <definedName name="solver_opt" localSheetId="9" hidden="1">'MKScenario1-BestPath'!$H$38</definedName>
    <definedName name="solver_opt" localSheetId="10" hidden="1">'MKScenario2-MinWalk'!$H$38</definedName>
    <definedName name="solver_opt" localSheetId="11" hidden="1">'MKScenario3-MinWait'!$H$38</definedName>
    <definedName name="solver_opt" localSheetId="12" hidden="1">'MKScenario4-Min50'!$H$38</definedName>
    <definedName name="solver_opt" localSheetId="4" hidden="1">'Scenario1-BestPath'!$H$42</definedName>
    <definedName name="solver_opt" localSheetId="5" hidden="1">'Scenario2-MinWalk'!$H$42</definedName>
    <definedName name="solver_opt" localSheetId="6" hidden="1">'Scenario3-MinWait'!$H$42</definedName>
    <definedName name="solver_opt" localSheetId="7" hidden="1">'Scenario4-Min35'!$H$42</definedName>
    <definedName name="solver_pre" localSheetId="0" hidden="1">0.000001</definedName>
    <definedName name="solver_pre" localSheetId="1" hidden="1">0.000001</definedName>
    <definedName name="solver_pre" localSheetId="8" hidden="1">0.000001</definedName>
    <definedName name="solver_pre" localSheetId="9" hidden="1">0.000001</definedName>
    <definedName name="solver_pre" localSheetId="10" hidden="1">0.000001</definedName>
    <definedName name="solver_pre" localSheetId="11" hidden="1">0.000001</definedName>
    <definedName name="solver_pre" localSheetId="12" hidden="1">0.000001</definedName>
    <definedName name="solver_pre" localSheetId="4" hidden="1">0.000001</definedName>
    <definedName name="solver_pre" localSheetId="5" hidden="1">0.000001</definedName>
    <definedName name="solver_pre" localSheetId="6" hidden="1">0.000001</definedName>
    <definedName name="solver_pre" localSheetId="7" hidden="1">0.000001</definedName>
    <definedName name="solver_rbv" localSheetId="0" hidden="1">2</definedName>
    <definedName name="solver_rbv" localSheetId="1" hidden="1">2</definedName>
    <definedName name="solver_rbv" localSheetId="8" hidden="1">1</definedName>
    <definedName name="solver_rbv" localSheetId="9" hidden="1">1</definedName>
    <definedName name="solver_rbv" localSheetId="10" hidden="1">2</definedName>
    <definedName name="solver_rbv" localSheetId="11" hidden="1">1</definedName>
    <definedName name="solver_rbv" localSheetId="12" hidden="1">1</definedName>
    <definedName name="solver_rbv" localSheetId="4" hidden="1">2</definedName>
    <definedName name="solver_rbv" localSheetId="5" hidden="1">1</definedName>
    <definedName name="solver_rbv" localSheetId="6" hidden="1">2</definedName>
    <definedName name="solver_rbv" localSheetId="7" hidden="1">1</definedName>
    <definedName name="solver_rel1" localSheetId="0" hidden="1">6</definedName>
    <definedName name="solver_rel1" localSheetId="1" hidden="1">6</definedName>
    <definedName name="solver_rel1" localSheetId="8" hidden="1">6</definedName>
    <definedName name="solver_rel1" localSheetId="9" hidden="1">6</definedName>
    <definedName name="solver_rel1" localSheetId="10" hidden="1">6</definedName>
    <definedName name="solver_rel1" localSheetId="11" hidden="1">6</definedName>
    <definedName name="solver_rel1" localSheetId="12" hidden="1">6</definedName>
    <definedName name="solver_rel1" localSheetId="4" hidden="1">6</definedName>
    <definedName name="solver_rel1" localSheetId="5" hidden="1">6</definedName>
    <definedName name="solver_rel1" localSheetId="6" hidden="1">6</definedName>
    <definedName name="solver_rel1" localSheetId="7" hidden="1">6</definedName>
    <definedName name="solver_rel2" localSheetId="0" hidden="1">1</definedName>
    <definedName name="solver_rel2" localSheetId="1" hidden="1">2</definedName>
    <definedName name="solver_rel2" localSheetId="8" hidden="1">1</definedName>
    <definedName name="solver_rel2" localSheetId="12" hidden="1">1</definedName>
    <definedName name="solver_rel2" localSheetId="7" hidden="1">1</definedName>
    <definedName name="solver_rel3" localSheetId="0" hidden="1">4</definedName>
    <definedName name="solver_rel3" localSheetId="1" hidden="1">2</definedName>
    <definedName name="solver_rel4" localSheetId="0" hidden="1">4</definedName>
    <definedName name="solver_rel4" localSheetId="1" hidden="1">2</definedName>
    <definedName name="solver_rel5" localSheetId="0" hidden="1">4</definedName>
    <definedName name="solver_rel5" localSheetId="1" hidden="1">2</definedName>
    <definedName name="solver_rel6" localSheetId="0" hidden="1">2</definedName>
    <definedName name="solver_rel6" localSheetId="1" hidden="1">2</definedName>
    <definedName name="solver_rhs1" localSheetId="0" hidden="1">AllDifferent</definedName>
    <definedName name="solver_rhs1" localSheetId="1" hidden="1">AllDifferent</definedName>
    <definedName name="solver_rhs1" localSheetId="8" hidden="1">AllDifferent</definedName>
    <definedName name="solver_rhs1" localSheetId="9" hidden="1">AllDifferent</definedName>
    <definedName name="solver_rhs1" localSheetId="10" hidden="1">AllDifferent</definedName>
    <definedName name="solver_rhs1" localSheetId="11" hidden="1">AllDifferent</definedName>
    <definedName name="solver_rhs1" localSheetId="12" hidden="1">AllDifferent</definedName>
    <definedName name="solver_rhs1" localSheetId="4" hidden="1">AllDifferent</definedName>
    <definedName name="solver_rhs1" localSheetId="5" hidden="1">AllDifferent</definedName>
    <definedName name="solver_rhs1" localSheetId="6" hidden="1">AllDifferent</definedName>
    <definedName name="solver_rhs1" localSheetId="7" hidden="1">AllDifferent</definedName>
    <definedName name="solver_rhs2" localSheetId="0" hidden="1">35</definedName>
    <definedName name="solver_rhs2" localSheetId="1" hidden="1">7</definedName>
    <definedName name="solver_rhs2" localSheetId="8" hidden="1">50</definedName>
    <definedName name="solver_rhs2" localSheetId="12" hidden="1">50</definedName>
    <definedName name="solver_rhs2" localSheetId="7" hidden="1">35</definedName>
    <definedName name="solver_rhs3" localSheetId="0" hidden="1">integer</definedName>
    <definedName name="solver_rhs3" localSheetId="1" hidden="1">7</definedName>
    <definedName name="solver_rhs4" localSheetId="0" hidden="1">integer</definedName>
    <definedName name="solver_rhs4" localSheetId="1" hidden="1">10</definedName>
    <definedName name="solver_rhs5" localSheetId="0" hidden="1">integer</definedName>
    <definedName name="solver_rhs5" localSheetId="1" hidden="1">12</definedName>
    <definedName name="solver_rhs6" localSheetId="0" hidden="1">15</definedName>
    <definedName name="solver_rhs6" localSheetId="1" hidden="1">15</definedName>
    <definedName name="solver_rlx" localSheetId="0" hidden="1">2</definedName>
    <definedName name="solver_rlx" localSheetId="1" hidden="1">2</definedName>
    <definedName name="solver_rlx" localSheetId="8" hidden="1">2</definedName>
    <definedName name="solver_rlx" localSheetId="9" hidden="1">2</definedName>
    <definedName name="solver_rlx" localSheetId="10" hidden="1">2</definedName>
    <definedName name="solver_rlx" localSheetId="11" hidden="1">2</definedName>
    <definedName name="solver_rlx" localSheetId="12" hidden="1">2</definedName>
    <definedName name="solver_rlx" localSheetId="4" hidden="1">2</definedName>
    <definedName name="solver_rlx" localSheetId="5" hidden="1">2</definedName>
    <definedName name="solver_rlx" localSheetId="6" hidden="1">2</definedName>
    <definedName name="solver_rlx" localSheetId="7" hidden="1">2</definedName>
    <definedName name="solver_rsd" localSheetId="0" hidden="1">0</definedName>
    <definedName name="solver_rsd" localSheetId="1" hidden="1">0</definedName>
    <definedName name="solver_rsd" localSheetId="8" hidden="1">0</definedName>
    <definedName name="solver_rsd" localSheetId="9" hidden="1">0</definedName>
    <definedName name="solver_rsd" localSheetId="10" hidden="1">0</definedName>
    <definedName name="solver_rsd" localSheetId="11" hidden="1">0</definedName>
    <definedName name="solver_rsd" localSheetId="12" hidden="1">0</definedName>
    <definedName name="solver_rsd" localSheetId="4" hidden="1">0</definedName>
    <definedName name="solver_rsd" localSheetId="5" hidden="1">0</definedName>
    <definedName name="solver_rsd" localSheetId="6" hidden="1">0</definedName>
    <definedName name="solver_rsd" localSheetId="7" hidden="1">0</definedName>
    <definedName name="solver_scl" localSheetId="0" hidden="1">2</definedName>
    <definedName name="solver_scl" localSheetId="1" hidden="1">2</definedName>
    <definedName name="solver_scl" localSheetId="8" hidden="1">1</definedName>
    <definedName name="solver_scl" localSheetId="9" hidden="1">1</definedName>
    <definedName name="solver_scl" localSheetId="10" hidden="1">2</definedName>
    <definedName name="solver_scl" localSheetId="11" hidden="1">1</definedName>
    <definedName name="solver_scl" localSheetId="12" hidden="1">1</definedName>
    <definedName name="solver_scl" localSheetId="4" hidden="1">2</definedName>
    <definedName name="solver_scl" localSheetId="5" hidden="1">1</definedName>
    <definedName name="solver_scl" localSheetId="6" hidden="1">2</definedName>
    <definedName name="solver_scl" localSheetId="7" hidden="1">1</definedName>
    <definedName name="solver_sho" localSheetId="0" hidden="1">2</definedName>
    <definedName name="solver_sho" localSheetId="1" hidden="1">2</definedName>
    <definedName name="solver_sho" localSheetId="8" hidden="1">2</definedName>
    <definedName name="solver_sho" localSheetId="9" hidden="1">2</definedName>
    <definedName name="solver_sho" localSheetId="10" hidden="1">2</definedName>
    <definedName name="solver_sho" localSheetId="11" hidden="1">2</definedName>
    <definedName name="solver_sho" localSheetId="12" hidden="1">2</definedName>
    <definedName name="solver_sho" localSheetId="4" hidden="1">2</definedName>
    <definedName name="solver_sho" localSheetId="5" hidden="1">2</definedName>
    <definedName name="solver_sho" localSheetId="6" hidden="1">2</definedName>
    <definedName name="solver_sho" localSheetId="7" hidden="1">2</definedName>
    <definedName name="solver_ssz" localSheetId="0" hidden="1">100</definedName>
    <definedName name="solver_ssz" localSheetId="1" hidden="1">100</definedName>
    <definedName name="solver_ssz" localSheetId="8" hidden="1">100</definedName>
    <definedName name="solver_ssz" localSheetId="9" hidden="1">100</definedName>
    <definedName name="solver_ssz" localSheetId="10" hidden="1">100</definedName>
    <definedName name="solver_ssz" localSheetId="11" hidden="1">100</definedName>
    <definedName name="solver_ssz" localSheetId="12" hidden="1">100</definedName>
    <definedName name="solver_ssz" localSheetId="4" hidden="1">100</definedName>
    <definedName name="solver_ssz" localSheetId="5" hidden="1">100</definedName>
    <definedName name="solver_ssz" localSheetId="6" hidden="1">100</definedName>
    <definedName name="solver_ssz" localSheetId="7" hidden="1">100</definedName>
    <definedName name="solver_tim" localSheetId="0" hidden="1">2147483647</definedName>
    <definedName name="solver_tim" localSheetId="1" hidden="1">2147483647</definedName>
    <definedName name="solver_tim" localSheetId="8" hidden="1">2147483647</definedName>
    <definedName name="solver_tim" localSheetId="9" hidden="1">2147483647</definedName>
    <definedName name="solver_tim" localSheetId="10" hidden="1">2147483647</definedName>
    <definedName name="solver_tim" localSheetId="11" hidden="1">2147483647</definedName>
    <definedName name="solver_tim" localSheetId="12" hidden="1">2147483647</definedName>
    <definedName name="solver_tim" localSheetId="4" hidden="1">2147483647</definedName>
    <definedName name="solver_tim" localSheetId="5" hidden="1">2147483647</definedName>
    <definedName name="solver_tim" localSheetId="6" hidden="1">2147483647</definedName>
    <definedName name="solver_tim" localSheetId="7" hidden="1">2147483647</definedName>
    <definedName name="solver_tol" localSheetId="0" hidden="1">0.01</definedName>
    <definedName name="solver_tol" localSheetId="1" hidden="1">0.01</definedName>
    <definedName name="solver_tol" localSheetId="8" hidden="1">0.01</definedName>
    <definedName name="solver_tol" localSheetId="9" hidden="1">0.01</definedName>
    <definedName name="solver_tol" localSheetId="10" hidden="1">0.01</definedName>
    <definedName name="solver_tol" localSheetId="11" hidden="1">0.01</definedName>
    <definedName name="solver_tol" localSheetId="12" hidden="1">0.01</definedName>
    <definedName name="solver_tol" localSheetId="4" hidden="1">0.01</definedName>
    <definedName name="solver_tol" localSheetId="5" hidden="1">0.01</definedName>
    <definedName name="solver_tol" localSheetId="6" hidden="1">0.01</definedName>
    <definedName name="solver_tol" localSheetId="7" hidden="1">0.01</definedName>
    <definedName name="solver_typ" localSheetId="0" hidden="1">2</definedName>
    <definedName name="solver_typ" localSheetId="1" hidden="1">2</definedName>
    <definedName name="solver_typ" localSheetId="8" hidden="1">2</definedName>
    <definedName name="solver_typ" localSheetId="9" hidden="1">2</definedName>
    <definedName name="solver_typ" localSheetId="10" hidden="1">2</definedName>
    <definedName name="solver_typ" localSheetId="11" hidden="1">2</definedName>
    <definedName name="solver_typ" localSheetId="12" hidden="1">2</definedName>
    <definedName name="solver_typ" localSheetId="4" hidden="1">2</definedName>
    <definedName name="solver_typ" localSheetId="5" hidden="1">2</definedName>
    <definedName name="solver_typ" localSheetId="6" hidden="1">2</definedName>
    <definedName name="solver_typ" localSheetId="7" hidden="1">2</definedName>
    <definedName name="solver_val" localSheetId="0" hidden="1">0</definedName>
    <definedName name="solver_val" localSheetId="1" hidden="1">0</definedName>
    <definedName name="solver_val" localSheetId="8" hidden="1">0</definedName>
    <definedName name="solver_val" localSheetId="9" hidden="1">0</definedName>
    <definedName name="solver_val" localSheetId="10" hidden="1">0</definedName>
    <definedName name="solver_val" localSheetId="11" hidden="1">0</definedName>
    <definedName name="solver_val" localSheetId="12" hidden="1">0</definedName>
    <definedName name="solver_val" localSheetId="4" hidden="1">0</definedName>
    <definedName name="solver_val" localSheetId="5" hidden="1">0</definedName>
    <definedName name="solver_val" localSheetId="6" hidden="1">0</definedName>
    <definedName name="solver_val" localSheetId="7" hidden="1">0</definedName>
    <definedName name="solver_ver" localSheetId="0" hidden="1">3</definedName>
    <definedName name="solver_ver" localSheetId="1" hidden="1">3</definedName>
    <definedName name="solver_ver" localSheetId="8" hidden="1">3</definedName>
    <definedName name="solver_ver" localSheetId="9" hidden="1">3</definedName>
    <definedName name="solver_ver" localSheetId="10" hidden="1">3</definedName>
    <definedName name="solver_ver" localSheetId="11" hidden="1">3</definedName>
    <definedName name="solver_ver" localSheetId="12" hidden="1">3</definedName>
    <definedName name="solver_ver" localSheetId="4" hidden="1">3</definedName>
    <definedName name="solver_ver" localSheetId="5" hidden="1">3</definedName>
    <definedName name="solver_ver" localSheetId="6" hidden="1">3</definedName>
    <definedName name="solver_ver" localSheetId="7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115" i="19" l="1"/>
  <c r="D115" i="19"/>
  <c r="E115" i="19"/>
  <c r="F115" i="19"/>
  <c r="G115" i="19"/>
  <c r="H115" i="19"/>
  <c r="I115" i="19"/>
  <c r="J115" i="19"/>
  <c r="K115" i="19"/>
  <c r="L115" i="19"/>
  <c r="M115" i="19"/>
  <c r="N115" i="19"/>
  <c r="O115" i="19"/>
  <c r="C116" i="19"/>
  <c r="D116" i="19"/>
  <c r="E116" i="19"/>
  <c r="F116" i="19"/>
  <c r="G116" i="19"/>
  <c r="H116" i="19"/>
  <c r="I116" i="19"/>
  <c r="J116" i="19"/>
  <c r="K116" i="19"/>
  <c r="L116" i="19"/>
  <c r="M116" i="19"/>
  <c r="N116" i="19"/>
  <c r="O116" i="19"/>
  <c r="C117" i="19"/>
  <c r="D117" i="19"/>
  <c r="E117" i="19"/>
  <c r="F117" i="19"/>
  <c r="G117" i="19"/>
  <c r="H117" i="19"/>
  <c r="I117" i="19"/>
  <c r="J117" i="19"/>
  <c r="K117" i="19"/>
  <c r="L117" i="19"/>
  <c r="M117" i="19"/>
  <c r="N117" i="19"/>
  <c r="O117" i="19"/>
  <c r="C118" i="19"/>
  <c r="D118" i="19"/>
  <c r="E118" i="19"/>
  <c r="F118" i="19"/>
  <c r="G118" i="19"/>
  <c r="H118" i="19"/>
  <c r="I118" i="19"/>
  <c r="J118" i="19"/>
  <c r="K118" i="19"/>
  <c r="L118" i="19"/>
  <c r="M118" i="19"/>
  <c r="N118" i="19"/>
  <c r="O118" i="19"/>
  <c r="C119" i="19"/>
  <c r="D119" i="19"/>
  <c r="E119" i="19"/>
  <c r="F119" i="19"/>
  <c r="G119" i="19"/>
  <c r="H119" i="19"/>
  <c r="I119" i="19"/>
  <c r="J119" i="19"/>
  <c r="K119" i="19"/>
  <c r="L119" i="19"/>
  <c r="M119" i="19"/>
  <c r="N119" i="19"/>
  <c r="O119" i="19"/>
  <c r="C120" i="19"/>
  <c r="D120" i="19"/>
  <c r="E120" i="19"/>
  <c r="F120" i="19"/>
  <c r="G120" i="19"/>
  <c r="H120" i="19"/>
  <c r="I120" i="19"/>
  <c r="J120" i="19"/>
  <c r="K120" i="19"/>
  <c r="L120" i="19"/>
  <c r="M120" i="19"/>
  <c r="N120" i="19"/>
  <c r="O120" i="19"/>
  <c r="C121" i="19"/>
  <c r="D121" i="19"/>
  <c r="E121" i="19"/>
  <c r="F121" i="19"/>
  <c r="G121" i="19"/>
  <c r="H121" i="19"/>
  <c r="I121" i="19"/>
  <c r="J121" i="19"/>
  <c r="K121" i="19"/>
  <c r="L121" i="19"/>
  <c r="M121" i="19"/>
  <c r="N121" i="19"/>
  <c r="O121" i="19"/>
  <c r="C122" i="19"/>
  <c r="D122" i="19"/>
  <c r="E122" i="19"/>
  <c r="F122" i="19"/>
  <c r="G122" i="19"/>
  <c r="H122" i="19"/>
  <c r="I122" i="19"/>
  <c r="J122" i="19"/>
  <c r="K122" i="19"/>
  <c r="L122" i="19"/>
  <c r="M122" i="19"/>
  <c r="N122" i="19"/>
  <c r="O122" i="19"/>
  <c r="C123" i="19"/>
  <c r="D123" i="19"/>
  <c r="E123" i="19"/>
  <c r="F123" i="19"/>
  <c r="G123" i="19"/>
  <c r="H123" i="19"/>
  <c r="I123" i="19"/>
  <c r="J123" i="19"/>
  <c r="K123" i="19"/>
  <c r="L123" i="19"/>
  <c r="M123" i="19"/>
  <c r="N123" i="19"/>
  <c r="O123" i="19"/>
  <c r="C124" i="19"/>
  <c r="D124" i="19"/>
  <c r="E124" i="19"/>
  <c r="F124" i="19"/>
  <c r="G124" i="19"/>
  <c r="H124" i="19"/>
  <c r="I124" i="19"/>
  <c r="J124" i="19"/>
  <c r="K124" i="19"/>
  <c r="L124" i="19"/>
  <c r="M124" i="19"/>
  <c r="N124" i="19"/>
  <c r="O124" i="19"/>
  <c r="C125" i="19"/>
  <c r="D125" i="19"/>
  <c r="E125" i="19"/>
  <c r="F125" i="19"/>
  <c r="G125" i="19"/>
  <c r="H125" i="19"/>
  <c r="I125" i="19"/>
  <c r="J125" i="19"/>
  <c r="K125" i="19"/>
  <c r="L125" i="19"/>
  <c r="M125" i="19"/>
  <c r="N125" i="19"/>
  <c r="O125" i="19"/>
  <c r="C126" i="19"/>
  <c r="D126" i="19"/>
  <c r="E126" i="19"/>
  <c r="F126" i="19"/>
  <c r="G126" i="19"/>
  <c r="H126" i="19"/>
  <c r="I126" i="19"/>
  <c r="J126" i="19"/>
  <c r="K126" i="19"/>
  <c r="L126" i="19"/>
  <c r="M126" i="19"/>
  <c r="N126" i="19"/>
  <c r="O126" i="19"/>
  <c r="C127" i="19"/>
  <c r="D127" i="19"/>
  <c r="E127" i="19"/>
  <c r="F127" i="19"/>
  <c r="G127" i="19"/>
  <c r="H127" i="19"/>
  <c r="I127" i="19"/>
  <c r="J127" i="19"/>
  <c r="K127" i="19"/>
  <c r="L127" i="19"/>
  <c r="M127" i="19"/>
  <c r="N127" i="19"/>
  <c r="O127" i="19"/>
  <c r="C128" i="19"/>
  <c r="D128" i="19"/>
  <c r="E128" i="19"/>
  <c r="F128" i="19"/>
  <c r="G128" i="19"/>
  <c r="H128" i="19"/>
  <c r="I128" i="19"/>
  <c r="J128" i="19"/>
  <c r="K128" i="19"/>
  <c r="L128" i="19"/>
  <c r="M128" i="19"/>
  <c r="N128" i="19"/>
  <c r="O128" i="19"/>
  <c r="C129" i="19"/>
  <c r="D129" i="19"/>
  <c r="E129" i="19"/>
  <c r="F129" i="19"/>
  <c r="G129" i="19"/>
  <c r="H129" i="19"/>
  <c r="I129" i="19"/>
  <c r="J129" i="19"/>
  <c r="K129" i="19"/>
  <c r="L129" i="19"/>
  <c r="M129" i="19"/>
  <c r="N129" i="19"/>
  <c r="O129" i="19"/>
  <c r="C100" i="19"/>
  <c r="D100" i="19"/>
  <c r="E100" i="19"/>
  <c r="F100" i="19"/>
  <c r="G100" i="19"/>
  <c r="H100" i="19"/>
  <c r="I100" i="19"/>
  <c r="J100" i="19"/>
  <c r="K100" i="19"/>
  <c r="L100" i="19"/>
  <c r="M100" i="19"/>
  <c r="N100" i="19"/>
  <c r="O100" i="19"/>
  <c r="C101" i="19"/>
  <c r="D101" i="19"/>
  <c r="E101" i="19"/>
  <c r="F101" i="19"/>
  <c r="G101" i="19"/>
  <c r="H101" i="19"/>
  <c r="I101" i="19"/>
  <c r="J101" i="19"/>
  <c r="K101" i="19"/>
  <c r="L101" i="19"/>
  <c r="M101" i="19"/>
  <c r="N101" i="19"/>
  <c r="O101" i="19"/>
  <c r="C102" i="19"/>
  <c r="D102" i="19"/>
  <c r="E102" i="19"/>
  <c r="F102" i="19"/>
  <c r="G102" i="19"/>
  <c r="H102" i="19"/>
  <c r="I102" i="19"/>
  <c r="J102" i="19"/>
  <c r="K102" i="19"/>
  <c r="L102" i="19"/>
  <c r="M102" i="19"/>
  <c r="N102" i="19"/>
  <c r="O102" i="19"/>
  <c r="C103" i="19"/>
  <c r="D103" i="19"/>
  <c r="E103" i="19"/>
  <c r="F103" i="19"/>
  <c r="G103" i="19"/>
  <c r="H103" i="19"/>
  <c r="I103" i="19"/>
  <c r="J103" i="19"/>
  <c r="K103" i="19"/>
  <c r="L103" i="19"/>
  <c r="M103" i="19"/>
  <c r="N103" i="19"/>
  <c r="O103" i="19"/>
  <c r="C104" i="19"/>
  <c r="D104" i="19"/>
  <c r="E104" i="19"/>
  <c r="F104" i="19"/>
  <c r="G104" i="19"/>
  <c r="H104" i="19"/>
  <c r="I104" i="19"/>
  <c r="J104" i="19"/>
  <c r="K104" i="19"/>
  <c r="L104" i="19"/>
  <c r="M104" i="19"/>
  <c r="N104" i="19"/>
  <c r="O104" i="19"/>
  <c r="C105" i="19"/>
  <c r="D105" i="19"/>
  <c r="E105" i="19"/>
  <c r="F105" i="19"/>
  <c r="G105" i="19"/>
  <c r="H105" i="19"/>
  <c r="I105" i="19"/>
  <c r="J105" i="19"/>
  <c r="K105" i="19"/>
  <c r="L105" i="19"/>
  <c r="M105" i="19"/>
  <c r="N105" i="19"/>
  <c r="O105" i="19"/>
  <c r="C106" i="19"/>
  <c r="D106" i="19"/>
  <c r="E106" i="19"/>
  <c r="F106" i="19"/>
  <c r="G106" i="19"/>
  <c r="H106" i="19"/>
  <c r="I106" i="19"/>
  <c r="J106" i="19"/>
  <c r="K106" i="19"/>
  <c r="L106" i="19"/>
  <c r="M106" i="19"/>
  <c r="N106" i="19"/>
  <c r="O106" i="19"/>
  <c r="C107" i="19"/>
  <c r="D107" i="19"/>
  <c r="E107" i="19"/>
  <c r="F107" i="19"/>
  <c r="G107" i="19"/>
  <c r="H107" i="19"/>
  <c r="I107" i="19"/>
  <c r="J107" i="19"/>
  <c r="K107" i="19"/>
  <c r="L107" i="19"/>
  <c r="M107" i="19"/>
  <c r="N107" i="19"/>
  <c r="O107" i="19"/>
  <c r="C108" i="19"/>
  <c r="D108" i="19"/>
  <c r="E108" i="19"/>
  <c r="F108" i="19"/>
  <c r="G108" i="19"/>
  <c r="H108" i="19"/>
  <c r="I108" i="19"/>
  <c r="J108" i="19"/>
  <c r="K108" i="19"/>
  <c r="L108" i="19"/>
  <c r="M108" i="19"/>
  <c r="N108" i="19"/>
  <c r="O108" i="19"/>
  <c r="C109" i="19"/>
  <c r="D109" i="19"/>
  <c r="E109" i="19"/>
  <c r="F109" i="19"/>
  <c r="G109" i="19"/>
  <c r="H109" i="19"/>
  <c r="I109" i="19"/>
  <c r="J109" i="19"/>
  <c r="K109" i="19"/>
  <c r="L109" i="19"/>
  <c r="M109" i="19"/>
  <c r="N109" i="19"/>
  <c r="O109" i="19"/>
  <c r="C110" i="19"/>
  <c r="D110" i="19"/>
  <c r="E110" i="19"/>
  <c r="F110" i="19"/>
  <c r="G110" i="19"/>
  <c r="H110" i="19"/>
  <c r="I110" i="19"/>
  <c r="J110" i="19"/>
  <c r="K110" i="19"/>
  <c r="L110" i="19"/>
  <c r="M110" i="19"/>
  <c r="N110" i="19"/>
  <c r="O110" i="19"/>
  <c r="C111" i="19"/>
  <c r="D111" i="19"/>
  <c r="E111" i="19"/>
  <c r="F111" i="19"/>
  <c r="G111" i="19"/>
  <c r="H111" i="19"/>
  <c r="I111" i="19"/>
  <c r="J111" i="19"/>
  <c r="K111" i="19"/>
  <c r="L111" i="19"/>
  <c r="M111" i="19"/>
  <c r="N111" i="19"/>
  <c r="O111" i="19"/>
  <c r="C112" i="19"/>
  <c r="D112" i="19"/>
  <c r="E112" i="19"/>
  <c r="F112" i="19"/>
  <c r="G112" i="19"/>
  <c r="H112" i="19"/>
  <c r="I112" i="19"/>
  <c r="J112" i="19"/>
  <c r="K112" i="19"/>
  <c r="L112" i="19"/>
  <c r="M112" i="19"/>
  <c r="N112" i="19"/>
  <c r="O112" i="19"/>
  <c r="C113" i="19"/>
  <c r="D113" i="19"/>
  <c r="E113" i="19"/>
  <c r="F113" i="19"/>
  <c r="G113" i="19"/>
  <c r="H113" i="19"/>
  <c r="I113" i="19"/>
  <c r="J113" i="19"/>
  <c r="K113" i="19"/>
  <c r="L113" i="19"/>
  <c r="M113" i="19"/>
  <c r="N113" i="19"/>
  <c r="O113" i="19"/>
  <c r="C114" i="19"/>
  <c r="D114" i="19"/>
  <c r="E114" i="19"/>
  <c r="F114" i="19"/>
  <c r="G114" i="19"/>
  <c r="H114" i="19"/>
  <c r="I114" i="19"/>
  <c r="J114" i="19"/>
  <c r="K114" i="19"/>
  <c r="L114" i="19"/>
  <c r="M114" i="19"/>
  <c r="N114" i="19"/>
  <c r="O114" i="19"/>
  <c r="C85" i="19"/>
  <c r="D85" i="19"/>
  <c r="E85" i="19"/>
  <c r="F85" i="19"/>
  <c r="G85" i="19"/>
  <c r="H85" i="19"/>
  <c r="I85" i="19"/>
  <c r="J85" i="19"/>
  <c r="K85" i="19"/>
  <c r="L85" i="19"/>
  <c r="M85" i="19"/>
  <c r="N85" i="19"/>
  <c r="O85" i="19"/>
  <c r="C86" i="19"/>
  <c r="D86" i="19"/>
  <c r="E86" i="19"/>
  <c r="F86" i="19"/>
  <c r="G86" i="19"/>
  <c r="H86" i="19"/>
  <c r="I86" i="19"/>
  <c r="J86" i="19"/>
  <c r="K86" i="19"/>
  <c r="L86" i="19"/>
  <c r="M86" i="19"/>
  <c r="N86" i="19"/>
  <c r="O86" i="19"/>
  <c r="C87" i="19"/>
  <c r="D87" i="19"/>
  <c r="E87" i="19"/>
  <c r="F87" i="19"/>
  <c r="G87" i="19"/>
  <c r="H87" i="19"/>
  <c r="I87" i="19"/>
  <c r="J87" i="19"/>
  <c r="K87" i="19"/>
  <c r="L87" i="19"/>
  <c r="M87" i="19"/>
  <c r="N87" i="19"/>
  <c r="O87" i="19"/>
  <c r="C88" i="19"/>
  <c r="D88" i="19"/>
  <c r="E88" i="19"/>
  <c r="F88" i="19"/>
  <c r="G88" i="19"/>
  <c r="H88" i="19"/>
  <c r="I88" i="19"/>
  <c r="J88" i="19"/>
  <c r="K88" i="19"/>
  <c r="L88" i="19"/>
  <c r="M88" i="19"/>
  <c r="N88" i="19"/>
  <c r="O88" i="19"/>
  <c r="C89" i="19"/>
  <c r="D89" i="19"/>
  <c r="E89" i="19"/>
  <c r="F89" i="19"/>
  <c r="G89" i="19"/>
  <c r="H89" i="19"/>
  <c r="I89" i="19"/>
  <c r="J89" i="19"/>
  <c r="K89" i="19"/>
  <c r="L89" i="19"/>
  <c r="M89" i="19"/>
  <c r="N89" i="19"/>
  <c r="O89" i="19"/>
  <c r="C90" i="19"/>
  <c r="D90" i="19"/>
  <c r="E90" i="19"/>
  <c r="F90" i="19"/>
  <c r="G90" i="19"/>
  <c r="H90" i="19"/>
  <c r="I90" i="19"/>
  <c r="J90" i="19"/>
  <c r="K90" i="19"/>
  <c r="L90" i="19"/>
  <c r="M90" i="19"/>
  <c r="N90" i="19"/>
  <c r="O90" i="19"/>
  <c r="C91" i="19"/>
  <c r="D91" i="19"/>
  <c r="E91" i="19"/>
  <c r="F91" i="19"/>
  <c r="G91" i="19"/>
  <c r="H91" i="19"/>
  <c r="I91" i="19"/>
  <c r="J91" i="19"/>
  <c r="K91" i="19"/>
  <c r="L91" i="19"/>
  <c r="M91" i="19"/>
  <c r="N91" i="19"/>
  <c r="O91" i="19"/>
  <c r="C92" i="19"/>
  <c r="D92" i="19"/>
  <c r="E92" i="19"/>
  <c r="F92" i="19"/>
  <c r="G92" i="19"/>
  <c r="H92" i="19"/>
  <c r="I92" i="19"/>
  <c r="J92" i="19"/>
  <c r="K92" i="19"/>
  <c r="L92" i="19"/>
  <c r="M92" i="19"/>
  <c r="N92" i="19"/>
  <c r="O92" i="19"/>
  <c r="C93" i="19"/>
  <c r="D93" i="19"/>
  <c r="E93" i="19"/>
  <c r="F93" i="19"/>
  <c r="G93" i="19"/>
  <c r="H93" i="19"/>
  <c r="I93" i="19"/>
  <c r="J93" i="19"/>
  <c r="K93" i="19"/>
  <c r="L93" i="19"/>
  <c r="M93" i="19"/>
  <c r="N93" i="19"/>
  <c r="O93" i="19"/>
  <c r="C94" i="19"/>
  <c r="D94" i="19"/>
  <c r="E94" i="19"/>
  <c r="F94" i="19"/>
  <c r="G94" i="19"/>
  <c r="H94" i="19"/>
  <c r="I94" i="19"/>
  <c r="J94" i="19"/>
  <c r="K94" i="19"/>
  <c r="L94" i="19"/>
  <c r="M94" i="19"/>
  <c r="N94" i="19"/>
  <c r="O94" i="19"/>
  <c r="C95" i="19"/>
  <c r="D95" i="19"/>
  <c r="E95" i="19"/>
  <c r="F95" i="19"/>
  <c r="G95" i="19"/>
  <c r="H95" i="19"/>
  <c r="I95" i="19"/>
  <c r="J95" i="19"/>
  <c r="K95" i="19"/>
  <c r="L95" i="19"/>
  <c r="M95" i="19"/>
  <c r="N95" i="19"/>
  <c r="O95" i="19"/>
  <c r="C96" i="19"/>
  <c r="D96" i="19"/>
  <c r="E96" i="19"/>
  <c r="F96" i="19"/>
  <c r="G96" i="19"/>
  <c r="H96" i="19"/>
  <c r="I96" i="19"/>
  <c r="J96" i="19"/>
  <c r="K96" i="19"/>
  <c r="L96" i="19"/>
  <c r="M96" i="19"/>
  <c r="N96" i="19"/>
  <c r="O96" i="19"/>
  <c r="C97" i="19"/>
  <c r="D97" i="19"/>
  <c r="E97" i="19"/>
  <c r="F97" i="19"/>
  <c r="G97" i="19"/>
  <c r="H97" i="19"/>
  <c r="I97" i="19"/>
  <c r="J97" i="19"/>
  <c r="K97" i="19"/>
  <c r="L97" i="19"/>
  <c r="M97" i="19"/>
  <c r="N97" i="19"/>
  <c r="O97" i="19"/>
  <c r="C98" i="19"/>
  <c r="D98" i="19"/>
  <c r="E98" i="19"/>
  <c r="F98" i="19"/>
  <c r="G98" i="19"/>
  <c r="H98" i="19"/>
  <c r="I98" i="19"/>
  <c r="J98" i="19"/>
  <c r="K98" i="19"/>
  <c r="L98" i="19"/>
  <c r="M98" i="19"/>
  <c r="N98" i="19"/>
  <c r="O98" i="19"/>
  <c r="C99" i="19"/>
  <c r="D99" i="19"/>
  <c r="E99" i="19"/>
  <c r="F99" i="19"/>
  <c r="G99" i="19"/>
  <c r="H99" i="19"/>
  <c r="I99" i="19"/>
  <c r="J99" i="19"/>
  <c r="K99" i="19"/>
  <c r="L99" i="19"/>
  <c r="M99" i="19"/>
  <c r="N99" i="19"/>
  <c r="O99" i="19"/>
  <c r="C70" i="19"/>
  <c r="D70" i="19"/>
  <c r="E70" i="19"/>
  <c r="F70" i="19"/>
  <c r="G70" i="19"/>
  <c r="H70" i="19"/>
  <c r="I70" i="19"/>
  <c r="J70" i="19"/>
  <c r="K70" i="19"/>
  <c r="L70" i="19"/>
  <c r="M70" i="19"/>
  <c r="N70" i="19"/>
  <c r="O70" i="19"/>
  <c r="C71" i="19"/>
  <c r="D71" i="19"/>
  <c r="E71" i="19"/>
  <c r="F71" i="19"/>
  <c r="G71" i="19"/>
  <c r="H71" i="19"/>
  <c r="I71" i="19"/>
  <c r="J71" i="19"/>
  <c r="K71" i="19"/>
  <c r="L71" i="19"/>
  <c r="M71" i="19"/>
  <c r="N71" i="19"/>
  <c r="O71" i="19"/>
  <c r="C72" i="19"/>
  <c r="D72" i="19"/>
  <c r="E72" i="19"/>
  <c r="F72" i="19"/>
  <c r="G72" i="19"/>
  <c r="H72" i="19"/>
  <c r="I72" i="19"/>
  <c r="J72" i="19"/>
  <c r="K72" i="19"/>
  <c r="L72" i="19"/>
  <c r="M72" i="19"/>
  <c r="N72" i="19"/>
  <c r="O72" i="19"/>
  <c r="C73" i="19"/>
  <c r="D73" i="19"/>
  <c r="E73" i="19"/>
  <c r="F73" i="19"/>
  <c r="G73" i="19"/>
  <c r="H73" i="19"/>
  <c r="I73" i="19"/>
  <c r="J73" i="19"/>
  <c r="K73" i="19"/>
  <c r="L73" i="19"/>
  <c r="M73" i="19"/>
  <c r="N73" i="19"/>
  <c r="O73" i="19"/>
  <c r="C74" i="19"/>
  <c r="D74" i="19"/>
  <c r="E74" i="19"/>
  <c r="F74" i="19"/>
  <c r="G74" i="19"/>
  <c r="H74" i="19"/>
  <c r="I74" i="19"/>
  <c r="J74" i="19"/>
  <c r="K74" i="19"/>
  <c r="L74" i="19"/>
  <c r="M74" i="19"/>
  <c r="N74" i="19"/>
  <c r="O74" i="19"/>
  <c r="C75" i="19"/>
  <c r="D75" i="19"/>
  <c r="E75" i="19"/>
  <c r="F75" i="19"/>
  <c r="G75" i="19"/>
  <c r="H75" i="19"/>
  <c r="I75" i="19"/>
  <c r="J75" i="19"/>
  <c r="K75" i="19"/>
  <c r="L75" i="19"/>
  <c r="M75" i="19"/>
  <c r="N75" i="19"/>
  <c r="O75" i="19"/>
  <c r="C76" i="19"/>
  <c r="D76" i="19"/>
  <c r="E76" i="19"/>
  <c r="F76" i="19"/>
  <c r="G76" i="19"/>
  <c r="H76" i="19"/>
  <c r="I76" i="19"/>
  <c r="J76" i="19"/>
  <c r="K76" i="19"/>
  <c r="L76" i="19"/>
  <c r="M76" i="19"/>
  <c r="N76" i="19"/>
  <c r="O76" i="19"/>
  <c r="C77" i="19"/>
  <c r="D77" i="19"/>
  <c r="E77" i="19"/>
  <c r="F77" i="19"/>
  <c r="G77" i="19"/>
  <c r="H77" i="19"/>
  <c r="I77" i="19"/>
  <c r="J77" i="19"/>
  <c r="K77" i="19"/>
  <c r="L77" i="19"/>
  <c r="M77" i="19"/>
  <c r="N77" i="19"/>
  <c r="O77" i="19"/>
  <c r="C78" i="19"/>
  <c r="D78" i="19"/>
  <c r="E78" i="19"/>
  <c r="F78" i="19"/>
  <c r="G78" i="19"/>
  <c r="H78" i="19"/>
  <c r="I78" i="19"/>
  <c r="J78" i="19"/>
  <c r="K78" i="19"/>
  <c r="L78" i="19"/>
  <c r="M78" i="19"/>
  <c r="N78" i="19"/>
  <c r="O78" i="19"/>
  <c r="C79" i="19"/>
  <c r="D79" i="19"/>
  <c r="E79" i="19"/>
  <c r="F79" i="19"/>
  <c r="G79" i="19"/>
  <c r="H79" i="19"/>
  <c r="I79" i="19"/>
  <c r="J79" i="19"/>
  <c r="K79" i="19"/>
  <c r="L79" i="19"/>
  <c r="M79" i="19"/>
  <c r="N79" i="19"/>
  <c r="O79" i="19"/>
  <c r="C80" i="19"/>
  <c r="D80" i="19"/>
  <c r="E80" i="19"/>
  <c r="F80" i="19"/>
  <c r="G80" i="19"/>
  <c r="H80" i="19"/>
  <c r="I80" i="19"/>
  <c r="J80" i="19"/>
  <c r="K80" i="19"/>
  <c r="L80" i="19"/>
  <c r="M80" i="19"/>
  <c r="N80" i="19"/>
  <c r="O80" i="19"/>
  <c r="C81" i="19"/>
  <c r="D81" i="19"/>
  <c r="E81" i="19"/>
  <c r="F81" i="19"/>
  <c r="G81" i="19"/>
  <c r="H81" i="19"/>
  <c r="I81" i="19"/>
  <c r="J81" i="19"/>
  <c r="K81" i="19"/>
  <c r="L81" i="19"/>
  <c r="M81" i="19"/>
  <c r="N81" i="19"/>
  <c r="O81" i="19"/>
  <c r="C82" i="19"/>
  <c r="D82" i="19"/>
  <c r="E82" i="19"/>
  <c r="F82" i="19"/>
  <c r="G82" i="19"/>
  <c r="H82" i="19"/>
  <c r="I82" i="19"/>
  <c r="J82" i="19"/>
  <c r="K82" i="19"/>
  <c r="L82" i="19"/>
  <c r="M82" i="19"/>
  <c r="N82" i="19"/>
  <c r="O82" i="19"/>
  <c r="C83" i="19"/>
  <c r="D83" i="19"/>
  <c r="E83" i="19"/>
  <c r="F83" i="19"/>
  <c r="G83" i="19"/>
  <c r="H83" i="19"/>
  <c r="I83" i="19"/>
  <c r="J83" i="19"/>
  <c r="K83" i="19"/>
  <c r="L83" i="19"/>
  <c r="M83" i="19"/>
  <c r="N83" i="19"/>
  <c r="O83" i="19"/>
  <c r="C84" i="19"/>
  <c r="D84" i="19"/>
  <c r="E84" i="19"/>
  <c r="F84" i="19"/>
  <c r="G84" i="19"/>
  <c r="H84" i="19"/>
  <c r="I84" i="19"/>
  <c r="J84" i="19"/>
  <c r="K84" i="19"/>
  <c r="L84" i="19"/>
  <c r="M84" i="19"/>
  <c r="N84" i="19"/>
  <c r="O84" i="19"/>
  <c r="C53" i="19" l="1"/>
  <c r="D53" i="19"/>
  <c r="E53" i="19"/>
  <c r="F53" i="19"/>
  <c r="G53" i="19"/>
  <c r="H53" i="19"/>
  <c r="I53" i="19"/>
  <c r="J53" i="19"/>
  <c r="K53" i="19"/>
  <c r="L53" i="19"/>
  <c r="M53" i="19"/>
  <c r="N53" i="19"/>
  <c r="O53" i="19"/>
  <c r="C54" i="19"/>
  <c r="D54" i="19"/>
  <c r="E54" i="19"/>
  <c r="F54" i="19"/>
  <c r="G54" i="19"/>
  <c r="H54" i="19"/>
  <c r="I54" i="19"/>
  <c r="J54" i="19"/>
  <c r="K54" i="19"/>
  <c r="L54" i="19"/>
  <c r="M54" i="19"/>
  <c r="N54" i="19"/>
  <c r="O54" i="19"/>
  <c r="C55" i="19"/>
  <c r="D55" i="19"/>
  <c r="E55" i="19"/>
  <c r="F55" i="19"/>
  <c r="G55" i="19"/>
  <c r="H55" i="19"/>
  <c r="I55" i="19"/>
  <c r="J55" i="19"/>
  <c r="K55" i="19"/>
  <c r="L55" i="19"/>
  <c r="M55" i="19"/>
  <c r="N55" i="19"/>
  <c r="O55" i="19"/>
  <c r="C56" i="19"/>
  <c r="D56" i="19"/>
  <c r="E56" i="19"/>
  <c r="F56" i="19"/>
  <c r="G56" i="19"/>
  <c r="H56" i="19"/>
  <c r="I56" i="19"/>
  <c r="J56" i="19"/>
  <c r="K56" i="19"/>
  <c r="L56" i="19"/>
  <c r="M56" i="19"/>
  <c r="N56" i="19"/>
  <c r="O56" i="19"/>
  <c r="C57" i="19"/>
  <c r="D57" i="19"/>
  <c r="E57" i="19"/>
  <c r="F57" i="19"/>
  <c r="G57" i="19"/>
  <c r="H57" i="19"/>
  <c r="I57" i="19"/>
  <c r="J57" i="19"/>
  <c r="K57" i="19"/>
  <c r="L57" i="19"/>
  <c r="M57" i="19"/>
  <c r="N57" i="19"/>
  <c r="O57" i="19"/>
  <c r="C58" i="19"/>
  <c r="D58" i="19"/>
  <c r="E58" i="19"/>
  <c r="F58" i="19"/>
  <c r="G58" i="19"/>
  <c r="H58" i="19"/>
  <c r="I58" i="19"/>
  <c r="J58" i="19"/>
  <c r="K58" i="19"/>
  <c r="L58" i="19"/>
  <c r="M58" i="19"/>
  <c r="N58" i="19"/>
  <c r="O58" i="19"/>
  <c r="C59" i="19"/>
  <c r="D59" i="19"/>
  <c r="E59" i="19"/>
  <c r="F59" i="19"/>
  <c r="G59" i="19"/>
  <c r="H59" i="19"/>
  <c r="I59" i="19"/>
  <c r="J59" i="19"/>
  <c r="K59" i="19"/>
  <c r="L59" i="19"/>
  <c r="M59" i="19"/>
  <c r="N59" i="19"/>
  <c r="O59" i="19"/>
  <c r="C60" i="19"/>
  <c r="D60" i="19"/>
  <c r="E60" i="19"/>
  <c r="F60" i="19"/>
  <c r="G60" i="19"/>
  <c r="H60" i="19"/>
  <c r="I60" i="19"/>
  <c r="J60" i="19"/>
  <c r="K60" i="19"/>
  <c r="L60" i="19"/>
  <c r="M60" i="19"/>
  <c r="N60" i="19"/>
  <c r="O60" i="19"/>
  <c r="C61" i="19"/>
  <c r="D61" i="19"/>
  <c r="E61" i="19"/>
  <c r="F61" i="19"/>
  <c r="G61" i="19"/>
  <c r="H61" i="19"/>
  <c r="I61" i="19"/>
  <c r="J61" i="19"/>
  <c r="K61" i="19"/>
  <c r="L61" i="19"/>
  <c r="M61" i="19"/>
  <c r="N61" i="19"/>
  <c r="O61" i="19"/>
  <c r="C62" i="19"/>
  <c r="D62" i="19"/>
  <c r="E62" i="19"/>
  <c r="F62" i="19"/>
  <c r="G62" i="19"/>
  <c r="H62" i="19"/>
  <c r="I62" i="19"/>
  <c r="J62" i="19"/>
  <c r="K62" i="19"/>
  <c r="L62" i="19"/>
  <c r="M62" i="19"/>
  <c r="N62" i="19"/>
  <c r="O62" i="19"/>
  <c r="C63" i="19"/>
  <c r="D63" i="19"/>
  <c r="E63" i="19"/>
  <c r="F63" i="19"/>
  <c r="G63" i="19"/>
  <c r="H63" i="19"/>
  <c r="I63" i="19"/>
  <c r="J63" i="19"/>
  <c r="K63" i="19"/>
  <c r="L63" i="19"/>
  <c r="M63" i="19"/>
  <c r="N63" i="19"/>
  <c r="O63" i="19"/>
  <c r="C64" i="19"/>
  <c r="D64" i="19"/>
  <c r="E64" i="19"/>
  <c r="F64" i="19"/>
  <c r="G64" i="19"/>
  <c r="H64" i="19"/>
  <c r="I64" i="19"/>
  <c r="J64" i="19"/>
  <c r="K64" i="19"/>
  <c r="L64" i="19"/>
  <c r="M64" i="19"/>
  <c r="N64" i="19"/>
  <c r="O64" i="19"/>
  <c r="C65" i="19"/>
  <c r="D65" i="19"/>
  <c r="E65" i="19"/>
  <c r="F65" i="19"/>
  <c r="G65" i="19"/>
  <c r="H65" i="19"/>
  <c r="I65" i="19"/>
  <c r="J65" i="19"/>
  <c r="K65" i="19"/>
  <c r="L65" i="19"/>
  <c r="M65" i="19"/>
  <c r="N65" i="19"/>
  <c r="O65" i="19"/>
  <c r="C66" i="19"/>
  <c r="D66" i="19"/>
  <c r="E66" i="19"/>
  <c r="F66" i="19"/>
  <c r="G66" i="19"/>
  <c r="H66" i="19"/>
  <c r="I66" i="19"/>
  <c r="J66" i="19"/>
  <c r="K66" i="19"/>
  <c r="L66" i="19"/>
  <c r="M66" i="19"/>
  <c r="N66" i="19"/>
  <c r="O66" i="19"/>
  <c r="C67" i="19"/>
  <c r="D67" i="19"/>
  <c r="E67" i="19"/>
  <c r="F67" i="19"/>
  <c r="G67" i="19"/>
  <c r="H67" i="19"/>
  <c r="I67" i="19"/>
  <c r="J67" i="19"/>
  <c r="K67" i="19"/>
  <c r="L67" i="19"/>
  <c r="M67" i="19"/>
  <c r="N67" i="19"/>
  <c r="O67" i="19"/>
  <c r="C68" i="19"/>
  <c r="D68" i="19"/>
  <c r="E68" i="19"/>
  <c r="F68" i="19"/>
  <c r="G68" i="19"/>
  <c r="H68" i="19"/>
  <c r="I68" i="19"/>
  <c r="J68" i="19"/>
  <c r="K68" i="19"/>
  <c r="L68" i="19"/>
  <c r="M68" i="19"/>
  <c r="N68" i="19"/>
  <c r="O68" i="19"/>
  <c r="C69" i="19"/>
  <c r="D69" i="19"/>
  <c r="E69" i="19"/>
  <c r="F69" i="19"/>
  <c r="G69" i="19"/>
  <c r="H69" i="19"/>
  <c r="I69" i="19"/>
  <c r="J69" i="19"/>
  <c r="K69" i="19"/>
  <c r="L69" i="19"/>
  <c r="M69" i="19"/>
  <c r="N69" i="19"/>
  <c r="O69" i="19"/>
  <c r="C36" i="19"/>
  <c r="D36" i="19"/>
  <c r="E36" i="19"/>
  <c r="F36" i="19"/>
  <c r="G36" i="19"/>
  <c r="H36" i="19"/>
  <c r="I36" i="19"/>
  <c r="J36" i="19"/>
  <c r="K36" i="19"/>
  <c r="L36" i="19"/>
  <c r="M36" i="19"/>
  <c r="N36" i="19"/>
  <c r="O36" i="19"/>
  <c r="C37" i="19"/>
  <c r="D37" i="19"/>
  <c r="E37" i="19"/>
  <c r="F37" i="19"/>
  <c r="G37" i="19"/>
  <c r="H37" i="19"/>
  <c r="I37" i="19"/>
  <c r="J37" i="19"/>
  <c r="K37" i="19"/>
  <c r="L37" i="19"/>
  <c r="M37" i="19"/>
  <c r="N37" i="19"/>
  <c r="O37" i="19"/>
  <c r="C38" i="19"/>
  <c r="D38" i="19"/>
  <c r="E38" i="19"/>
  <c r="F38" i="19"/>
  <c r="G38" i="19"/>
  <c r="H38" i="19"/>
  <c r="I38" i="19"/>
  <c r="J38" i="19"/>
  <c r="K38" i="19"/>
  <c r="L38" i="19"/>
  <c r="M38" i="19"/>
  <c r="N38" i="19"/>
  <c r="O38" i="19"/>
  <c r="C39" i="19"/>
  <c r="D39" i="19"/>
  <c r="E39" i="19"/>
  <c r="F39" i="19"/>
  <c r="G39" i="19"/>
  <c r="H39" i="19"/>
  <c r="I39" i="19"/>
  <c r="J39" i="19"/>
  <c r="K39" i="19"/>
  <c r="L39" i="19"/>
  <c r="M39" i="19"/>
  <c r="N39" i="19"/>
  <c r="O39" i="19"/>
  <c r="C40" i="19"/>
  <c r="D40" i="19"/>
  <c r="E40" i="19"/>
  <c r="F40" i="19"/>
  <c r="G40" i="19"/>
  <c r="H40" i="19"/>
  <c r="I40" i="19"/>
  <c r="J40" i="19"/>
  <c r="K40" i="19"/>
  <c r="L40" i="19"/>
  <c r="M40" i="19"/>
  <c r="N40" i="19"/>
  <c r="O40" i="19"/>
  <c r="C41" i="19"/>
  <c r="D41" i="19"/>
  <c r="E41" i="19"/>
  <c r="F41" i="19"/>
  <c r="G41" i="19"/>
  <c r="H41" i="19"/>
  <c r="I41" i="19"/>
  <c r="J41" i="19"/>
  <c r="K41" i="19"/>
  <c r="L41" i="19"/>
  <c r="M41" i="19"/>
  <c r="N41" i="19"/>
  <c r="O41" i="19"/>
  <c r="C42" i="19"/>
  <c r="D42" i="19"/>
  <c r="E42" i="19"/>
  <c r="F42" i="19"/>
  <c r="G42" i="19"/>
  <c r="H42" i="19"/>
  <c r="I42" i="19"/>
  <c r="J42" i="19"/>
  <c r="K42" i="19"/>
  <c r="L42" i="19"/>
  <c r="M42" i="19"/>
  <c r="N42" i="19"/>
  <c r="O42" i="19"/>
  <c r="C43" i="19"/>
  <c r="D43" i="19"/>
  <c r="E43" i="19"/>
  <c r="F43" i="19"/>
  <c r="G43" i="19"/>
  <c r="H43" i="19"/>
  <c r="I43" i="19"/>
  <c r="J43" i="19"/>
  <c r="K43" i="19"/>
  <c r="L43" i="19"/>
  <c r="M43" i="19"/>
  <c r="N43" i="19"/>
  <c r="O43" i="19"/>
  <c r="C44" i="19"/>
  <c r="D44" i="19"/>
  <c r="E44" i="19"/>
  <c r="F44" i="19"/>
  <c r="G44" i="19"/>
  <c r="H44" i="19"/>
  <c r="I44" i="19"/>
  <c r="J44" i="19"/>
  <c r="K44" i="19"/>
  <c r="L44" i="19"/>
  <c r="M44" i="19"/>
  <c r="N44" i="19"/>
  <c r="O44" i="19"/>
  <c r="C45" i="19"/>
  <c r="D45" i="19"/>
  <c r="E45" i="19"/>
  <c r="F45" i="19"/>
  <c r="G45" i="19"/>
  <c r="H45" i="19"/>
  <c r="I45" i="19"/>
  <c r="J45" i="19"/>
  <c r="K45" i="19"/>
  <c r="L45" i="19"/>
  <c r="M45" i="19"/>
  <c r="N45" i="19"/>
  <c r="O45" i="19"/>
  <c r="C46" i="19"/>
  <c r="D46" i="19"/>
  <c r="E46" i="19"/>
  <c r="F46" i="19"/>
  <c r="G46" i="19"/>
  <c r="H46" i="19"/>
  <c r="I46" i="19"/>
  <c r="J46" i="19"/>
  <c r="K46" i="19"/>
  <c r="L46" i="19"/>
  <c r="M46" i="19"/>
  <c r="N46" i="19"/>
  <c r="O46" i="19"/>
  <c r="C47" i="19"/>
  <c r="D47" i="19"/>
  <c r="E47" i="19"/>
  <c r="F47" i="19"/>
  <c r="G47" i="19"/>
  <c r="H47" i="19"/>
  <c r="I47" i="19"/>
  <c r="J47" i="19"/>
  <c r="K47" i="19"/>
  <c r="L47" i="19"/>
  <c r="M47" i="19"/>
  <c r="N47" i="19"/>
  <c r="O47" i="19"/>
  <c r="C48" i="19"/>
  <c r="D48" i="19"/>
  <c r="E48" i="19"/>
  <c r="F48" i="19"/>
  <c r="G48" i="19"/>
  <c r="H48" i="19"/>
  <c r="I48" i="19"/>
  <c r="J48" i="19"/>
  <c r="K48" i="19"/>
  <c r="L48" i="19"/>
  <c r="M48" i="19"/>
  <c r="N48" i="19"/>
  <c r="O48" i="19"/>
  <c r="C49" i="19"/>
  <c r="D49" i="19"/>
  <c r="E49" i="19"/>
  <c r="F49" i="19"/>
  <c r="G49" i="19"/>
  <c r="H49" i="19"/>
  <c r="I49" i="19"/>
  <c r="J49" i="19"/>
  <c r="K49" i="19"/>
  <c r="L49" i="19"/>
  <c r="M49" i="19"/>
  <c r="N49" i="19"/>
  <c r="O49" i="19"/>
  <c r="C50" i="19"/>
  <c r="D50" i="19"/>
  <c r="E50" i="19"/>
  <c r="F50" i="19"/>
  <c r="G50" i="19"/>
  <c r="H50" i="19"/>
  <c r="I50" i="19"/>
  <c r="J50" i="19"/>
  <c r="K50" i="19"/>
  <c r="L50" i="19"/>
  <c r="M50" i="19"/>
  <c r="N50" i="19"/>
  <c r="O50" i="19"/>
  <c r="C51" i="19"/>
  <c r="D51" i="19"/>
  <c r="E51" i="19"/>
  <c r="F51" i="19"/>
  <c r="G51" i="19"/>
  <c r="H51" i="19"/>
  <c r="I51" i="19"/>
  <c r="J51" i="19"/>
  <c r="K51" i="19"/>
  <c r="L51" i="19"/>
  <c r="M51" i="19"/>
  <c r="N51" i="19"/>
  <c r="O51" i="19"/>
  <c r="C52" i="19"/>
  <c r="D52" i="19"/>
  <c r="E52" i="19"/>
  <c r="F52" i="19"/>
  <c r="G52" i="19"/>
  <c r="H52" i="19"/>
  <c r="I52" i="19"/>
  <c r="J52" i="19"/>
  <c r="K52" i="19"/>
  <c r="L52" i="19"/>
  <c r="M52" i="19"/>
  <c r="N52" i="19"/>
  <c r="O52" i="19"/>
  <c r="C19" i="19"/>
  <c r="D19" i="19"/>
  <c r="E19" i="19"/>
  <c r="F19" i="19"/>
  <c r="G19" i="19"/>
  <c r="H19" i="19"/>
  <c r="I19" i="19"/>
  <c r="J19" i="19"/>
  <c r="K19" i="19"/>
  <c r="L19" i="19"/>
  <c r="M19" i="19"/>
  <c r="N19" i="19"/>
  <c r="O19" i="19"/>
  <c r="C20" i="19"/>
  <c r="D20" i="19"/>
  <c r="E20" i="19"/>
  <c r="F20" i="19"/>
  <c r="G20" i="19"/>
  <c r="H20" i="19"/>
  <c r="I20" i="19"/>
  <c r="J20" i="19"/>
  <c r="K20" i="19"/>
  <c r="L20" i="19"/>
  <c r="M20" i="19"/>
  <c r="N20" i="19"/>
  <c r="O20" i="19"/>
  <c r="C21" i="19"/>
  <c r="D21" i="19"/>
  <c r="E21" i="19"/>
  <c r="F21" i="19"/>
  <c r="G21" i="19"/>
  <c r="H21" i="19"/>
  <c r="I21" i="19"/>
  <c r="J21" i="19"/>
  <c r="K21" i="19"/>
  <c r="L21" i="19"/>
  <c r="M21" i="19"/>
  <c r="N21" i="19"/>
  <c r="O21" i="19"/>
  <c r="C22" i="19"/>
  <c r="D22" i="19"/>
  <c r="E22" i="19"/>
  <c r="F22" i="19"/>
  <c r="G22" i="19"/>
  <c r="H22" i="19"/>
  <c r="I22" i="19"/>
  <c r="J22" i="19"/>
  <c r="K22" i="19"/>
  <c r="L22" i="19"/>
  <c r="M22" i="19"/>
  <c r="N22" i="19"/>
  <c r="O22" i="19"/>
  <c r="C23" i="19"/>
  <c r="D23" i="19"/>
  <c r="E23" i="19"/>
  <c r="F23" i="19"/>
  <c r="G23" i="19"/>
  <c r="H23" i="19"/>
  <c r="I23" i="19"/>
  <c r="J23" i="19"/>
  <c r="K23" i="19"/>
  <c r="L23" i="19"/>
  <c r="M23" i="19"/>
  <c r="N23" i="19"/>
  <c r="O23" i="19"/>
  <c r="C24" i="19"/>
  <c r="D24" i="19"/>
  <c r="E24" i="19"/>
  <c r="F24" i="19"/>
  <c r="G24" i="19"/>
  <c r="H24" i="19"/>
  <c r="I24" i="19"/>
  <c r="J24" i="19"/>
  <c r="K24" i="19"/>
  <c r="L24" i="19"/>
  <c r="M24" i="19"/>
  <c r="N24" i="19"/>
  <c r="O24" i="19"/>
  <c r="C25" i="19"/>
  <c r="D25" i="19"/>
  <c r="E25" i="19"/>
  <c r="F25" i="19"/>
  <c r="G25" i="19"/>
  <c r="H25" i="19"/>
  <c r="I25" i="19"/>
  <c r="J25" i="19"/>
  <c r="K25" i="19"/>
  <c r="L25" i="19"/>
  <c r="M25" i="19"/>
  <c r="N25" i="19"/>
  <c r="O25" i="19"/>
  <c r="C26" i="19"/>
  <c r="D26" i="19"/>
  <c r="E26" i="19"/>
  <c r="F26" i="19"/>
  <c r="G26" i="19"/>
  <c r="H26" i="19"/>
  <c r="I26" i="19"/>
  <c r="J26" i="19"/>
  <c r="K26" i="19"/>
  <c r="L26" i="19"/>
  <c r="M26" i="19"/>
  <c r="N26" i="19"/>
  <c r="O26" i="19"/>
  <c r="C27" i="19"/>
  <c r="D27" i="19"/>
  <c r="E27" i="19"/>
  <c r="F27" i="19"/>
  <c r="G27" i="19"/>
  <c r="H27" i="19"/>
  <c r="I27" i="19"/>
  <c r="J27" i="19"/>
  <c r="K27" i="19"/>
  <c r="L27" i="19"/>
  <c r="M27" i="19"/>
  <c r="N27" i="19"/>
  <c r="O27" i="19"/>
  <c r="C28" i="19"/>
  <c r="D28" i="19"/>
  <c r="E28" i="19"/>
  <c r="F28" i="19"/>
  <c r="G28" i="19"/>
  <c r="H28" i="19"/>
  <c r="I28" i="19"/>
  <c r="J28" i="19"/>
  <c r="K28" i="19"/>
  <c r="L28" i="19"/>
  <c r="M28" i="19"/>
  <c r="N28" i="19"/>
  <c r="O28" i="19"/>
  <c r="C29" i="19"/>
  <c r="D29" i="19"/>
  <c r="E29" i="19"/>
  <c r="F29" i="19"/>
  <c r="G29" i="19"/>
  <c r="H29" i="19"/>
  <c r="I29" i="19"/>
  <c r="J29" i="19"/>
  <c r="K29" i="19"/>
  <c r="L29" i="19"/>
  <c r="M29" i="19"/>
  <c r="N29" i="19"/>
  <c r="O29" i="19"/>
  <c r="C30" i="19"/>
  <c r="D30" i="19"/>
  <c r="E30" i="19"/>
  <c r="F30" i="19"/>
  <c r="G30" i="19"/>
  <c r="H30" i="19"/>
  <c r="I30" i="19"/>
  <c r="J30" i="19"/>
  <c r="K30" i="19"/>
  <c r="L30" i="19"/>
  <c r="M30" i="19"/>
  <c r="N30" i="19"/>
  <c r="O30" i="19"/>
  <c r="C31" i="19"/>
  <c r="D31" i="19"/>
  <c r="E31" i="19"/>
  <c r="F31" i="19"/>
  <c r="G31" i="19"/>
  <c r="H31" i="19"/>
  <c r="I31" i="19"/>
  <c r="J31" i="19"/>
  <c r="K31" i="19"/>
  <c r="L31" i="19"/>
  <c r="M31" i="19"/>
  <c r="N31" i="19"/>
  <c r="O31" i="19"/>
  <c r="C32" i="19"/>
  <c r="D32" i="19"/>
  <c r="E32" i="19"/>
  <c r="F32" i="19"/>
  <c r="G32" i="19"/>
  <c r="H32" i="19"/>
  <c r="I32" i="19"/>
  <c r="J32" i="19"/>
  <c r="K32" i="19"/>
  <c r="L32" i="19"/>
  <c r="M32" i="19"/>
  <c r="N32" i="19"/>
  <c r="O32" i="19"/>
  <c r="C33" i="19"/>
  <c r="D33" i="19"/>
  <c r="E33" i="19"/>
  <c r="F33" i="19"/>
  <c r="G33" i="19"/>
  <c r="H33" i="19"/>
  <c r="I33" i="19"/>
  <c r="J33" i="19"/>
  <c r="K33" i="19"/>
  <c r="L33" i="19"/>
  <c r="M33" i="19"/>
  <c r="N33" i="19"/>
  <c r="O33" i="19"/>
  <c r="C34" i="19"/>
  <c r="D34" i="19"/>
  <c r="E34" i="19"/>
  <c r="F34" i="19"/>
  <c r="G34" i="19"/>
  <c r="H34" i="19"/>
  <c r="I34" i="19"/>
  <c r="J34" i="19"/>
  <c r="K34" i="19"/>
  <c r="L34" i="19"/>
  <c r="M34" i="19"/>
  <c r="N34" i="19"/>
  <c r="O34" i="19"/>
  <c r="C35" i="19"/>
  <c r="D35" i="19"/>
  <c r="E35" i="19"/>
  <c r="F35" i="19"/>
  <c r="G35" i="19"/>
  <c r="H35" i="19"/>
  <c r="I35" i="19"/>
  <c r="J35" i="19"/>
  <c r="K35" i="19"/>
  <c r="L35" i="19"/>
  <c r="M35" i="19"/>
  <c r="N35" i="19"/>
  <c r="O35" i="19"/>
  <c r="C1" i="19"/>
  <c r="D1" i="19"/>
  <c r="E1" i="19"/>
  <c r="F1" i="19"/>
  <c r="G1" i="19"/>
  <c r="H1" i="19"/>
  <c r="I1" i="19"/>
  <c r="J1" i="19"/>
  <c r="K1" i="19"/>
  <c r="L1" i="19"/>
  <c r="M1" i="19"/>
  <c r="N1" i="19"/>
  <c r="O1" i="19"/>
  <c r="C2" i="19"/>
  <c r="D2" i="19"/>
  <c r="E2" i="19"/>
  <c r="F2" i="19"/>
  <c r="G2" i="19"/>
  <c r="H2" i="19"/>
  <c r="I2" i="19"/>
  <c r="J2" i="19"/>
  <c r="K2" i="19"/>
  <c r="L2" i="19"/>
  <c r="M2" i="19"/>
  <c r="N2" i="19"/>
  <c r="O2" i="19"/>
  <c r="C3" i="19"/>
  <c r="D3" i="19"/>
  <c r="E3" i="19"/>
  <c r="F3" i="19"/>
  <c r="G3" i="19"/>
  <c r="H3" i="19"/>
  <c r="I3" i="19"/>
  <c r="J3" i="19"/>
  <c r="K3" i="19"/>
  <c r="L3" i="19"/>
  <c r="M3" i="19"/>
  <c r="N3" i="19"/>
  <c r="O3" i="19"/>
  <c r="C4" i="19"/>
  <c r="D4" i="19"/>
  <c r="E4" i="19"/>
  <c r="F4" i="19"/>
  <c r="G4" i="19"/>
  <c r="H4" i="19"/>
  <c r="I4" i="19"/>
  <c r="J4" i="19"/>
  <c r="K4" i="19"/>
  <c r="L4" i="19"/>
  <c r="M4" i="19"/>
  <c r="N4" i="19"/>
  <c r="O4" i="19"/>
  <c r="C5" i="19"/>
  <c r="D5" i="19"/>
  <c r="E5" i="19"/>
  <c r="F5" i="19"/>
  <c r="G5" i="19"/>
  <c r="H5" i="19"/>
  <c r="I5" i="19"/>
  <c r="J5" i="19"/>
  <c r="K5" i="19"/>
  <c r="L5" i="19"/>
  <c r="M5" i="19"/>
  <c r="N5" i="19"/>
  <c r="O5" i="19"/>
  <c r="C6" i="19"/>
  <c r="D6" i="19"/>
  <c r="E6" i="19"/>
  <c r="F6" i="19"/>
  <c r="G6" i="19"/>
  <c r="H6" i="19"/>
  <c r="I6" i="19"/>
  <c r="J6" i="19"/>
  <c r="K6" i="19"/>
  <c r="L6" i="19"/>
  <c r="M6" i="19"/>
  <c r="N6" i="19"/>
  <c r="O6" i="19"/>
  <c r="C7" i="19"/>
  <c r="D7" i="19"/>
  <c r="E7" i="19"/>
  <c r="F7" i="19"/>
  <c r="G7" i="19"/>
  <c r="H7" i="19"/>
  <c r="I7" i="19"/>
  <c r="J7" i="19"/>
  <c r="K7" i="19"/>
  <c r="L7" i="19"/>
  <c r="M7" i="19"/>
  <c r="N7" i="19"/>
  <c r="O7" i="19"/>
  <c r="C8" i="19"/>
  <c r="D8" i="19"/>
  <c r="E8" i="19"/>
  <c r="F8" i="19"/>
  <c r="G8" i="19"/>
  <c r="H8" i="19"/>
  <c r="I8" i="19"/>
  <c r="J8" i="19"/>
  <c r="K8" i="19"/>
  <c r="L8" i="19"/>
  <c r="M8" i="19"/>
  <c r="N8" i="19"/>
  <c r="O8" i="19"/>
  <c r="C9" i="19"/>
  <c r="D9" i="19"/>
  <c r="E9" i="19"/>
  <c r="F9" i="19"/>
  <c r="G9" i="19"/>
  <c r="H9" i="19"/>
  <c r="I9" i="19"/>
  <c r="J9" i="19"/>
  <c r="K9" i="19"/>
  <c r="L9" i="19"/>
  <c r="M9" i="19"/>
  <c r="N9" i="19"/>
  <c r="O9" i="19"/>
  <c r="C10" i="19"/>
  <c r="D10" i="19"/>
  <c r="E10" i="19"/>
  <c r="F10" i="19"/>
  <c r="G10" i="19"/>
  <c r="H10" i="19"/>
  <c r="I10" i="19"/>
  <c r="J10" i="19"/>
  <c r="K10" i="19"/>
  <c r="L10" i="19"/>
  <c r="M10" i="19"/>
  <c r="N10" i="19"/>
  <c r="O10" i="19"/>
  <c r="C11" i="19"/>
  <c r="D11" i="19"/>
  <c r="E11" i="19"/>
  <c r="F11" i="19"/>
  <c r="G11" i="19"/>
  <c r="H11" i="19"/>
  <c r="I11" i="19"/>
  <c r="J11" i="19"/>
  <c r="K11" i="19"/>
  <c r="L11" i="19"/>
  <c r="M11" i="19"/>
  <c r="N11" i="19"/>
  <c r="O11" i="19"/>
  <c r="C12" i="19"/>
  <c r="D12" i="19"/>
  <c r="E12" i="19"/>
  <c r="F12" i="19"/>
  <c r="G12" i="19"/>
  <c r="H12" i="19"/>
  <c r="I12" i="19"/>
  <c r="J12" i="19"/>
  <c r="K12" i="19"/>
  <c r="L12" i="19"/>
  <c r="M12" i="19"/>
  <c r="N12" i="19"/>
  <c r="O12" i="19"/>
  <c r="C13" i="19"/>
  <c r="D13" i="19"/>
  <c r="E13" i="19"/>
  <c r="F13" i="19"/>
  <c r="G13" i="19"/>
  <c r="H13" i="19"/>
  <c r="I13" i="19"/>
  <c r="J13" i="19"/>
  <c r="K13" i="19"/>
  <c r="L13" i="19"/>
  <c r="M13" i="19"/>
  <c r="N13" i="19"/>
  <c r="O13" i="19"/>
  <c r="C14" i="19"/>
  <c r="D14" i="19"/>
  <c r="E14" i="19"/>
  <c r="F14" i="19"/>
  <c r="G14" i="19"/>
  <c r="H14" i="19"/>
  <c r="I14" i="19"/>
  <c r="J14" i="19"/>
  <c r="K14" i="19"/>
  <c r="L14" i="19"/>
  <c r="M14" i="19"/>
  <c r="N14" i="19"/>
  <c r="O14" i="19"/>
  <c r="C15" i="19"/>
  <c r="D15" i="19"/>
  <c r="E15" i="19"/>
  <c r="F15" i="19"/>
  <c r="G15" i="19"/>
  <c r="H15" i="19"/>
  <c r="I15" i="19"/>
  <c r="J15" i="19"/>
  <c r="K15" i="19"/>
  <c r="L15" i="19"/>
  <c r="M15" i="19"/>
  <c r="N15" i="19"/>
  <c r="O15" i="19"/>
  <c r="C16" i="19"/>
  <c r="D16" i="19"/>
  <c r="E16" i="19"/>
  <c r="F16" i="19"/>
  <c r="G16" i="19"/>
  <c r="H16" i="19"/>
  <c r="I16" i="19"/>
  <c r="J16" i="19"/>
  <c r="K16" i="19"/>
  <c r="L16" i="19"/>
  <c r="M16" i="19"/>
  <c r="N16" i="19"/>
  <c r="O16" i="19"/>
  <c r="C17" i="19"/>
  <c r="D17" i="19"/>
  <c r="E17" i="19"/>
  <c r="F17" i="19"/>
  <c r="G17" i="19"/>
  <c r="H17" i="19"/>
  <c r="I17" i="19"/>
  <c r="J17" i="19"/>
  <c r="K17" i="19"/>
  <c r="L17" i="19"/>
  <c r="M17" i="19"/>
  <c r="N17" i="19"/>
  <c r="O17" i="19"/>
  <c r="C18" i="19"/>
  <c r="D18" i="19"/>
  <c r="E18" i="19"/>
  <c r="F18" i="19"/>
  <c r="G18" i="19"/>
  <c r="H18" i="19"/>
  <c r="I18" i="19"/>
  <c r="J18" i="19"/>
  <c r="K18" i="19"/>
  <c r="L18" i="19"/>
  <c r="M18" i="19"/>
  <c r="N18" i="19"/>
  <c r="O18" i="19"/>
  <c r="AG35" i="14" l="1"/>
  <c r="AF35" i="14"/>
  <c r="AE35" i="14"/>
  <c r="AD35" i="14"/>
  <c r="AC35" i="14"/>
  <c r="AB35" i="14"/>
  <c r="AA35" i="14"/>
  <c r="Z35" i="14"/>
  <c r="Y35" i="14"/>
  <c r="X35" i="14"/>
  <c r="W35" i="14"/>
  <c r="V35" i="14"/>
  <c r="U35" i="14"/>
  <c r="T35" i="14"/>
  <c r="S35" i="14"/>
  <c r="H34" i="14"/>
  <c r="C34" i="14"/>
  <c r="L34" i="14" s="1"/>
  <c r="H33" i="14"/>
  <c r="C33" i="14"/>
  <c r="L33" i="14" s="1"/>
  <c r="H32" i="14"/>
  <c r="C32" i="14"/>
  <c r="L32" i="14" s="1"/>
  <c r="H31" i="14"/>
  <c r="C31" i="14"/>
  <c r="L31" i="14" s="1"/>
  <c r="H30" i="14"/>
  <c r="C30" i="14"/>
  <c r="L30" i="14" s="1"/>
  <c r="H29" i="14"/>
  <c r="G29" i="14"/>
  <c r="C29" i="14"/>
  <c r="L29" i="14" s="1"/>
  <c r="H28" i="14"/>
  <c r="F28" i="14"/>
  <c r="C28" i="14"/>
  <c r="L28" i="14" s="1"/>
  <c r="H27" i="14"/>
  <c r="C27" i="14"/>
  <c r="L27" i="14" s="1"/>
  <c r="H26" i="14"/>
  <c r="C26" i="14"/>
  <c r="L26" i="14" s="1"/>
  <c r="H25" i="14"/>
  <c r="F25" i="14"/>
  <c r="C25" i="14"/>
  <c r="L25" i="14" s="1"/>
  <c r="H24" i="14"/>
  <c r="F24" i="14"/>
  <c r="C24" i="14"/>
  <c r="L24" i="14" s="1"/>
  <c r="H23" i="14"/>
  <c r="C23" i="14"/>
  <c r="L23" i="14" s="1"/>
  <c r="H22" i="14"/>
  <c r="F22" i="14"/>
  <c r="C22" i="14"/>
  <c r="L22" i="14" s="1"/>
  <c r="H21" i="14"/>
  <c r="C21" i="14"/>
  <c r="L21" i="14" s="1"/>
  <c r="H20" i="14"/>
  <c r="D20" i="14"/>
  <c r="C20" i="14"/>
  <c r="L20" i="14" s="1"/>
  <c r="AG17" i="14"/>
  <c r="AF17" i="14"/>
  <c r="AE17" i="14"/>
  <c r="AD17" i="14"/>
  <c r="AC17" i="14"/>
  <c r="AB17" i="14"/>
  <c r="AA17" i="14"/>
  <c r="Z17" i="14"/>
  <c r="Y17" i="14"/>
  <c r="X17" i="14"/>
  <c r="W17" i="14"/>
  <c r="V17" i="14"/>
  <c r="F34" i="14" s="1"/>
  <c r="U17" i="14"/>
  <c r="T17" i="14"/>
  <c r="AH17" i="14" s="1"/>
  <c r="S17" i="14"/>
  <c r="AG16" i="14"/>
  <c r="AF16" i="14"/>
  <c r="AE16" i="14"/>
  <c r="F33" i="14" s="1"/>
  <c r="AD16" i="14"/>
  <c r="AC16" i="14"/>
  <c r="AB16" i="14"/>
  <c r="AA16" i="14"/>
  <c r="Z16" i="14"/>
  <c r="Y16" i="14"/>
  <c r="X16" i="14"/>
  <c r="W16" i="14"/>
  <c r="V16" i="14"/>
  <c r="U16" i="14"/>
  <c r="T16" i="14"/>
  <c r="S16" i="14"/>
  <c r="AH16" i="14" s="1"/>
  <c r="AG15" i="14"/>
  <c r="AF15" i="14"/>
  <c r="F32" i="14" s="1"/>
  <c r="AE15" i="14"/>
  <c r="AD15" i="14"/>
  <c r="AC15" i="14"/>
  <c r="AB15" i="14"/>
  <c r="AA15" i="14"/>
  <c r="Z15" i="14"/>
  <c r="Y15" i="14"/>
  <c r="X15" i="14"/>
  <c r="W15" i="14"/>
  <c r="V15" i="14"/>
  <c r="U15" i="14"/>
  <c r="T15" i="14"/>
  <c r="AH15" i="14" s="1"/>
  <c r="S15" i="14"/>
  <c r="AG14" i="14"/>
  <c r="AF14" i="14"/>
  <c r="AE14" i="14"/>
  <c r="AD14" i="14"/>
  <c r="AC14" i="14"/>
  <c r="AB14" i="14"/>
  <c r="AA14" i="14"/>
  <c r="Z14" i="14"/>
  <c r="Y14" i="14"/>
  <c r="X14" i="14"/>
  <c r="W14" i="14"/>
  <c r="V14" i="14"/>
  <c r="U14" i="14"/>
  <c r="T14" i="14"/>
  <c r="S14" i="14"/>
  <c r="AH14" i="14" s="1"/>
  <c r="AG13" i="14"/>
  <c r="AF13" i="14"/>
  <c r="AE13" i="14"/>
  <c r="AD13" i="14"/>
  <c r="AC13" i="14"/>
  <c r="AB13" i="14"/>
  <c r="AA13" i="14"/>
  <c r="Z13" i="14"/>
  <c r="Y13" i="14"/>
  <c r="X13" i="14"/>
  <c r="W13" i="14"/>
  <c r="V13" i="14"/>
  <c r="U13" i="14"/>
  <c r="T13" i="14"/>
  <c r="F30" i="14" s="1"/>
  <c r="S13" i="14"/>
  <c r="AG12" i="14"/>
  <c r="F29" i="14" s="1"/>
  <c r="AF12" i="14"/>
  <c r="AE12" i="14"/>
  <c r="AD12" i="14"/>
  <c r="AC12" i="14"/>
  <c r="AB12" i="14"/>
  <c r="AA12" i="14"/>
  <c r="Z12" i="14"/>
  <c r="Y12" i="14"/>
  <c r="X12" i="14"/>
  <c r="W12" i="14"/>
  <c r="V12" i="14"/>
  <c r="U12" i="14"/>
  <c r="T12" i="14"/>
  <c r="S12" i="14"/>
  <c r="AH12" i="14" s="1"/>
  <c r="AG11" i="14"/>
  <c r="AF11" i="14"/>
  <c r="AE11" i="14"/>
  <c r="AD11" i="14"/>
  <c r="AC11" i="14"/>
  <c r="AB11" i="14"/>
  <c r="AA11" i="14"/>
  <c r="Z11" i="14"/>
  <c r="Y11" i="14"/>
  <c r="X11" i="14"/>
  <c r="W11" i="14"/>
  <c r="V11" i="14"/>
  <c r="U11" i="14"/>
  <c r="T11" i="14"/>
  <c r="AH11" i="14" s="1"/>
  <c r="S11" i="14"/>
  <c r="AG10" i="14"/>
  <c r="AF10" i="14"/>
  <c r="AE10" i="14"/>
  <c r="AD10" i="14"/>
  <c r="AC10" i="14"/>
  <c r="AB10" i="14"/>
  <c r="AA10" i="14"/>
  <c r="Z10" i="14"/>
  <c r="Y10" i="14"/>
  <c r="X10" i="14"/>
  <c r="W10" i="14"/>
  <c r="F27" i="14" s="1"/>
  <c r="V10" i="14"/>
  <c r="U10" i="14"/>
  <c r="T10" i="14"/>
  <c r="S10" i="14"/>
  <c r="AH10" i="14" s="1"/>
  <c r="AG9" i="14"/>
  <c r="AF9" i="14"/>
  <c r="AE9" i="14"/>
  <c r="AD9" i="14"/>
  <c r="AC9" i="14"/>
  <c r="AB9" i="14"/>
  <c r="AA9" i="14"/>
  <c r="Z9" i="14"/>
  <c r="F26" i="14" s="1"/>
  <c r="Y9" i="14"/>
  <c r="X9" i="14"/>
  <c r="W9" i="14"/>
  <c r="V9" i="14"/>
  <c r="U9" i="14"/>
  <c r="T9" i="14"/>
  <c r="AH9" i="14" s="1"/>
  <c r="S9" i="14"/>
  <c r="AG8" i="14"/>
  <c r="AF8" i="14"/>
  <c r="AE8" i="14"/>
  <c r="AD8" i="14"/>
  <c r="AC8" i="14"/>
  <c r="AB8" i="14"/>
  <c r="AA8" i="14"/>
  <c r="Z8" i="14"/>
  <c r="Y8" i="14"/>
  <c r="X8" i="14"/>
  <c r="W8" i="14"/>
  <c r="V8" i="14"/>
  <c r="U8" i="14"/>
  <c r="T8" i="14"/>
  <c r="S8" i="14"/>
  <c r="AH8" i="14" s="1"/>
  <c r="AG7" i="14"/>
  <c r="AF7" i="14"/>
  <c r="AE7" i="14"/>
  <c r="AD7" i="14"/>
  <c r="AC7" i="14"/>
  <c r="AB7" i="14"/>
  <c r="AA7" i="14"/>
  <c r="Z7" i="14"/>
  <c r="Y7" i="14"/>
  <c r="X7" i="14"/>
  <c r="W7" i="14"/>
  <c r="V7" i="14"/>
  <c r="U7" i="14"/>
  <c r="T7" i="14"/>
  <c r="S7" i="14"/>
  <c r="AH7" i="14" s="1"/>
  <c r="AG6" i="14"/>
  <c r="AF6" i="14"/>
  <c r="AE6" i="14"/>
  <c r="AD6" i="14"/>
  <c r="AC6" i="14"/>
  <c r="AB6" i="14"/>
  <c r="AA6" i="14"/>
  <c r="Z6" i="14"/>
  <c r="Y6" i="14"/>
  <c r="F23" i="14" s="1"/>
  <c r="X6" i="14"/>
  <c r="W6" i="14"/>
  <c r="V6" i="14"/>
  <c r="U6" i="14"/>
  <c r="T6" i="14"/>
  <c r="AH6" i="14" s="1"/>
  <c r="S6" i="14"/>
  <c r="AG5" i="14"/>
  <c r="AF5" i="14"/>
  <c r="AE5" i="14"/>
  <c r="AD5" i="14"/>
  <c r="AC5" i="14"/>
  <c r="AB5" i="14"/>
  <c r="AA5" i="14"/>
  <c r="Z5" i="14"/>
  <c r="Y5" i="14"/>
  <c r="X5" i="14"/>
  <c r="W5" i="14"/>
  <c r="V5" i="14"/>
  <c r="U5" i="14"/>
  <c r="T5" i="14"/>
  <c r="S5" i="14"/>
  <c r="AH5" i="14" s="1"/>
  <c r="AG4" i="14"/>
  <c r="AF4" i="14"/>
  <c r="AE4" i="14"/>
  <c r="AD4" i="14"/>
  <c r="AC4" i="14"/>
  <c r="F21" i="14" s="1"/>
  <c r="AB4" i="14"/>
  <c r="AA4" i="14"/>
  <c r="Z4" i="14"/>
  <c r="Y4" i="14"/>
  <c r="X4" i="14"/>
  <c r="W4" i="14"/>
  <c r="V4" i="14"/>
  <c r="U4" i="14"/>
  <c r="T4" i="14"/>
  <c r="AH4" i="14" s="1"/>
  <c r="S4" i="14"/>
  <c r="AG3" i="14"/>
  <c r="AF3" i="14"/>
  <c r="AE3" i="14"/>
  <c r="AD3" i="14"/>
  <c r="AC3" i="14"/>
  <c r="AB3" i="14"/>
  <c r="AA3" i="14"/>
  <c r="Z3" i="14"/>
  <c r="Y3" i="14"/>
  <c r="X3" i="14"/>
  <c r="W3" i="14"/>
  <c r="V3" i="14"/>
  <c r="U3" i="14"/>
  <c r="F20" i="14" s="1"/>
  <c r="T3" i="14"/>
  <c r="S3" i="14"/>
  <c r="AH3" i="14" s="1"/>
  <c r="AG35" i="13"/>
  <c r="AF35" i="13"/>
  <c r="AE35" i="13"/>
  <c r="AD35" i="13"/>
  <c r="AC35" i="13"/>
  <c r="AB35" i="13"/>
  <c r="AA35" i="13"/>
  <c r="Z35" i="13"/>
  <c r="Y35" i="13"/>
  <c r="X35" i="13"/>
  <c r="W35" i="13"/>
  <c r="V35" i="13"/>
  <c r="U35" i="13"/>
  <c r="T35" i="13"/>
  <c r="S35" i="13"/>
  <c r="H34" i="13"/>
  <c r="C34" i="13"/>
  <c r="L34" i="13" s="1"/>
  <c r="H33" i="13"/>
  <c r="C33" i="13"/>
  <c r="L33" i="13" s="1"/>
  <c r="H32" i="13"/>
  <c r="C32" i="13"/>
  <c r="L32" i="13" s="1"/>
  <c r="H31" i="13"/>
  <c r="C31" i="13"/>
  <c r="L31" i="13" s="1"/>
  <c r="H30" i="13"/>
  <c r="C30" i="13"/>
  <c r="L30" i="13" s="1"/>
  <c r="H29" i="13"/>
  <c r="G29" i="13"/>
  <c r="C29" i="13"/>
  <c r="L29" i="13" s="1"/>
  <c r="H28" i="13"/>
  <c r="F28" i="13"/>
  <c r="C28" i="13"/>
  <c r="L28" i="13" s="1"/>
  <c r="H27" i="13"/>
  <c r="C27" i="13"/>
  <c r="L27" i="13" s="1"/>
  <c r="H26" i="13"/>
  <c r="C26" i="13"/>
  <c r="L26" i="13" s="1"/>
  <c r="H25" i="13"/>
  <c r="F25" i="13"/>
  <c r="C25" i="13"/>
  <c r="L25" i="13" s="1"/>
  <c r="H24" i="13"/>
  <c r="F24" i="13"/>
  <c r="C24" i="13"/>
  <c r="L24" i="13" s="1"/>
  <c r="H23" i="13"/>
  <c r="C23" i="13"/>
  <c r="L23" i="13" s="1"/>
  <c r="H22" i="13"/>
  <c r="F22" i="13"/>
  <c r="C22" i="13"/>
  <c r="L22" i="13" s="1"/>
  <c r="H21" i="13"/>
  <c r="C21" i="13"/>
  <c r="L21" i="13" s="1"/>
  <c r="H20" i="13"/>
  <c r="D20" i="13"/>
  <c r="C20" i="13"/>
  <c r="L20" i="13" s="1"/>
  <c r="AG17" i="13"/>
  <c r="AF17" i="13"/>
  <c r="AE17" i="13"/>
  <c r="AD17" i="13"/>
  <c r="AC17" i="13"/>
  <c r="AB17" i="13"/>
  <c r="AA17" i="13"/>
  <c r="Z17" i="13"/>
  <c r="Y17" i="13"/>
  <c r="X17" i="13"/>
  <c r="W17" i="13"/>
  <c r="V17" i="13"/>
  <c r="F34" i="13" s="1"/>
  <c r="U17" i="13"/>
  <c r="T17" i="13"/>
  <c r="AH17" i="13" s="1"/>
  <c r="S17" i="13"/>
  <c r="AG16" i="13"/>
  <c r="AF16" i="13"/>
  <c r="AE16" i="13"/>
  <c r="F33" i="13" s="1"/>
  <c r="AD16" i="13"/>
  <c r="AC16" i="13"/>
  <c r="AB16" i="13"/>
  <c r="AA16" i="13"/>
  <c r="Z16" i="13"/>
  <c r="Y16" i="13"/>
  <c r="X16" i="13"/>
  <c r="W16" i="13"/>
  <c r="V16" i="13"/>
  <c r="U16" i="13"/>
  <c r="T16" i="13"/>
  <c r="S16" i="13"/>
  <c r="AH16" i="13" s="1"/>
  <c r="AG15" i="13"/>
  <c r="AF15" i="13"/>
  <c r="F32" i="13" s="1"/>
  <c r="AE15" i="13"/>
  <c r="AD15" i="13"/>
  <c r="AC15" i="13"/>
  <c r="AB15" i="13"/>
  <c r="AA15" i="13"/>
  <c r="Z15" i="13"/>
  <c r="Y15" i="13"/>
  <c r="X15" i="13"/>
  <c r="W15" i="13"/>
  <c r="V15" i="13"/>
  <c r="U15" i="13"/>
  <c r="T15" i="13"/>
  <c r="AH15" i="13" s="1"/>
  <c r="S15" i="13"/>
  <c r="AG14" i="13"/>
  <c r="AF14" i="13"/>
  <c r="AE14" i="13"/>
  <c r="AD14" i="13"/>
  <c r="AC14" i="13"/>
  <c r="AB14" i="13"/>
  <c r="AA14" i="13"/>
  <c r="Z14" i="13"/>
  <c r="Y14" i="13"/>
  <c r="X14" i="13"/>
  <c r="W14" i="13"/>
  <c r="V14" i="13"/>
  <c r="U14" i="13"/>
  <c r="T14" i="13"/>
  <c r="S14" i="13"/>
  <c r="AH14" i="13" s="1"/>
  <c r="AG13" i="13"/>
  <c r="AF13" i="13"/>
  <c r="AE13" i="13"/>
  <c r="AD13" i="13"/>
  <c r="AC13" i="13"/>
  <c r="AB13" i="13"/>
  <c r="AA13" i="13"/>
  <c r="Z13" i="13"/>
  <c r="Y13" i="13"/>
  <c r="X13" i="13"/>
  <c r="W13" i="13"/>
  <c r="V13" i="13"/>
  <c r="U13" i="13"/>
  <c r="T13" i="13"/>
  <c r="F30" i="13" s="1"/>
  <c r="S13" i="13"/>
  <c r="AG12" i="13"/>
  <c r="F29" i="13" s="1"/>
  <c r="AF12" i="13"/>
  <c r="AE12" i="13"/>
  <c r="AD12" i="13"/>
  <c r="AC12" i="13"/>
  <c r="AB12" i="13"/>
  <c r="AA12" i="13"/>
  <c r="Z12" i="13"/>
  <c r="Y12" i="13"/>
  <c r="X12" i="13"/>
  <c r="W12" i="13"/>
  <c r="V12" i="13"/>
  <c r="U12" i="13"/>
  <c r="T12" i="13"/>
  <c r="S12" i="13"/>
  <c r="AH12" i="13" s="1"/>
  <c r="AG11" i="13"/>
  <c r="AF11" i="13"/>
  <c r="AE11" i="13"/>
  <c r="AD11" i="13"/>
  <c r="AC11" i="13"/>
  <c r="AB11" i="13"/>
  <c r="AA11" i="13"/>
  <c r="Z11" i="13"/>
  <c r="Y11" i="13"/>
  <c r="X11" i="13"/>
  <c r="W11" i="13"/>
  <c r="V11" i="13"/>
  <c r="U11" i="13"/>
  <c r="T11" i="13"/>
  <c r="AH11" i="13" s="1"/>
  <c r="S11" i="13"/>
  <c r="AG10" i="13"/>
  <c r="AF10" i="13"/>
  <c r="AE10" i="13"/>
  <c r="AD10" i="13"/>
  <c r="AC10" i="13"/>
  <c r="AB10" i="13"/>
  <c r="AA10" i="13"/>
  <c r="Z10" i="13"/>
  <c r="Y10" i="13"/>
  <c r="X10" i="13"/>
  <c r="W10" i="13"/>
  <c r="F27" i="13" s="1"/>
  <c r="V10" i="13"/>
  <c r="U10" i="13"/>
  <c r="T10" i="13"/>
  <c r="S10" i="13"/>
  <c r="AH10" i="13" s="1"/>
  <c r="AG9" i="13"/>
  <c r="AF9" i="13"/>
  <c r="AE9" i="13"/>
  <c r="AD9" i="13"/>
  <c r="AC9" i="13"/>
  <c r="AB9" i="13"/>
  <c r="AA9" i="13"/>
  <c r="Z9" i="13"/>
  <c r="F26" i="13" s="1"/>
  <c r="Y9" i="13"/>
  <c r="X9" i="13"/>
  <c r="W9" i="13"/>
  <c r="V9" i="13"/>
  <c r="U9" i="13"/>
  <c r="T9" i="13"/>
  <c r="AH9" i="13" s="1"/>
  <c r="S9" i="13"/>
  <c r="AG8" i="13"/>
  <c r="AF8" i="13"/>
  <c r="AE8" i="13"/>
  <c r="AD8" i="13"/>
  <c r="AC8" i="13"/>
  <c r="AB8" i="13"/>
  <c r="AA8" i="13"/>
  <c r="Z8" i="13"/>
  <c r="Y8" i="13"/>
  <c r="X8" i="13"/>
  <c r="W8" i="13"/>
  <c r="V8" i="13"/>
  <c r="U8" i="13"/>
  <c r="T8" i="13"/>
  <c r="S8" i="13"/>
  <c r="AH8" i="13" s="1"/>
  <c r="AG7" i="13"/>
  <c r="AF7" i="13"/>
  <c r="AE7" i="13"/>
  <c r="AD7" i="13"/>
  <c r="AC7" i="13"/>
  <c r="AB7" i="13"/>
  <c r="AA7" i="13"/>
  <c r="Z7" i="13"/>
  <c r="Y7" i="13"/>
  <c r="X7" i="13"/>
  <c r="W7" i="13"/>
  <c r="V7" i="13"/>
  <c r="U7" i="13"/>
  <c r="T7" i="13"/>
  <c r="S7" i="13"/>
  <c r="AH7" i="13" s="1"/>
  <c r="AG6" i="13"/>
  <c r="AF6" i="13"/>
  <c r="AE6" i="13"/>
  <c r="AD6" i="13"/>
  <c r="AC6" i="13"/>
  <c r="AB6" i="13"/>
  <c r="AA6" i="13"/>
  <c r="Z6" i="13"/>
  <c r="Y6" i="13"/>
  <c r="F23" i="13" s="1"/>
  <c r="X6" i="13"/>
  <c r="W6" i="13"/>
  <c r="V6" i="13"/>
  <c r="U6" i="13"/>
  <c r="T6" i="13"/>
  <c r="AH6" i="13" s="1"/>
  <c r="S6" i="13"/>
  <c r="AG5" i="13"/>
  <c r="AF5" i="13"/>
  <c r="AE5" i="13"/>
  <c r="AD5" i="13"/>
  <c r="AC5" i="13"/>
  <c r="AB5" i="13"/>
  <c r="AA5" i="13"/>
  <c r="Z5" i="13"/>
  <c r="Y5" i="13"/>
  <c r="X5" i="13"/>
  <c r="W5" i="13"/>
  <c r="V5" i="13"/>
  <c r="U5" i="13"/>
  <c r="T5" i="13"/>
  <c r="S5" i="13"/>
  <c r="AH5" i="13" s="1"/>
  <c r="AG4" i="13"/>
  <c r="AF4" i="13"/>
  <c r="AE4" i="13"/>
  <c r="AD4" i="13"/>
  <c r="AC4" i="13"/>
  <c r="F21" i="13" s="1"/>
  <c r="AB4" i="13"/>
  <c r="AA4" i="13"/>
  <c r="Z4" i="13"/>
  <c r="Y4" i="13"/>
  <c r="X4" i="13"/>
  <c r="W4" i="13"/>
  <c r="V4" i="13"/>
  <c r="U4" i="13"/>
  <c r="T4" i="13"/>
  <c r="AH4" i="13" s="1"/>
  <c r="S4" i="13"/>
  <c r="AG3" i="13"/>
  <c r="AF3" i="13"/>
  <c r="AE3" i="13"/>
  <c r="AD3" i="13"/>
  <c r="AC3" i="13"/>
  <c r="AB3" i="13"/>
  <c r="AA3" i="13"/>
  <c r="Z3" i="13"/>
  <c r="Y3" i="13"/>
  <c r="X3" i="13"/>
  <c r="W3" i="13"/>
  <c r="V3" i="13"/>
  <c r="U3" i="13"/>
  <c r="F20" i="13" s="1"/>
  <c r="T3" i="13"/>
  <c r="S3" i="13"/>
  <c r="AH3" i="13" s="1"/>
  <c r="AG35" i="12"/>
  <c r="AF35" i="12"/>
  <c r="AE35" i="12"/>
  <c r="AD35" i="12"/>
  <c r="AC35" i="12"/>
  <c r="AB35" i="12"/>
  <c r="AA35" i="12"/>
  <c r="Z35" i="12"/>
  <c r="Y35" i="12"/>
  <c r="X35" i="12"/>
  <c r="W35" i="12"/>
  <c r="V35" i="12"/>
  <c r="U35" i="12"/>
  <c r="T35" i="12"/>
  <c r="S35" i="12"/>
  <c r="H34" i="12"/>
  <c r="C34" i="12"/>
  <c r="L34" i="12" s="1"/>
  <c r="H33" i="12"/>
  <c r="C33" i="12"/>
  <c r="L33" i="12" s="1"/>
  <c r="H32" i="12"/>
  <c r="C32" i="12"/>
  <c r="L32" i="12" s="1"/>
  <c r="H31" i="12"/>
  <c r="C31" i="12"/>
  <c r="L31" i="12" s="1"/>
  <c r="H30" i="12"/>
  <c r="C30" i="12"/>
  <c r="L30" i="12" s="1"/>
  <c r="H29" i="12"/>
  <c r="G29" i="12"/>
  <c r="C29" i="12"/>
  <c r="L29" i="12" s="1"/>
  <c r="H28" i="12"/>
  <c r="F28" i="12"/>
  <c r="C28" i="12"/>
  <c r="L28" i="12" s="1"/>
  <c r="H27" i="12"/>
  <c r="C27" i="12"/>
  <c r="L27" i="12" s="1"/>
  <c r="H26" i="12"/>
  <c r="C26" i="12"/>
  <c r="L26" i="12" s="1"/>
  <c r="H25" i="12"/>
  <c r="F25" i="12"/>
  <c r="C25" i="12"/>
  <c r="L25" i="12" s="1"/>
  <c r="H24" i="12"/>
  <c r="F24" i="12"/>
  <c r="C24" i="12"/>
  <c r="L24" i="12" s="1"/>
  <c r="H23" i="12"/>
  <c r="C23" i="12"/>
  <c r="L23" i="12" s="1"/>
  <c r="H22" i="12"/>
  <c r="F22" i="12"/>
  <c r="C22" i="12"/>
  <c r="L22" i="12" s="1"/>
  <c r="H21" i="12"/>
  <c r="C21" i="12"/>
  <c r="L21" i="12" s="1"/>
  <c r="H20" i="12"/>
  <c r="D20" i="12"/>
  <c r="C20" i="12"/>
  <c r="L20" i="12" s="1"/>
  <c r="AG17" i="12"/>
  <c r="AF17" i="12"/>
  <c r="AE17" i="12"/>
  <c r="AD17" i="12"/>
  <c r="AC17" i="12"/>
  <c r="AB17" i="12"/>
  <c r="AA17" i="12"/>
  <c r="Z17" i="12"/>
  <c r="Y17" i="12"/>
  <c r="X17" i="12"/>
  <c r="W17" i="12"/>
  <c r="V17" i="12"/>
  <c r="F34" i="12" s="1"/>
  <c r="U17" i="12"/>
  <c r="T17" i="12"/>
  <c r="AH17" i="12" s="1"/>
  <c r="S17" i="12"/>
  <c r="AG16" i="12"/>
  <c r="AF16" i="12"/>
  <c r="AE16" i="12"/>
  <c r="F33" i="12" s="1"/>
  <c r="AD16" i="12"/>
  <c r="AC16" i="12"/>
  <c r="AB16" i="12"/>
  <c r="AA16" i="12"/>
  <c r="Z16" i="12"/>
  <c r="Y16" i="12"/>
  <c r="X16" i="12"/>
  <c r="W16" i="12"/>
  <c r="V16" i="12"/>
  <c r="U16" i="12"/>
  <c r="T16" i="12"/>
  <c r="S16" i="12"/>
  <c r="AH16" i="12" s="1"/>
  <c r="AG15" i="12"/>
  <c r="AF15" i="12"/>
  <c r="F32" i="12" s="1"/>
  <c r="AE15" i="12"/>
  <c r="AD15" i="12"/>
  <c r="AC15" i="12"/>
  <c r="AB15" i="12"/>
  <c r="AA15" i="12"/>
  <c r="Z15" i="12"/>
  <c r="Y15" i="12"/>
  <c r="X15" i="12"/>
  <c r="W15" i="12"/>
  <c r="V15" i="12"/>
  <c r="U15" i="12"/>
  <c r="T15" i="12"/>
  <c r="AH15" i="12" s="1"/>
  <c r="S15" i="12"/>
  <c r="AG14" i="12"/>
  <c r="AF14" i="12"/>
  <c r="AE14" i="12"/>
  <c r="AD14" i="12"/>
  <c r="AC14" i="12"/>
  <c r="AB14" i="12"/>
  <c r="AA14" i="12"/>
  <c r="Z14" i="12"/>
  <c r="Y14" i="12"/>
  <c r="X14" i="12"/>
  <c r="W14" i="12"/>
  <c r="V14" i="12"/>
  <c r="U14" i="12"/>
  <c r="T14" i="12"/>
  <c r="S14" i="12"/>
  <c r="AH14" i="12" s="1"/>
  <c r="AG13" i="12"/>
  <c r="AF13" i="12"/>
  <c r="AE13" i="12"/>
  <c r="AD13" i="12"/>
  <c r="AC13" i="12"/>
  <c r="AB13" i="12"/>
  <c r="AA13" i="12"/>
  <c r="Z13" i="12"/>
  <c r="Y13" i="12"/>
  <c r="X13" i="12"/>
  <c r="W13" i="12"/>
  <c r="V13" i="12"/>
  <c r="U13" i="12"/>
  <c r="T13" i="12"/>
  <c r="F30" i="12" s="1"/>
  <c r="S13" i="12"/>
  <c r="AG12" i="12"/>
  <c r="F29" i="12" s="1"/>
  <c r="AF12" i="12"/>
  <c r="AE12" i="12"/>
  <c r="AD12" i="12"/>
  <c r="AC12" i="12"/>
  <c r="AB12" i="12"/>
  <c r="AA12" i="12"/>
  <c r="Z12" i="12"/>
  <c r="Y12" i="12"/>
  <c r="X12" i="12"/>
  <c r="W12" i="12"/>
  <c r="V12" i="12"/>
  <c r="U12" i="12"/>
  <c r="T12" i="12"/>
  <c r="S12" i="12"/>
  <c r="AH12" i="12" s="1"/>
  <c r="AG11" i="12"/>
  <c r="AF11" i="12"/>
  <c r="AE11" i="12"/>
  <c r="AD11" i="12"/>
  <c r="AC11" i="12"/>
  <c r="AB11" i="12"/>
  <c r="AA11" i="12"/>
  <c r="Z11" i="12"/>
  <c r="Y11" i="12"/>
  <c r="X11" i="12"/>
  <c r="W11" i="12"/>
  <c r="V11" i="12"/>
  <c r="U11" i="12"/>
  <c r="T11" i="12"/>
  <c r="AH11" i="12" s="1"/>
  <c r="S11" i="12"/>
  <c r="AG10" i="12"/>
  <c r="AF10" i="12"/>
  <c r="AE10" i="12"/>
  <c r="AD10" i="12"/>
  <c r="AC10" i="12"/>
  <c r="AB10" i="12"/>
  <c r="AA10" i="12"/>
  <c r="Z10" i="12"/>
  <c r="Y10" i="12"/>
  <c r="X10" i="12"/>
  <c r="W10" i="12"/>
  <c r="F27" i="12" s="1"/>
  <c r="V10" i="12"/>
  <c r="U10" i="12"/>
  <c r="T10" i="12"/>
  <c r="S10" i="12"/>
  <c r="AH10" i="12" s="1"/>
  <c r="AG9" i="12"/>
  <c r="AF9" i="12"/>
  <c r="AE9" i="12"/>
  <c r="AD9" i="12"/>
  <c r="AC9" i="12"/>
  <c r="AB9" i="12"/>
  <c r="AA9" i="12"/>
  <c r="Z9" i="12"/>
  <c r="F26" i="12" s="1"/>
  <c r="Y9" i="12"/>
  <c r="X9" i="12"/>
  <c r="W9" i="12"/>
  <c r="V9" i="12"/>
  <c r="U9" i="12"/>
  <c r="T9" i="12"/>
  <c r="AH9" i="12" s="1"/>
  <c r="S9" i="12"/>
  <c r="AG8" i="12"/>
  <c r="AF8" i="12"/>
  <c r="AE8" i="12"/>
  <c r="AD8" i="12"/>
  <c r="AC8" i="12"/>
  <c r="AB8" i="12"/>
  <c r="AA8" i="12"/>
  <c r="Z8" i="12"/>
  <c r="Y8" i="12"/>
  <c r="X8" i="12"/>
  <c r="W8" i="12"/>
  <c r="V8" i="12"/>
  <c r="U8" i="12"/>
  <c r="T8" i="12"/>
  <c r="S8" i="12"/>
  <c r="AH8" i="12" s="1"/>
  <c r="AG7" i="12"/>
  <c r="AF7" i="12"/>
  <c r="AE7" i="12"/>
  <c r="AD7" i="12"/>
  <c r="AC7" i="12"/>
  <c r="AB7" i="12"/>
  <c r="AA7" i="12"/>
  <c r="Z7" i="12"/>
  <c r="Y7" i="12"/>
  <c r="X7" i="12"/>
  <c r="W7" i="12"/>
  <c r="V7" i="12"/>
  <c r="U7" i="12"/>
  <c r="T7" i="12"/>
  <c r="S7" i="12"/>
  <c r="AH7" i="12" s="1"/>
  <c r="AG6" i="12"/>
  <c r="AF6" i="12"/>
  <c r="AE6" i="12"/>
  <c r="AD6" i="12"/>
  <c r="AC6" i="12"/>
  <c r="AB6" i="12"/>
  <c r="AA6" i="12"/>
  <c r="Z6" i="12"/>
  <c r="Y6" i="12"/>
  <c r="F23" i="12" s="1"/>
  <c r="X6" i="12"/>
  <c r="W6" i="12"/>
  <c r="V6" i="12"/>
  <c r="U6" i="12"/>
  <c r="T6" i="12"/>
  <c r="AH6" i="12" s="1"/>
  <c r="S6" i="12"/>
  <c r="AG5" i="12"/>
  <c r="AF5" i="12"/>
  <c r="AE5" i="12"/>
  <c r="AD5" i="12"/>
  <c r="AC5" i="12"/>
  <c r="AB5" i="12"/>
  <c r="AA5" i="12"/>
  <c r="Z5" i="12"/>
  <c r="Y5" i="12"/>
  <c r="X5" i="12"/>
  <c r="W5" i="12"/>
  <c r="V5" i="12"/>
  <c r="U5" i="12"/>
  <c r="T5" i="12"/>
  <c r="S5" i="12"/>
  <c r="AH5" i="12" s="1"/>
  <c r="AG4" i="12"/>
  <c r="AF4" i="12"/>
  <c r="AE4" i="12"/>
  <c r="AD4" i="12"/>
  <c r="AC4" i="12"/>
  <c r="F21" i="12" s="1"/>
  <c r="AB4" i="12"/>
  <c r="AA4" i="12"/>
  <c r="Z4" i="12"/>
  <c r="Y4" i="12"/>
  <c r="X4" i="12"/>
  <c r="W4" i="12"/>
  <c r="V4" i="12"/>
  <c r="U4" i="12"/>
  <c r="T4" i="12"/>
  <c r="AH4" i="12" s="1"/>
  <c r="S4" i="12"/>
  <c r="AG3" i="12"/>
  <c r="AF3" i="12"/>
  <c r="AE3" i="12"/>
  <c r="AD3" i="12"/>
  <c r="AC3" i="12"/>
  <c r="AB3" i="12"/>
  <c r="AA3" i="12"/>
  <c r="Z3" i="12"/>
  <c r="Y3" i="12"/>
  <c r="X3" i="12"/>
  <c r="W3" i="12"/>
  <c r="V3" i="12"/>
  <c r="U3" i="12"/>
  <c r="F20" i="12" s="1"/>
  <c r="T3" i="12"/>
  <c r="S3" i="12"/>
  <c r="AH3" i="12" s="1"/>
  <c r="AG35" i="11"/>
  <c r="AF35" i="11"/>
  <c r="AE35" i="11"/>
  <c r="AD35" i="11"/>
  <c r="AC35" i="11"/>
  <c r="AB35" i="11"/>
  <c r="AA35" i="11"/>
  <c r="Z35" i="11"/>
  <c r="Y35" i="11"/>
  <c r="X35" i="11"/>
  <c r="W35" i="11"/>
  <c r="V35" i="11"/>
  <c r="U35" i="11"/>
  <c r="T35" i="11"/>
  <c r="S35" i="11"/>
  <c r="H34" i="11"/>
  <c r="C34" i="11"/>
  <c r="L34" i="11" s="1"/>
  <c r="H33" i="11"/>
  <c r="C33" i="11"/>
  <c r="L33" i="11" s="1"/>
  <c r="H32" i="11"/>
  <c r="C32" i="11"/>
  <c r="L32" i="11" s="1"/>
  <c r="H31" i="11"/>
  <c r="C31" i="11"/>
  <c r="L31" i="11" s="1"/>
  <c r="H30" i="11"/>
  <c r="C30" i="11"/>
  <c r="L30" i="11" s="1"/>
  <c r="H29" i="11"/>
  <c r="G29" i="11"/>
  <c r="C29" i="11"/>
  <c r="L29" i="11" s="1"/>
  <c r="H28" i="11"/>
  <c r="F28" i="11"/>
  <c r="C28" i="11"/>
  <c r="L28" i="11" s="1"/>
  <c r="H27" i="11"/>
  <c r="C27" i="11"/>
  <c r="L27" i="11" s="1"/>
  <c r="H26" i="11"/>
  <c r="C26" i="11"/>
  <c r="L26" i="11" s="1"/>
  <c r="H25" i="11"/>
  <c r="F25" i="11"/>
  <c r="C25" i="11"/>
  <c r="L25" i="11" s="1"/>
  <c r="H24" i="11"/>
  <c r="F24" i="11"/>
  <c r="C24" i="11"/>
  <c r="L24" i="11" s="1"/>
  <c r="H23" i="11"/>
  <c r="C23" i="11"/>
  <c r="L23" i="11" s="1"/>
  <c r="H22" i="11"/>
  <c r="F22" i="11"/>
  <c r="C22" i="11"/>
  <c r="L22" i="11" s="1"/>
  <c r="H21" i="11"/>
  <c r="C21" i="11"/>
  <c r="L21" i="11" s="1"/>
  <c r="H20" i="11"/>
  <c r="D20" i="11"/>
  <c r="C20" i="11"/>
  <c r="L20" i="11" s="1"/>
  <c r="AG17" i="11"/>
  <c r="AF17" i="11"/>
  <c r="AE17" i="11"/>
  <c r="AD17" i="11"/>
  <c r="AC17" i="11"/>
  <c r="AB17" i="11"/>
  <c r="AA17" i="11"/>
  <c r="Z17" i="11"/>
  <c r="Y17" i="11"/>
  <c r="X17" i="11"/>
  <c r="W17" i="11"/>
  <c r="V17" i="11"/>
  <c r="F34" i="11" s="1"/>
  <c r="U17" i="11"/>
  <c r="T17" i="11"/>
  <c r="AH17" i="11" s="1"/>
  <c r="S17" i="11"/>
  <c r="AG16" i="11"/>
  <c r="AF16" i="11"/>
  <c r="AE16" i="11"/>
  <c r="F33" i="11" s="1"/>
  <c r="AD16" i="11"/>
  <c r="AC16" i="11"/>
  <c r="AB16" i="11"/>
  <c r="AA16" i="11"/>
  <c r="Z16" i="11"/>
  <c r="Y16" i="11"/>
  <c r="X16" i="11"/>
  <c r="W16" i="11"/>
  <c r="V16" i="11"/>
  <c r="U16" i="11"/>
  <c r="T16" i="11"/>
  <c r="S16" i="11"/>
  <c r="AH16" i="11" s="1"/>
  <c r="AG15" i="11"/>
  <c r="AF15" i="11"/>
  <c r="F32" i="11" s="1"/>
  <c r="AE15" i="11"/>
  <c r="AD15" i="11"/>
  <c r="AC15" i="11"/>
  <c r="AB15" i="11"/>
  <c r="AA15" i="11"/>
  <c r="Z15" i="11"/>
  <c r="Y15" i="11"/>
  <c r="X15" i="11"/>
  <c r="W15" i="11"/>
  <c r="V15" i="11"/>
  <c r="U15" i="11"/>
  <c r="T15" i="11"/>
  <c r="AH15" i="11" s="1"/>
  <c r="S15" i="11"/>
  <c r="AG14" i="11"/>
  <c r="AF14" i="11"/>
  <c r="AE14" i="11"/>
  <c r="AD14" i="11"/>
  <c r="AC14" i="11"/>
  <c r="AB14" i="11"/>
  <c r="AA14" i="11"/>
  <c r="Z14" i="11"/>
  <c r="Y14" i="11"/>
  <c r="X14" i="11"/>
  <c r="W14" i="11"/>
  <c r="V14" i="11"/>
  <c r="U14" i="11"/>
  <c r="T14" i="11"/>
  <c r="S14" i="11"/>
  <c r="AH14" i="11" s="1"/>
  <c r="AG13" i="11"/>
  <c r="AF13" i="11"/>
  <c r="AE13" i="11"/>
  <c r="AD13" i="11"/>
  <c r="AC13" i="11"/>
  <c r="AB13" i="11"/>
  <c r="AA13" i="11"/>
  <c r="Z13" i="11"/>
  <c r="Y13" i="11"/>
  <c r="X13" i="11"/>
  <c r="W13" i="11"/>
  <c r="V13" i="11"/>
  <c r="U13" i="11"/>
  <c r="T13" i="11"/>
  <c r="F30" i="11" s="1"/>
  <c r="S13" i="11"/>
  <c r="AG12" i="11"/>
  <c r="F29" i="11" s="1"/>
  <c r="AF12" i="11"/>
  <c r="AE12" i="11"/>
  <c r="AD12" i="11"/>
  <c r="AC12" i="11"/>
  <c r="AB12" i="11"/>
  <c r="AA12" i="11"/>
  <c r="Z12" i="11"/>
  <c r="Y12" i="11"/>
  <c r="X12" i="11"/>
  <c r="W12" i="11"/>
  <c r="V12" i="11"/>
  <c r="U12" i="11"/>
  <c r="T12" i="11"/>
  <c r="S12" i="11"/>
  <c r="AH12" i="11" s="1"/>
  <c r="AG11" i="11"/>
  <c r="AF11" i="11"/>
  <c r="AE11" i="11"/>
  <c r="AD11" i="11"/>
  <c r="AC11" i="11"/>
  <c r="AB11" i="11"/>
  <c r="AA11" i="11"/>
  <c r="Z11" i="11"/>
  <c r="Y11" i="11"/>
  <c r="X11" i="11"/>
  <c r="W11" i="11"/>
  <c r="V11" i="11"/>
  <c r="U11" i="11"/>
  <c r="T11" i="11"/>
  <c r="AH11" i="11" s="1"/>
  <c r="S11" i="11"/>
  <c r="AG10" i="11"/>
  <c r="AF10" i="11"/>
  <c r="AE10" i="11"/>
  <c r="AD10" i="11"/>
  <c r="AC10" i="11"/>
  <c r="AB10" i="11"/>
  <c r="AA10" i="11"/>
  <c r="Z10" i="11"/>
  <c r="Y10" i="11"/>
  <c r="X10" i="11"/>
  <c r="W10" i="11"/>
  <c r="F27" i="11" s="1"/>
  <c r="V10" i="11"/>
  <c r="U10" i="11"/>
  <c r="T10" i="11"/>
  <c r="S10" i="11"/>
  <c r="AH10" i="11" s="1"/>
  <c r="AG9" i="11"/>
  <c r="AF9" i="11"/>
  <c r="AE9" i="11"/>
  <c r="AD9" i="11"/>
  <c r="AC9" i="11"/>
  <c r="AB9" i="11"/>
  <c r="AA9" i="11"/>
  <c r="Z9" i="11"/>
  <c r="F26" i="11" s="1"/>
  <c r="Y9" i="11"/>
  <c r="X9" i="11"/>
  <c r="W9" i="11"/>
  <c r="V9" i="11"/>
  <c r="U9" i="11"/>
  <c r="T9" i="11"/>
  <c r="AH9" i="11" s="1"/>
  <c r="S9" i="11"/>
  <c r="AG8" i="11"/>
  <c r="AF8" i="11"/>
  <c r="AE8" i="11"/>
  <c r="AD8" i="11"/>
  <c r="AC8" i="11"/>
  <c r="AB8" i="11"/>
  <c r="AA8" i="11"/>
  <c r="Z8" i="11"/>
  <c r="Y8" i="11"/>
  <c r="X8" i="11"/>
  <c r="W8" i="11"/>
  <c r="V8" i="11"/>
  <c r="U8" i="11"/>
  <c r="T8" i="11"/>
  <c r="S8" i="11"/>
  <c r="AH8" i="11" s="1"/>
  <c r="AG7" i="11"/>
  <c r="AF7" i="11"/>
  <c r="AE7" i="11"/>
  <c r="AD7" i="11"/>
  <c r="AC7" i="11"/>
  <c r="AB7" i="11"/>
  <c r="AA7" i="11"/>
  <c r="Z7" i="11"/>
  <c r="Y7" i="11"/>
  <c r="X7" i="11"/>
  <c r="W7" i="11"/>
  <c r="V7" i="11"/>
  <c r="U7" i="11"/>
  <c r="T7" i="11"/>
  <c r="S7" i="11"/>
  <c r="AH7" i="11" s="1"/>
  <c r="AG6" i="11"/>
  <c r="AF6" i="11"/>
  <c r="AE6" i="11"/>
  <c r="AD6" i="11"/>
  <c r="AC6" i="11"/>
  <c r="AB6" i="11"/>
  <c r="AA6" i="11"/>
  <c r="Z6" i="11"/>
  <c r="Y6" i="11"/>
  <c r="F23" i="11" s="1"/>
  <c r="X6" i="11"/>
  <c r="W6" i="11"/>
  <c r="V6" i="11"/>
  <c r="U6" i="11"/>
  <c r="T6" i="11"/>
  <c r="AH6" i="11" s="1"/>
  <c r="S6" i="11"/>
  <c r="AG5" i="11"/>
  <c r="AF5" i="11"/>
  <c r="AE5" i="11"/>
  <c r="AD5" i="11"/>
  <c r="AC5" i="11"/>
  <c r="AB5" i="11"/>
  <c r="AA5" i="11"/>
  <c r="Z5" i="11"/>
  <c r="Y5" i="11"/>
  <c r="X5" i="11"/>
  <c r="W5" i="11"/>
  <c r="V5" i="11"/>
  <c r="U5" i="11"/>
  <c r="T5" i="11"/>
  <c r="S5" i="11"/>
  <c r="AH5" i="11" s="1"/>
  <c r="AG4" i="11"/>
  <c r="AF4" i="11"/>
  <c r="AE4" i="11"/>
  <c r="AD4" i="11"/>
  <c r="AC4" i="11"/>
  <c r="F21" i="11" s="1"/>
  <c r="AB4" i="11"/>
  <c r="AA4" i="11"/>
  <c r="Z4" i="11"/>
  <c r="Y4" i="11"/>
  <c r="X4" i="11"/>
  <c r="W4" i="11"/>
  <c r="V4" i="11"/>
  <c r="U4" i="11"/>
  <c r="T4" i="11"/>
  <c r="AH4" i="11" s="1"/>
  <c r="S4" i="11"/>
  <c r="AG3" i="11"/>
  <c r="AF3" i="11"/>
  <c r="AE3" i="11"/>
  <c r="AD3" i="11"/>
  <c r="AC3" i="11"/>
  <c r="AB3" i="11"/>
  <c r="AA3" i="11"/>
  <c r="Z3" i="11"/>
  <c r="Y3" i="11"/>
  <c r="X3" i="11"/>
  <c r="W3" i="11"/>
  <c r="V3" i="11"/>
  <c r="U3" i="11"/>
  <c r="F20" i="11" s="1"/>
  <c r="T3" i="11"/>
  <c r="S3" i="11"/>
  <c r="AH3" i="11" s="1"/>
  <c r="M38" i="1"/>
  <c r="M37" i="1"/>
  <c r="M36" i="1"/>
  <c r="M35" i="1"/>
  <c r="M34" i="1"/>
  <c r="M33" i="1"/>
  <c r="M32" i="1"/>
  <c r="M31" i="1"/>
  <c r="M30" i="1"/>
  <c r="M29" i="1"/>
  <c r="M28" i="1"/>
  <c r="M27" i="1"/>
  <c r="M26" i="1"/>
  <c r="M25" i="1"/>
  <c r="M24" i="1"/>
  <c r="M23" i="1"/>
  <c r="M22" i="1"/>
  <c r="L38" i="1"/>
  <c r="L37" i="1"/>
  <c r="L36" i="1"/>
  <c r="L35" i="1"/>
  <c r="L34" i="1"/>
  <c r="L33" i="1"/>
  <c r="L32" i="1"/>
  <c r="L31" i="1"/>
  <c r="L30" i="1"/>
  <c r="L29" i="1"/>
  <c r="L28" i="1"/>
  <c r="L27" i="1"/>
  <c r="L26" i="1"/>
  <c r="L25" i="1"/>
  <c r="L24" i="1"/>
  <c r="L23" i="1"/>
  <c r="L22" i="1"/>
  <c r="M34" i="5"/>
  <c r="M33" i="5"/>
  <c r="M32" i="5"/>
  <c r="M31" i="5"/>
  <c r="M30" i="5"/>
  <c r="M29" i="5"/>
  <c r="M28" i="5"/>
  <c r="M27" i="5"/>
  <c r="M26" i="5"/>
  <c r="M25" i="5"/>
  <c r="M24" i="5"/>
  <c r="M23" i="5"/>
  <c r="M22" i="5"/>
  <c r="M21" i="5"/>
  <c r="L34" i="5"/>
  <c r="L33" i="5"/>
  <c r="L32" i="5"/>
  <c r="L31" i="5"/>
  <c r="L30" i="5"/>
  <c r="L29" i="5"/>
  <c r="L28" i="5"/>
  <c r="L27" i="5"/>
  <c r="L26" i="5"/>
  <c r="L25" i="5"/>
  <c r="L24" i="5"/>
  <c r="L23" i="5"/>
  <c r="L22" i="5"/>
  <c r="L21" i="5"/>
  <c r="M20" i="5"/>
  <c r="L20" i="5"/>
  <c r="E2" i="3"/>
  <c r="O17" i="14"/>
  <c r="M17" i="14"/>
  <c r="K17" i="14"/>
  <c r="I17" i="14"/>
  <c r="G17" i="14"/>
  <c r="E17" i="14"/>
  <c r="C17" i="14"/>
  <c r="P16" i="14"/>
  <c r="N16" i="14"/>
  <c r="L16" i="14"/>
  <c r="J16" i="14"/>
  <c r="H16" i="14"/>
  <c r="F16" i="14"/>
  <c r="D16" i="14"/>
  <c r="B16" i="14"/>
  <c r="O15" i="14"/>
  <c r="M15" i="14"/>
  <c r="K15" i="14"/>
  <c r="I15" i="14"/>
  <c r="G15" i="14"/>
  <c r="E15" i="14"/>
  <c r="C15" i="14"/>
  <c r="P14" i="14"/>
  <c r="N14" i="14"/>
  <c r="L14" i="14"/>
  <c r="J14" i="14"/>
  <c r="H14" i="14"/>
  <c r="F14" i="14"/>
  <c r="D14" i="14"/>
  <c r="B14" i="14"/>
  <c r="O13" i="14"/>
  <c r="M13" i="14"/>
  <c r="K13" i="14"/>
  <c r="I13" i="14"/>
  <c r="G13" i="14"/>
  <c r="E13" i="14"/>
  <c r="C13" i="14"/>
  <c r="P12" i="14"/>
  <c r="N12" i="14"/>
  <c r="L12" i="14"/>
  <c r="J12" i="14"/>
  <c r="H12" i="14"/>
  <c r="F12" i="14"/>
  <c r="D12" i="14"/>
  <c r="B12" i="14"/>
  <c r="O11" i="14"/>
  <c r="M11" i="14"/>
  <c r="K11" i="14"/>
  <c r="I11" i="14"/>
  <c r="G11" i="14"/>
  <c r="E11" i="14"/>
  <c r="C11" i="14"/>
  <c r="P10" i="14"/>
  <c r="N10" i="14"/>
  <c r="L10" i="14"/>
  <c r="J10" i="14"/>
  <c r="H10" i="14"/>
  <c r="F10" i="14"/>
  <c r="D10" i="14"/>
  <c r="B10" i="14"/>
  <c r="O9" i="14"/>
  <c r="M9" i="14"/>
  <c r="K9" i="14"/>
  <c r="I9" i="14"/>
  <c r="G9" i="14"/>
  <c r="E9" i="14"/>
  <c r="C9" i="14"/>
  <c r="P8" i="14"/>
  <c r="N17" i="14"/>
  <c r="J17" i="14"/>
  <c r="F17" i="14"/>
  <c r="B17" i="14"/>
  <c r="O16" i="14"/>
  <c r="K16" i="14"/>
  <c r="G16" i="14"/>
  <c r="C16" i="14"/>
  <c r="N15" i="14"/>
  <c r="J15" i="14"/>
  <c r="F15" i="14"/>
  <c r="B15" i="14"/>
  <c r="O14" i="14"/>
  <c r="K14" i="14"/>
  <c r="G14" i="14"/>
  <c r="C14" i="14"/>
  <c r="N13" i="14"/>
  <c r="J13" i="14"/>
  <c r="F13" i="14"/>
  <c r="B13" i="14"/>
  <c r="O12" i="14"/>
  <c r="K12" i="14"/>
  <c r="G12" i="14"/>
  <c r="C12" i="14"/>
  <c r="N11" i="14"/>
  <c r="J11" i="14"/>
  <c r="F11" i="14"/>
  <c r="B11" i="14"/>
  <c r="O10" i="14"/>
  <c r="K10" i="14"/>
  <c r="G10" i="14"/>
  <c r="C10" i="14"/>
  <c r="N9" i="14"/>
  <c r="J9" i="14"/>
  <c r="F9" i="14"/>
  <c r="B9" i="14"/>
  <c r="O8" i="14"/>
  <c r="M8" i="14"/>
  <c r="K8" i="14"/>
  <c r="I8" i="14"/>
  <c r="G8" i="14"/>
  <c r="E8" i="14"/>
  <c r="C8" i="14"/>
  <c r="P7" i="14"/>
  <c r="N7" i="14"/>
  <c r="L7" i="14"/>
  <c r="J7" i="14"/>
  <c r="H7" i="14"/>
  <c r="F7" i="14"/>
  <c r="D7" i="14"/>
  <c r="B7" i="14"/>
  <c r="O6" i="14"/>
  <c r="M6" i="14"/>
  <c r="K6" i="14"/>
  <c r="I6" i="14"/>
  <c r="G6" i="14"/>
  <c r="E6" i="14"/>
  <c r="C6" i="14"/>
  <c r="P5" i="14"/>
  <c r="N5" i="14"/>
  <c r="L5" i="14"/>
  <c r="J5" i="14"/>
  <c r="H5" i="14"/>
  <c r="F5" i="14"/>
  <c r="D5" i="14"/>
  <c r="B5" i="14"/>
  <c r="O4" i="14"/>
  <c r="M4" i="14"/>
  <c r="K4" i="14"/>
  <c r="I4" i="14"/>
  <c r="G4" i="14"/>
  <c r="E4" i="14"/>
  <c r="C4" i="14"/>
  <c r="P3" i="14"/>
  <c r="N3" i="14"/>
  <c r="L3" i="14"/>
  <c r="J3" i="14"/>
  <c r="H3" i="14"/>
  <c r="F3" i="14"/>
  <c r="D3" i="14"/>
  <c r="B3" i="14"/>
  <c r="P17" i="14"/>
  <c r="L17" i="14"/>
  <c r="H17" i="14"/>
  <c r="D17" i="14"/>
  <c r="M16" i="14"/>
  <c r="I16" i="14"/>
  <c r="E16" i="14"/>
  <c r="P15" i="14"/>
  <c r="L15" i="14"/>
  <c r="H15" i="14"/>
  <c r="D15" i="14"/>
  <c r="M14" i="14"/>
  <c r="I14" i="14"/>
  <c r="E14" i="14"/>
  <c r="P13" i="14"/>
  <c r="L13" i="14"/>
  <c r="H13" i="14"/>
  <c r="D13" i="14"/>
  <c r="M12" i="14"/>
  <c r="I12" i="14"/>
  <c r="E12" i="14"/>
  <c r="P11" i="14"/>
  <c r="L11" i="14"/>
  <c r="H11" i="14"/>
  <c r="D11" i="14"/>
  <c r="M10" i="14"/>
  <c r="I10" i="14"/>
  <c r="E10" i="14"/>
  <c r="P9" i="14"/>
  <c r="L9" i="14"/>
  <c r="H9" i="14"/>
  <c r="D9" i="14"/>
  <c r="N8" i="14"/>
  <c r="L8" i="14"/>
  <c r="J8" i="14"/>
  <c r="H8" i="14"/>
  <c r="F8" i="14"/>
  <c r="D8" i="14"/>
  <c r="B8" i="14"/>
  <c r="O7" i="14"/>
  <c r="M7" i="14"/>
  <c r="K7" i="14"/>
  <c r="I7" i="14"/>
  <c r="G7" i="14"/>
  <c r="E7" i="14"/>
  <c r="C7" i="14"/>
  <c r="P6" i="14"/>
  <c r="N6" i="14"/>
  <c r="L6" i="14"/>
  <c r="J6" i="14"/>
  <c r="H6" i="14"/>
  <c r="F6" i="14"/>
  <c r="D6" i="14"/>
  <c r="B6" i="14"/>
  <c r="O5" i="14"/>
  <c r="M5" i="14"/>
  <c r="K5" i="14"/>
  <c r="I5" i="14"/>
  <c r="G5" i="14"/>
  <c r="E5" i="14"/>
  <c r="C5" i="14"/>
  <c r="P4" i="14"/>
  <c r="N4" i="14"/>
  <c r="L4" i="14"/>
  <c r="J4" i="14"/>
  <c r="H4" i="14"/>
  <c r="F4" i="14"/>
  <c r="D4" i="14"/>
  <c r="B4" i="14"/>
  <c r="O3" i="14"/>
  <c r="M3" i="14"/>
  <c r="K3" i="14"/>
  <c r="I3" i="14"/>
  <c r="G3" i="14"/>
  <c r="E3" i="14"/>
  <c r="C3" i="14"/>
  <c r="O17" i="13"/>
  <c r="M17" i="13"/>
  <c r="K17" i="13"/>
  <c r="I17" i="13"/>
  <c r="G17" i="13"/>
  <c r="E17" i="13"/>
  <c r="C17" i="13"/>
  <c r="P16" i="13"/>
  <c r="N16" i="13"/>
  <c r="L16" i="13"/>
  <c r="J16" i="13"/>
  <c r="H16" i="13"/>
  <c r="F16" i="13"/>
  <c r="D16" i="13"/>
  <c r="B16" i="13"/>
  <c r="O15" i="13"/>
  <c r="M15" i="13"/>
  <c r="K15" i="13"/>
  <c r="I15" i="13"/>
  <c r="G15" i="13"/>
  <c r="E15" i="13"/>
  <c r="C15" i="13"/>
  <c r="P14" i="13"/>
  <c r="N14" i="13"/>
  <c r="L14" i="13"/>
  <c r="J14" i="13"/>
  <c r="H14" i="13"/>
  <c r="F14" i="13"/>
  <c r="D14" i="13"/>
  <c r="B14" i="13"/>
  <c r="O13" i="13"/>
  <c r="M13" i="13"/>
  <c r="K13" i="13"/>
  <c r="I13" i="13"/>
  <c r="G13" i="13"/>
  <c r="E13" i="13"/>
  <c r="C13" i="13"/>
  <c r="P12" i="13"/>
  <c r="N12" i="13"/>
  <c r="L12" i="13"/>
  <c r="J12" i="13"/>
  <c r="H12" i="13"/>
  <c r="F12" i="13"/>
  <c r="D12" i="13"/>
  <c r="B12" i="13"/>
  <c r="O11" i="13"/>
  <c r="M11" i="13"/>
  <c r="K11" i="13"/>
  <c r="I11" i="13"/>
  <c r="G11" i="13"/>
  <c r="E11" i="13"/>
  <c r="C11" i="13"/>
  <c r="P10" i="13"/>
  <c r="N10" i="13"/>
  <c r="L10" i="13"/>
  <c r="J10" i="13"/>
  <c r="H10" i="13"/>
  <c r="F10" i="13"/>
  <c r="D10" i="13"/>
  <c r="B10" i="13"/>
  <c r="O9" i="13"/>
  <c r="M9" i="13"/>
  <c r="K9" i="13"/>
  <c r="I9" i="13"/>
  <c r="G9" i="13"/>
  <c r="E9" i="13"/>
  <c r="C9" i="13"/>
  <c r="P8" i="13"/>
  <c r="N17" i="13"/>
  <c r="J17" i="13"/>
  <c r="F17" i="13"/>
  <c r="B17" i="13"/>
  <c r="O16" i="13"/>
  <c r="K16" i="13"/>
  <c r="G16" i="13"/>
  <c r="C16" i="13"/>
  <c r="N15" i="13"/>
  <c r="J15" i="13"/>
  <c r="F15" i="13"/>
  <c r="B15" i="13"/>
  <c r="O14" i="13"/>
  <c r="K14" i="13"/>
  <c r="G14" i="13"/>
  <c r="C14" i="13"/>
  <c r="N13" i="13"/>
  <c r="J13" i="13"/>
  <c r="F13" i="13"/>
  <c r="B13" i="13"/>
  <c r="O12" i="13"/>
  <c r="K12" i="13"/>
  <c r="G12" i="13"/>
  <c r="C12" i="13"/>
  <c r="N11" i="13"/>
  <c r="J11" i="13"/>
  <c r="F11" i="13"/>
  <c r="B11" i="13"/>
  <c r="O10" i="13"/>
  <c r="K10" i="13"/>
  <c r="G10" i="13"/>
  <c r="C10" i="13"/>
  <c r="N9" i="13"/>
  <c r="J9" i="13"/>
  <c r="F9" i="13"/>
  <c r="B9" i="13"/>
  <c r="O8" i="13"/>
  <c r="M8" i="13"/>
  <c r="K8" i="13"/>
  <c r="I8" i="13"/>
  <c r="G8" i="13"/>
  <c r="E8" i="13"/>
  <c r="C8" i="13"/>
  <c r="P7" i="13"/>
  <c r="N7" i="13"/>
  <c r="L7" i="13"/>
  <c r="J7" i="13"/>
  <c r="H7" i="13"/>
  <c r="F7" i="13"/>
  <c r="D7" i="13"/>
  <c r="B7" i="13"/>
  <c r="O6" i="13"/>
  <c r="M6" i="13"/>
  <c r="K6" i="13"/>
  <c r="I6" i="13"/>
  <c r="G6" i="13"/>
  <c r="E6" i="13"/>
  <c r="C6" i="13"/>
  <c r="P5" i="13"/>
  <c r="N5" i="13"/>
  <c r="L5" i="13"/>
  <c r="J5" i="13"/>
  <c r="H5" i="13"/>
  <c r="F5" i="13"/>
  <c r="D5" i="13"/>
  <c r="B5" i="13"/>
  <c r="O4" i="13"/>
  <c r="M4" i="13"/>
  <c r="K4" i="13"/>
  <c r="I4" i="13"/>
  <c r="G4" i="13"/>
  <c r="E4" i="13"/>
  <c r="C4" i="13"/>
  <c r="P3" i="13"/>
  <c r="N3" i="13"/>
  <c r="L3" i="13"/>
  <c r="J3" i="13"/>
  <c r="H3" i="13"/>
  <c r="F3" i="13"/>
  <c r="D3" i="13"/>
  <c r="B3" i="13"/>
  <c r="P17" i="13"/>
  <c r="L17" i="13"/>
  <c r="H17" i="13"/>
  <c r="D17" i="13"/>
  <c r="M16" i="13"/>
  <c r="I16" i="13"/>
  <c r="E16" i="13"/>
  <c r="P15" i="13"/>
  <c r="L15" i="13"/>
  <c r="H15" i="13"/>
  <c r="D15" i="13"/>
  <c r="M14" i="13"/>
  <c r="I14" i="13"/>
  <c r="E14" i="13"/>
  <c r="P13" i="13"/>
  <c r="L13" i="13"/>
  <c r="H13" i="13"/>
  <c r="D13" i="13"/>
  <c r="M12" i="13"/>
  <c r="I12" i="13"/>
  <c r="E12" i="13"/>
  <c r="P11" i="13"/>
  <c r="L11" i="13"/>
  <c r="H11" i="13"/>
  <c r="D11" i="13"/>
  <c r="M10" i="13"/>
  <c r="I10" i="13"/>
  <c r="E10" i="13"/>
  <c r="P9" i="13"/>
  <c r="L9" i="13"/>
  <c r="H9" i="13"/>
  <c r="D9" i="13"/>
  <c r="N8" i="13"/>
  <c r="L8" i="13"/>
  <c r="J8" i="13"/>
  <c r="H8" i="13"/>
  <c r="F8" i="13"/>
  <c r="D8" i="13"/>
  <c r="B8" i="13"/>
  <c r="O7" i="13"/>
  <c r="M7" i="13"/>
  <c r="K7" i="13"/>
  <c r="I7" i="13"/>
  <c r="G7" i="13"/>
  <c r="E7" i="13"/>
  <c r="C7" i="13"/>
  <c r="P6" i="13"/>
  <c r="N6" i="13"/>
  <c r="L6" i="13"/>
  <c r="J6" i="13"/>
  <c r="H6" i="13"/>
  <c r="F6" i="13"/>
  <c r="D6" i="13"/>
  <c r="B6" i="13"/>
  <c r="O5" i="13"/>
  <c r="M5" i="13"/>
  <c r="K5" i="13"/>
  <c r="I5" i="13"/>
  <c r="G5" i="13"/>
  <c r="E5" i="13"/>
  <c r="C5" i="13"/>
  <c r="P4" i="13"/>
  <c r="N4" i="13"/>
  <c r="L4" i="13"/>
  <c r="J4" i="13"/>
  <c r="H4" i="13"/>
  <c r="F4" i="13"/>
  <c r="D4" i="13"/>
  <c r="B4" i="13"/>
  <c r="O3" i="13"/>
  <c r="M3" i="13"/>
  <c r="K3" i="13"/>
  <c r="I3" i="13"/>
  <c r="G3" i="13"/>
  <c r="E3" i="13"/>
  <c r="C3" i="13"/>
  <c r="O17" i="12"/>
  <c r="M17" i="12"/>
  <c r="K17" i="12"/>
  <c r="I17" i="12"/>
  <c r="G17" i="12"/>
  <c r="E17" i="12"/>
  <c r="C17" i="12"/>
  <c r="P16" i="12"/>
  <c r="N16" i="12"/>
  <c r="L16" i="12"/>
  <c r="J16" i="12"/>
  <c r="H16" i="12"/>
  <c r="F16" i="12"/>
  <c r="D16" i="12"/>
  <c r="B16" i="12"/>
  <c r="O15" i="12"/>
  <c r="M15" i="12"/>
  <c r="K15" i="12"/>
  <c r="I15" i="12"/>
  <c r="G15" i="12"/>
  <c r="E15" i="12"/>
  <c r="C15" i="12"/>
  <c r="P14" i="12"/>
  <c r="N14" i="12"/>
  <c r="L14" i="12"/>
  <c r="J14" i="12"/>
  <c r="H14" i="12"/>
  <c r="F14" i="12"/>
  <c r="D14" i="12"/>
  <c r="B14" i="12"/>
  <c r="O13" i="12"/>
  <c r="M13" i="12"/>
  <c r="K13" i="12"/>
  <c r="I13" i="12"/>
  <c r="G13" i="12"/>
  <c r="E13" i="12"/>
  <c r="C13" i="12"/>
  <c r="P12" i="12"/>
  <c r="N12" i="12"/>
  <c r="L12" i="12"/>
  <c r="J12" i="12"/>
  <c r="H12" i="12"/>
  <c r="F12" i="12"/>
  <c r="D12" i="12"/>
  <c r="B12" i="12"/>
  <c r="O11" i="12"/>
  <c r="M11" i="12"/>
  <c r="K11" i="12"/>
  <c r="I11" i="12"/>
  <c r="G11" i="12"/>
  <c r="E11" i="12"/>
  <c r="C11" i="12"/>
  <c r="P10" i="12"/>
  <c r="N10" i="12"/>
  <c r="L10" i="12"/>
  <c r="J10" i="12"/>
  <c r="H10" i="12"/>
  <c r="F10" i="12"/>
  <c r="D10" i="12"/>
  <c r="B10" i="12"/>
  <c r="O9" i="12"/>
  <c r="M9" i="12"/>
  <c r="K9" i="12"/>
  <c r="I9" i="12"/>
  <c r="G9" i="12"/>
  <c r="E9" i="12"/>
  <c r="C9" i="12"/>
  <c r="P8" i="12"/>
  <c r="N17" i="12"/>
  <c r="J17" i="12"/>
  <c r="F17" i="12"/>
  <c r="B17" i="12"/>
  <c r="O16" i="12"/>
  <c r="K16" i="12"/>
  <c r="G16" i="12"/>
  <c r="C16" i="12"/>
  <c r="N15" i="12"/>
  <c r="J15" i="12"/>
  <c r="F15" i="12"/>
  <c r="B15" i="12"/>
  <c r="O14" i="12"/>
  <c r="K14" i="12"/>
  <c r="G14" i="12"/>
  <c r="C14" i="12"/>
  <c r="N13" i="12"/>
  <c r="J13" i="12"/>
  <c r="F13" i="12"/>
  <c r="B13" i="12"/>
  <c r="O12" i="12"/>
  <c r="K12" i="12"/>
  <c r="G12" i="12"/>
  <c r="C12" i="12"/>
  <c r="N11" i="12"/>
  <c r="J11" i="12"/>
  <c r="F11" i="12"/>
  <c r="B11" i="12"/>
  <c r="O10" i="12"/>
  <c r="K10" i="12"/>
  <c r="G10" i="12"/>
  <c r="C10" i="12"/>
  <c r="N9" i="12"/>
  <c r="J9" i="12"/>
  <c r="F9" i="12"/>
  <c r="B9" i="12"/>
  <c r="O8" i="12"/>
  <c r="M8" i="12"/>
  <c r="K8" i="12"/>
  <c r="I8" i="12"/>
  <c r="G8" i="12"/>
  <c r="E8" i="12"/>
  <c r="C8" i="12"/>
  <c r="P7" i="12"/>
  <c r="N7" i="12"/>
  <c r="L7" i="12"/>
  <c r="J7" i="12"/>
  <c r="H7" i="12"/>
  <c r="F7" i="12"/>
  <c r="D7" i="12"/>
  <c r="B7" i="12"/>
  <c r="O6" i="12"/>
  <c r="M6" i="12"/>
  <c r="K6" i="12"/>
  <c r="I6" i="12"/>
  <c r="G6" i="12"/>
  <c r="E6" i="12"/>
  <c r="C6" i="12"/>
  <c r="P5" i="12"/>
  <c r="N5" i="12"/>
  <c r="L5" i="12"/>
  <c r="J5" i="12"/>
  <c r="H5" i="12"/>
  <c r="F5" i="12"/>
  <c r="D5" i="12"/>
  <c r="B5" i="12"/>
  <c r="O4" i="12"/>
  <c r="M4" i="12"/>
  <c r="K4" i="12"/>
  <c r="I4" i="12"/>
  <c r="G4" i="12"/>
  <c r="E4" i="12"/>
  <c r="C4" i="12"/>
  <c r="P3" i="12"/>
  <c r="N3" i="12"/>
  <c r="L3" i="12"/>
  <c r="J3" i="12"/>
  <c r="H3" i="12"/>
  <c r="F3" i="12"/>
  <c r="D3" i="12"/>
  <c r="B3" i="12"/>
  <c r="P17" i="12"/>
  <c r="L17" i="12"/>
  <c r="H17" i="12"/>
  <c r="D17" i="12"/>
  <c r="M16" i="12"/>
  <c r="I16" i="12"/>
  <c r="E16" i="12"/>
  <c r="P15" i="12"/>
  <c r="L15" i="12"/>
  <c r="H15" i="12"/>
  <c r="D15" i="12"/>
  <c r="M14" i="12"/>
  <c r="I14" i="12"/>
  <c r="E14" i="12"/>
  <c r="P13" i="12"/>
  <c r="L13" i="12"/>
  <c r="H13" i="12"/>
  <c r="D13" i="12"/>
  <c r="M12" i="12"/>
  <c r="I12" i="12"/>
  <c r="E12" i="12"/>
  <c r="P11" i="12"/>
  <c r="L11" i="12"/>
  <c r="H11" i="12"/>
  <c r="D11" i="12"/>
  <c r="M10" i="12"/>
  <c r="I10" i="12"/>
  <c r="E10" i="12"/>
  <c r="P9" i="12"/>
  <c r="L9" i="12"/>
  <c r="H9" i="12"/>
  <c r="D9" i="12"/>
  <c r="N8" i="12"/>
  <c r="L8" i="12"/>
  <c r="J8" i="12"/>
  <c r="H8" i="12"/>
  <c r="F8" i="12"/>
  <c r="D8" i="12"/>
  <c r="B8" i="12"/>
  <c r="O7" i="12"/>
  <c r="M7" i="12"/>
  <c r="K7" i="12"/>
  <c r="I7" i="12"/>
  <c r="G7" i="12"/>
  <c r="E7" i="12"/>
  <c r="C7" i="12"/>
  <c r="P6" i="12"/>
  <c r="N6" i="12"/>
  <c r="L6" i="12"/>
  <c r="J6" i="12"/>
  <c r="H6" i="12"/>
  <c r="F6" i="12"/>
  <c r="D6" i="12"/>
  <c r="B6" i="12"/>
  <c r="O5" i="12"/>
  <c r="M5" i="12"/>
  <c r="K5" i="12"/>
  <c r="I5" i="12"/>
  <c r="G5" i="12"/>
  <c r="E5" i="12"/>
  <c r="C5" i="12"/>
  <c r="P4" i="12"/>
  <c r="N4" i="12"/>
  <c r="L4" i="12"/>
  <c r="J4" i="12"/>
  <c r="H4" i="12"/>
  <c r="F4" i="12"/>
  <c r="D4" i="12"/>
  <c r="B4" i="12"/>
  <c r="O3" i="12"/>
  <c r="M3" i="12"/>
  <c r="K3" i="12"/>
  <c r="I3" i="12"/>
  <c r="G3" i="12"/>
  <c r="E3" i="12"/>
  <c r="C3" i="12"/>
  <c r="O17" i="11"/>
  <c r="M17" i="11"/>
  <c r="K17" i="11"/>
  <c r="I17" i="11"/>
  <c r="G17" i="11"/>
  <c r="E17" i="11"/>
  <c r="C17" i="11"/>
  <c r="P16" i="11"/>
  <c r="N16" i="11"/>
  <c r="L16" i="11"/>
  <c r="J16" i="11"/>
  <c r="H16" i="11"/>
  <c r="F16" i="11"/>
  <c r="D16" i="11"/>
  <c r="B16" i="11"/>
  <c r="O15" i="11"/>
  <c r="M15" i="11"/>
  <c r="K15" i="11"/>
  <c r="I15" i="11"/>
  <c r="G15" i="11"/>
  <c r="E15" i="11"/>
  <c r="C15" i="11"/>
  <c r="P14" i="11"/>
  <c r="N14" i="11"/>
  <c r="L14" i="11"/>
  <c r="J14" i="11"/>
  <c r="H14" i="11"/>
  <c r="F14" i="11"/>
  <c r="D14" i="11"/>
  <c r="B14" i="11"/>
  <c r="O13" i="11"/>
  <c r="M13" i="11"/>
  <c r="K13" i="11"/>
  <c r="I13" i="11"/>
  <c r="G13" i="11"/>
  <c r="E13" i="11"/>
  <c r="C13" i="11"/>
  <c r="P12" i="11"/>
  <c r="N12" i="11"/>
  <c r="L12" i="11"/>
  <c r="J12" i="11"/>
  <c r="H12" i="11"/>
  <c r="F12" i="11"/>
  <c r="D12" i="11"/>
  <c r="B12" i="11"/>
  <c r="O11" i="11"/>
  <c r="M11" i="11"/>
  <c r="K11" i="11"/>
  <c r="I11" i="11"/>
  <c r="G11" i="11"/>
  <c r="E11" i="11"/>
  <c r="C11" i="11"/>
  <c r="P10" i="11"/>
  <c r="N10" i="11"/>
  <c r="L10" i="11"/>
  <c r="J10" i="11"/>
  <c r="H10" i="11"/>
  <c r="F10" i="11"/>
  <c r="D10" i="11"/>
  <c r="B10" i="11"/>
  <c r="O9" i="11"/>
  <c r="M9" i="11"/>
  <c r="K9" i="11"/>
  <c r="I9" i="11"/>
  <c r="G9" i="11"/>
  <c r="E9" i="11"/>
  <c r="C9" i="11"/>
  <c r="P8" i="11"/>
  <c r="N17" i="11"/>
  <c r="J17" i="11"/>
  <c r="F17" i="11"/>
  <c r="B17" i="11"/>
  <c r="O16" i="11"/>
  <c r="K16" i="11"/>
  <c r="G16" i="11"/>
  <c r="C16" i="11"/>
  <c r="N15" i="11"/>
  <c r="J15" i="11"/>
  <c r="F15" i="11"/>
  <c r="B15" i="11"/>
  <c r="O14" i="11"/>
  <c r="K14" i="11"/>
  <c r="G14" i="11"/>
  <c r="C14" i="11"/>
  <c r="N13" i="11"/>
  <c r="J13" i="11"/>
  <c r="F13" i="11"/>
  <c r="B13" i="11"/>
  <c r="O12" i="11"/>
  <c r="K12" i="11"/>
  <c r="G12" i="11"/>
  <c r="C12" i="11"/>
  <c r="N11" i="11"/>
  <c r="J11" i="11"/>
  <c r="F11" i="11"/>
  <c r="B11" i="11"/>
  <c r="O10" i="11"/>
  <c r="K10" i="11"/>
  <c r="G10" i="11"/>
  <c r="C10" i="11"/>
  <c r="N9" i="11"/>
  <c r="J9" i="11"/>
  <c r="F9" i="11"/>
  <c r="B9" i="11"/>
  <c r="O8" i="11"/>
  <c r="M8" i="11"/>
  <c r="K8" i="11"/>
  <c r="I8" i="11"/>
  <c r="G8" i="11"/>
  <c r="E8" i="11"/>
  <c r="C8" i="11"/>
  <c r="P7" i="11"/>
  <c r="N7" i="11"/>
  <c r="L7" i="11"/>
  <c r="J7" i="11"/>
  <c r="H7" i="11"/>
  <c r="F7" i="11"/>
  <c r="D7" i="11"/>
  <c r="B7" i="11"/>
  <c r="O6" i="11"/>
  <c r="M6" i="11"/>
  <c r="K6" i="11"/>
  <c r="I6" i="11"/>
  <c r="G6" i="11"/>
  <c r="E6" i="11"/>
  <c r="C6" i="11"/>
  <c r="P5" i="11"/>
  <c r="N5" i="11"/>
  <c r="L5" i="11"/>
  <c r="J5" i="11"/>
  <c r="H5" i="11"/>
  <c r="F5" i="11"/>
  <c r="D5" i="11"/>
  <c r="B5" i="11"/>
  <c r="O4" i="11"/>
  <c r="M4" i="11"/>
  <c r="K4" i="11"/>
  <c r="I4" i="11"/>
  <c r="G4" i="11"/>
  <c r="E4" i="11"/>
  <c r="C4" i="11"/>
  <c r="P3" i="11"/>
  <c r="N3" i="11"/>
  <c r="L3" i="11"/>
  <c r="J3" i="11"/>
  <c r="H3" i="11"/>
  <c r="F3" i="11"/>
  <c r="D3" i="11"/>
  <c r="B3" i="11"/>
  <c r="P17" i="11"/>
  <c r="L17" i="11"/>
  <c r="H17" i="11"/>
  <c r="D17" i="11"/>
  <c r="M16" i="11"/>
  <c r="I16" i="11"/>
  <c r="E16" i="11"/>
  <c r="P15" i="11"/>
  <c r="L15" i="11"/>
  <c r="H15" i="11"/>
  <c r="D15" i="11"/>
  <c r="M14" i="11"/>
  <c r="I14" i="11"/>
  <c r="E14" i="11"/>
  <c r="P13" i="11"/>
  <c r="L13" i="11"/>
  <c r="H13" i="11"/>
  <c r="D13" i="11"/>
  <c r="M12" i="11"/>
  <c r="I12" i="11"/>
  <c r="E12" i="11"/>
  <c r="P11" i="11"/>
  <c r="L11" i="11"/>
  <c r="H11" i="11"/>
  <c r="D11" i="11"/>
  <c r="M10" i="11"/>
  <c r="I10" i="11"/>
  <c r="E10" i="11"/>
  <c r="P9" i="11"/>
  <c r="L9" i="11"/>
  <c r="H9" i="11"/>
  <c r="D9" i="11"/>
  <c r="N8" i="11"/>
  <c r="L8" i="11"/>
  <c r="J8" i="11"/>
  <c r="H8" i="11"/>
  <c r="F8" i="11"/>
  <c r="D8" i="11"/>
  <c r="B8" i="11"/>
  <c r="O7" i="11"/>
  <c r="M7" i="11"/>
  <c r="K7" i="11"/>
  <c r="I7" i="11"/>
  <c r="G7" i="11"/>
  <c r="E7" i="11"/>
  <c r="C7" i="11"/>
  <c r="P6" i="11"/>
  <c r="N6" i="11"/>
  <c r="L6" i="11"/>
  <c r="J6" i="11"/>
  <c r="H6" i="11"/>
  <c r="F6" i="11"/>
  <c r="D6" i="11"/>
  <c r="B6" i="11"/>
  <c r="O5" i="11"/>
  <c r="M5" i="11"/>
  <c r="K5" i="11"/>
  <c r="I5" i="11"/>
  <c r="G5" i="11"/>
  <c r="E5" i="11"/>
  <c r="C5" i="11"/>
  <c r="P4" i="11"/>
  <c r="N4" i="11"/>
  <c r="L4" i="11"/>
  <c r="J4" i="11"/>
  <c r="H4" i="11"/>
  <c r="F4" i="11"/>
  <c r="D4" i="11"/>
  <c r="B4" i="11"/>
  <c r="O3" i="11"/>
  <c r="M3" i="11"/>
  <c r="K3" i="11"/>
  <c r="I3" i="11"/>
  <c r="G3" i="11"/>
  <c r="E3" i="11"/>
  <c r="C3" i="11"/>
  <c r="H35" i="14" l="1"/>
  <c r="G43" i="14" s="1"/>
  <c r="M22" i="14"/>
  <c r="M21" i="14"/>
  <c r="M26" i="14"/>
  <c r="M30" i="14"/>
  <c r="M32" i="14"/>
  <c r="M34" i="14"/>
  <c r="M20" i="14"/>
  <c r="M23" i="14"/>
  <c r="M24" i="14"/>
  <c r="M25" i="14"/>
  <c r="M27" i="14"/>
  <c r="M28" i="14"/>
  <c r="M29" i="14"/>
  <c r="M31" i="14"/>
  <c r="M33" i="14"/>
  <c r="H35" i="13"/>
  <c r="G43" i="13" s="1"/>
  <c r="M22" i="13"/>
  <c r="M20" i="13"/>
  <c r="M23" i="13"/>
  <c r="M24" i="13"/>
  <c r="M25" i="13"/>
  <c r="M27" i="13"/>
  <c r="M28" i="13"/>
  <c r="M29" i="13"/>
  <c r="M31" i="13"/>
  <c r="M33" i="13"/>
  <c r="M21" i="13"/>
  <c r="M26" i="13"/>
  <c r="M30" i="13"/>
  <c r="M32" i="13"/>
  <c r="M34" i="13"/>
  <c r="H35" i="12"/>
  <c r="G43" i="12" s="1"/>
  <c r="M22" i="12"/>
  <c r="M21" i="12"/>
  <c r="M26" i="12"/>
  <c r="M30" i="12"/>
  <c r="M32" i="12"/>
  <c r="M34" i="12"/>
  <c r="M20" i="12"/>
  <c r="M23" i="12"/>
  <c r="M24" i="12"/>
  <c r="M25" i="12"/>
  <c r="M27" i="12"/>
  <c r="M28" i="12"/>
  <c r="M29" i="12"/>
  <c r="M31" i="12"/>
  <c r="M33" i="12"/>
  <c r="H35" i="11"/>
  <c r="G43" i="11" s="1"/>
  <c r="M22" i="11"/>
  <c r="M20" i="11"/>
  <c r="M23" i="11"/>
  <c r="M24" i="11"/>
  <c r="M25" i="11"/>
  <c r="M27" i="11"/>
  <c r="M28" i="11"/>
  <c r="M29" i="11"/>
  <c r="M31" i="11"/>
  <c r="M33" i="11"/>
  <c r="M21" i="11"/>
  <c r="M26" i="11"/>
  <c r="M30" i="11"/>
  <c r="M32" i="11"/>
  <c r="M34" i="11"/>
  <c r="T37" i="14"/>
  <c r="V37" i="14"/>
  <c r="X37" i="14"/>
  <c r="Z37" i="14"/>
  <c r="AB37" i="14"/>
  <c r="AD37" i="14"/>
  <c r="AF37" i="14"/>
  <c r="E32" i="14"/>
  <c r="D32" i="14" s="1"/>
  <c r="E31" i="14"/>
  <c r="D31" i="14" s="1"/>
  <c r="S38" i="14"/>
  <c r="U38" i="14"/>
  <c r="W38" i="14"/>
  <c r="Y38" i="14"/>
  <c r="AA38" i="14"/>
  <c r="AC38" i="14"/>
  <c r="AE38" i="14"/>
  <c r="AG38" i="14"/>
  <c r="T39" i="14"/>
  <c r="V39" i="14"/>
  <c r="X39" i="14"/>
  <c r="Z39" i="14"/>
  <c r="AB39" i="14"/>
  <c r="AD39" i="14"/>
  <c r="G21" i="14" s="1"/>
  <c r="AF39" i="14"/>
  <c r="S40" i="14"/>
  <c r="U40" i="14"/>
  <c r="W40" i="14"/>
  <c r="Y40" i="14"/>
  <c r="AA40" i="14"/>
  <c r="AC40" i="14"/>
  <c r="AE40" i="14"/>
  <c r="AG40" i="14"/>
  <c r="T41" i="14"/>
  <c r="V41" i="14"/>
  <c r="X41" i="14"/>
  <c r="Z41" i="14"/>
  <c r="AB41" i="14"/>
  <c r="G28" i="14" s="1"/>
  <c r="AD41" i="14"/>
  <c r="AF41" i="14"/>
  <c r="S42" i="14"/>
  <c r="U42" i="14"/>
  <c r="W42" i="14"/>
  <c r="Y42" i="14"/>
  <c r="AA42" i="14"/>
  <c r="AC42" i="14"/>
  <c r="G25" i="14" s="1"/>
  <c r="AE42" i="14"/>
  <c r="U43" i="14"/>
  <c r="Y43" i="14"/>
  <c r="G24" i="14" s="1"/>
  <c r="AC43" i="14"/>
  <c r="AG43" i="14"/>
  <c r="V44" i="14"/>
  <c r="Z44" i="14"/>
  <c r="AD44" i="14"/>
  <c r="U45" i="14"/>
  <c r="Y45" i="14"/>
  <c r="AC45" i="14"/>
  <c r="AG45" i="14"/>
  <c r="E29" i="14"/>
  <c r="D29" i="14" s="1"/>
  <c r="V46" i="14"/>
  <c r="Z46" i="14"/>
  <c r="E26" i="14"/>
  <c r="D26" i="14" s="1"/>
  <c r="AD46" i="14"/>
  <c r="U47" i="14"/>
  <c r="Y47" i="14"/>
  <c r="AC47" i="14"/>
  <c r="AG47" i="14"/>
  <c r="V48" i="14"/>
  <c r="Z48" i="14"/>
  <c r="G23" i="14" s="1"/>
  <c r="AD48" i="14"/>
  <c r="U49" i="14"/>
  <c r="Y49" i="14"/>
  <c r="AC49" i="14"/>
  <c r="AG49" i="14"/>
  <c r="V50" i="14"/>
  <c r="Z50" i="14"/>
  <c r="AD50" i="14"/>
  <c r="U51" i="14"/>
  <c r="G30" i="14" s="1"/>
  <c r="Y51" i="14"/>
  <c r="AC51" i="14"/>
  <c r="AG51" i="14"/>
  <c r="S37" i="14"/>
  <c r="U37" i="14"/>
  <c r="W37" i="14"/>
  <c r="Y37" i="14"/>
  <c r="AA37" i="14"/>
  <c r="AC37" i="14"/>
  <c r="AE37" i="14"/>
  <c r="AG37" i="14"/>
  <c r="G32" i="14" s="1"/>
  <c r="T38" i="14"/>
  <c r="G31" i="14" s="1"/>
  <c r="V38" i="14"/>
  <c r="X38" i="14"/>
  <c r="Z38" i="14"/>
  <c r="AB38" i="14"/>
  <c r="AD38" i="14"/>
  <c r="AF38" i="14"/>
  <c r="S39" i="14"/>
  <c r="U39" i="14"/>
  <c r="W39" i="14"/>
  <c r="Y39" i="14"/>
  <c r="AA39" i="14"/>
  <c r="AC39" i="14"/>
  <c r="E21" i="14"/>
  <c r="D21" i="14" s="1"/>
  <c r="AE39" i="14"/>
  <c r="AG39" i="14"/>
  <c r="T40" i="14"/>
  <c r="V40" i="14"/>
  <c r="X40" i="14"/>
  <c r="Z40" i="14"/>
  <c r="AB40" i="14"/>
  <c r="AD40" i="14"/>
  <c r="AF40" i="14"/>
  <c r="S41" i="14"/>
  <c r="U41" i="14"/>
  <c r="W41" i="14"/>
  <c r="Y41" i="14"/>
  <c r="AA41" i="14"/>
  <c r="E28" i="14"/>
  <c r="D28" i="14" s="1"/>
  <c r="AC41" i="14"/>
  <c r="AE41" i="14"/>
  <c r="AG41" i="14"/>
  <c r="T42" i="14"/>
  <c r="V42" i="14"/>
  <c r="X42" i="14"/>
  <c r="Z42" i="14"/>
  <c r="AB42" i="14"/>
  <c r="E25" i="14"/>
  <c r="D25" i="14" s="1"/>
  <c r="AD42" i="14"/>
  <c r="AF42" i="14"/>
  <c r="S43" i="14"/>
  <c r="W43" i="14"/>
  <c r="AA43" i="14"/>
  <c r="AE43" i="14"/>
  <c r="T44" i="14"/>
  <c r="X44" i="14"/>
  <c r="G27" i="14" s="1"/>
  <c r="AB44" i="14"/>
  <c r="AF44" i="14"/>
  <c r="S45" i="14"/>
  <c r="W45" i="14"/>
  <c r="AA45" i="14"/>
  <c r="AE45" i="14"/>
  <c r="T46" i="14"/>
  <c r="X46" i="14"/>
  <c r="AB46" i="14"/>
  <c r="AF46" i="14"/>
  <c r="S47" i="14"/>
  <c r="W47" i="14"/>
  <c r="AA47" i="14"/>
  <c r="AE47" i="14"/>
  <c r="G22" i="14" s="1"/>
  <c r="T48" i="14"/>
  <c r="X48" i="14"/>
  <c r="AB48" i="14"/>
  <c r="AF48" i="14"/>
  <c r="S49" i="14"/>
  <c r="W49" i="14"/>
  <c r="G34" i="14" s="1"/>
  <c r="AA49" i="14"/>
  <c r="AE49" i="14"/>
  <c r="T50" i="14"/>
  <c r="X50" i="14"/>
  <c r="AB50" i="14"/>
  <c r="AF50" i="14"/>
  <c r="G33" i="14" s="1"/>
  <c r="S51" i="14"/>
  <c r="W51" i="14"/>
  <c r="AA51" i="14"/>
  <c r="AE51" i="14"/>
  <c r="AG42" i="14"/>
  <c r="T43" i="14"/>
  <c r="V43" i="14"/>
  <c r="X43" i="14"/>
  <c r="E24" i="14"/>
  <c r="D24" i="14" s="1"/>
  <c r="Z43" i="14"/>
  <c r="AB43" i="14"/>
  <c r="AD43" i="14"/>
  <c r="AF43" i="14"/>
  <c r="S44" i="14"/>
  <c r="U44" i="14"/>
  <c r="E27" i="14"/>
  <c r="D27" i="14" s="1"/>
  <c r="W44" i="14"/>
  <c r="Y44" i="14"/>
  <c r="AA44" i="14"/>
  <c r="AC44" i="14"/>
  <c r="AE44" i="14"/>
  <c r="AG44" i="14"/>
  <c r="T45" i="14"/>
  <c r="V45" i="14"/>
  <c r="X45" i="14"/>
  <c r="Z45" i="14"/>
  <c r="AB45" i="14"/>
  <c r="AD45" i="14"/>
  <c r="AF45" i="14"/>
  <c r="S46" i="14"/>
  <c r="U46" i="14"/>
  <c r="W46" i="14"/>
  <c r="Y46" i="14"/>
  <c r="AA46" i="14"/>
  <c r="G26" i="14" s="1"/>
  <c r="AC46" i="14"/>
  <c r="AE46" i="14"/>
  <c r="AG46" i="14"/>
  <c r="T47" i="14"/>
  <c r="V47" i="14"/>
  <c r="X47" i="14"/>
  <c r="Z47" i="14"/>
  <c r="AB47" i="14"/>
  <c r="E22" i="14"/>
  <c r="D22" i="14" s="1"/>
  <c r="AD47" i="14"/>
  <c r="AF47" i="14"/>
  <c r="S48" i="14"/>
  <c r="U48" i="14"/>
  <c r="W48" i="14"/>
  <c r="Y48" i="14"/>
  <c r="E23" i="14"/>
  <c r="D23" i="14" s="1"/>
  <c r="AA48" i="14"/>
  <c r="AC48" i="14"/>
  <c r="AE48" i="14"/>
  <c r="AG48" i="14"/>
  <c r="T49" i="14"/>
  <c r="V49" i="14"/>
  <c r="E34" i="14"/>
  <c r="D34" i="14" s="1"/>
  <c r="X49" i="14"/>
  <c r="Z49" i="14"/>
  <c r="AB49" i="14"/>
  <c r="AD49" i="14"/>
  <c r="AF49" i="14"/>
  <c r="S50" i="14"/>
  <c r="U50" i="14"/>
  <c r="W50" i="14"/>
  <c r="Y50" i="14"/>
  <c r="AA50" i="14"/>
  <c r="AC50" i="14"/>
  <c r="AE50" i="14"/>
  <c r="E33" i="14"/>
  <c r="D33" i="14" s="1"/>
  <c r="AG50" i="14"/>
  <c r="T51" i="14"/>
  <c r="E30" i="14"/>
  <c r="D30" i="14" s="1"/>
  <c r="V51" i="14"/>
  <c r="X51" i="14"/>
  <c r="Z51" i="14"/>
  <c r="AB51" i="14"/>
  <c r="AD51" i="14"/>
  <c r="AF51" i="14"/>
  <c r="AH13" i="14"/>
  <c r="F31" i="14"/>
  <c r="F35" i="14" s="1"/>
  <c r="T37" i="13"/>
  <c r="V37" i="13"/>
  <c r="X37" i="13"/>
  <c r="Z37" i="13"/>
  <c r="AB37" i="13"/>
  <c r="AD37" i="13"/>
  <c r="AF37" i="13"/>
  <c r="E32" i="13"/>
  <c r="D32" i="13" s="1"/>
  <c r="E31" i="13"/>
  <c r="D31" i="13" s="1"/>
  <c r="S38" i="13"/>
  <c r="U38" i="13"/>
  <c r="W38" i="13"/>
  <c r="Y38" i="13"/>
  <c r="AA38" i="13"/>
  <c r="AC38" i="13"/>
  <c r="AE38" i="13"/>
  <c r="AG38" i="13"/>
  <c r="T39" i="13"/>
  <c r="V39" i="13"/>
  <c r="X39" i="13"/>
  <c r="Z39" i="13"/>
  <c r="AB39" i="13"/>
  <c r="AD39" i="13"/>
  <c r="G21" i="13" s="1"/>
  <c r="AF39" i="13"/>
  <c r="S40" i="13"/>
  <c r="U40" i="13"/>
  <c r="W40" i="13"/>
  <c r="Y40" i="13"/>
  <c r="AA40" i="13"/>
  <c r="AC40" i="13"/>
  <c r="AE40" i="13"/>
  <c r="AG40" i="13"/>
  <c r="T41" i="13"/>
  <c r="V41" i="13"/>
  <c r="X41" i="13"/>
  <c r="Z41" i="13"/>
  <c r="AB41" i="13"/>
  <c r="G28" i="13" s="1"/>
  <c r="AD41" i="13"/>
  <c r="AF41" i="13"/>
  <c r="S42" i="13"/>
  <c r="U42" i="13"/>
  <c r="W42" i="13"/>
  <c r="Y42" i="13"/>
  <c r="AA42" i="13"/>
  <c r="AC42" i="13"/>
  <c r="G25" i="13" s="1"/>
  <c r="AE42" i="13"/>
  <c r="U43" i="13"/>
  <c r="Y43" i="13"/>
  <c r="G24" i="13" s="1"/>
  <c r="AC43" i="13"/>
  <c r="AG43" i="13"/>
  <c r="V44" i="13"/>
  <c r="Z44" i="13"/>
  <c r="AD44" i="13"/>
  <c r="U45" i="13"/>
  <c r="Y45" i="13"/>
  <c r="AC45" i="13"/>
  <c r="AG45" i="13"/>
  <c r="E29" i="13"/>
  <c r="D29" i="13" s="1"/>
  <c r="V46" i="13"/>
  <c r="Z46" i="13"/>
  <c r="E26" i="13"/>
  <c r="D26" i="13" s="1"/>
  <c r="AD46" i="13"/>
  <c r="U47" i="13"/>
  <c r="Y47" i="13"/>
  <c r="AC47" i="13"/>
  <c r="AG47" i="13"/>
  <c r="V48" i="13"/>
  <c r="Z48" i="13"/>
  <c r="G23" i="13" s="1"/>
  <c r="AD48" i="13"/>
  <c r="U49" i="13"/>
  <c r="Y49" i="13"/>
  <c r="AC49" i="13"/>
  <c r="AG49" i="13"/>
  <c r="V50" i="13"/>
  <c r="Z50" i="13"/>
  <c r="AD50" i="13"/>
  <c r="U51" i="13"/>
  <c r="G30" i="13" s="1"/>
  <c r="Y51" i="13"/>
  <c r="AC51" i="13"/>
  <c r="AG51" i="13"/>
  <c r="S37" i="13"/>
  <c r="U37" i="13"/>
  <c r="W37" i="13"/>
  <c r="Y37" i="13"/>
  <c r="AA37" i="13"/>
  <c r="AC37" i="13"/>
  <c r="AE37" i="13"/>
  <c r="AG37" i="13"/>
  <c r="G32" i="13" s="1"/>
  <c r="T38" i="13"/>
  <c r="G31" i="13" s="1"/>
  <c r="V38" i="13"/>
  <c r="X38" i="13"/>
  <c r="Z38" i="13"/>
  <c r="AB38" i="13"/>
  <c r="AD38" i="13"/>
  <c r="AF38" i="13"/>
  <c r="S39" i="13"/>
  <c r="U39" i="13"/>
  <c r="W39" i="13"/>
  <c r="Y39" i="13"/>
  <c r="AA39" i="13"/>
  <c r="AC39" i="13"/>
  <c r="E21" i="13"/>
  <c r="D21" i="13" s="1"/>
  <c r="AE39" i="13"/>
  <c r="AG39" i="13"/>
  <c r="T40" i="13"/>
  <c r="V40" i="13"/>
  <c r="X40" i="13"/>
  <c r="Z40" i="13"/>
  <c r="AB40" i="13"/>
  <c r="AD40" i="13"/>
  <c r="AF40" i="13"/>
  <c r="S41" i="13"/>
  <c r="U41" i="13"/>
  <c r="W41" i="13"/>
  <c r="Y41" i="13"/>
  <c r="AA41" i="13"/>
  <c r="E28" i="13"/>
  <c r="D28" i="13" s="1"/>
  <c r="AC41" i="13"/>
  <c r="AE41" i="13"/>
  <c r="AG41" i="13"/>
  <c r="T42" i="13"/>
  <c r="V42" i="13"/>
  <c r="X42" i="13"/>
  <c r="Z42" i="13"/>
  <c r="AB42" i="13"/>
  <c r="E25" i="13"/>
  <c r="D25" i="13" s="1"/>
  <c r="AD42" i="13"/>
  <c r="AF42" i="13"/>
  <c r="S43" i="13"/>
  <c r="W43" i="13"/>
  <c r="AA43" i="13"/>
  <c r="AE43" i="13"/>
  <c r="T44" i="13"/>
  <c r="X44" i="13"/>
  <c r="G27" i="13" s="1"/>
  <c r="AB44" i="13"/>
  <c r="AF44" i="13"/>
  <c r="S45" i="13"/>
  <c r="W45" i="13"/>
  <c r="AA45" i="13"/>
  <c r="AE45" i="13"/>
  <c r="T46" i="13"/>
  <c r="X46" i="13"/>
  <c r="AB46" i="13"/>
  <c r="AF46" i="13"/>
  <c r="S47" i="13"/>
  <c r="W47" i="13"/>
  <c r="AA47" i="13"/>
  <c r="AE47" i="13"/>
  <c r="G22" i="13" s="1"/>
  <c r="T48" i="13"/>
  <c r="X48" i="13"/>
  <c r="AB48" i="13"/>
  <c r="AF48" i="13"/>
  <c r="S49" i="13"/>
  <c r="W49" i="13"/>
  <c r="G34" i="13" s="1"/>
  <c r="AA49" i="13"/>
  <c r="AE49" i="13"/>
  <c r="T50" i="13"/>
  <c r="X50" i="13"/>
  <c r="AB50" i="13"/>
  <c r="AF50" i="13"/>
  <c r="G33" i="13" s="1"/>
  <c r="S51" i="13"/>
  <c r="W51" i="13"/>
  <c r="AA51" i="13"/>
  <c r="AE51" i="13"/>
  <c r="AG42" i="13"/>
  <c r="T43" i="13"/>
  <c r="V43" i="13"/>
  <c r="X43" i="13"/>
  <c r="E24" i="13"/>
  <c r="D24" i="13" s="1"/>
  <c r="Z43" i="13"/>
  <c r="AB43" i="13"/>
  <c r="AD43" i="13"/>
  <c r="AF43" i="13"/>
  <c r="S44" i="13"/>
  <c r="U44" i="13"/>
  <c r="E27" i="13"/>
  <c r="D27" i="13" s="1"/>
  <c r="W44" i="13"/>
  <c r="Y44" i="13"/>
  <c r="AA44" i="13"/>
  <c r="AC44" i="13"/>
  <c r="AE44" i="13"/>
  <c r="AG44" i="13"/>
  <c r="T45" i="13"/>
  <c r="V45" i="13"/>
  <c r="X45" i="13"/>
  <c r="Z45" i="13"/>
  <c r="AB45" i="13"/>
  <c r="AD45" i="13"/>
  <c r="AF45" i="13"/>
  <c r="S46" i="13"/>
  <c r="U46" i="13"/>
  <c r="W46" i="13"/>
  <c r="Y46" i="13"/>
  <c r="AA46" i="13"/>
  <c r="G26" i="13" s="1"/>
  <c r="AC46" i="13"/>
  <c r="AE46" i="13"/>
  <c r="AG46" i="13"/>
  <c r="T47" i="13"/>
  <c r="V47" i="13"/>
  <c r="X47" i="13"/>
  <c r="Z47" i="13"/>
  <c r="AB47" i="13"/>
  <c r="E22" i="13"/>
  <c r="D22" i="13" s="1"/>
  <c r="AD47" i="13"/>
  <c r="AF47" i="13"/>
  <c r="S48" i="13"/>
  <c r="U48" i="13"/>
  <c r="W48" i="13"/>
  <c r="Y48" i="13"/>
  <c r="E23" i="13"/>
  <c r="D23" i="13" s="1"/>
  <c r="AA48" i="13"/>
  <c r="AC48" i="13"/>
  <c r="AE48" i="13"/>
  <c r="AG48" i="13"/>
  <c r="T49" i="13"/>
  <c r="V49" i="13"/>
  <c r="E34" i="13"/>
  <c r="D34" i="13" s="1"/>
  <c r="X49" i="13"/>
  <c r="Z49" i="13"/>
  <c r="AB49" i="13"/>
  <c r="AD49" i="13"/>
  <c r="AF49" i="13"/>
  <c r="S50" i="13"/>
  <c r="U50" i="13"/>
  <c r="W50" i="13"/>
  <c r="Y50" i="13"/>
  <c r="AA50" i="13"/>
  <c r="AC50" i="13"/>
  <c r="AE50" i="13"/>
  <c r="E33" i="13"/>
  <c r="D33" i="13" s="1"/>
  <c r="AG50" i="13"/>
  <c r="T51" i="13"/>
  <c r="E30" i="13"/>
  <c r="D30" i="13" s="1"/>
  <c r="V51" i="13"/>
  <c r="X51" i="13"/>
  <c r="Z51" i="13"/>
  <c r="AB51" i="13"/>
  <c r="AD51" i="13"/>
  <c r="AF51" i="13"/>
  <c r="AH13" i="13"/>
  <c r="F31" i="13"/>
  <c r="F35" i="13" s="1"/>
  <c r="T37" i="12"/>
  <c r="V37" i="12"/>
  <c r="X37" i="12"/>
  <c r="Z37" i="12"/>
  <c r="AB37" i="12"/>
  <c r="AD37" i="12"/>
  <c r="AF37" i="12"/>
  <c r="E32" i="12"/>
  <c r="D32" i="12" s="1"/>
  <c r="E31" i="12"/>
  <c r="D31" i="12" s="1"/>
  <c r="S38" i="12"/>
  <c r="U38" i="12"/>
  <c r="W38" i="12"/>
  <c r="Y38" i="12"/>
  <c r="AA38" i="12"/>
  <c r="AC38" i="12"/>
  <c r="AE38" i="12"/>
  <c r="AG38" i="12"/>
  <c r="T39" i="12"/>
  <c r="V39" i="12"/>
  <c r="X39" i="12"/>
  <c r="Z39" i="12"/>
  <c r="AB39" i="12"/>
  <c r="AD39" i="12"/>
  <c r="G21" i="12" s="1"/>
  <c r="AF39" i="12"/>
  <c r="S40" i="12"/>
  <c r="U40" i="12"/>
  <c r="W40" i="12"/>
  <c r="Y40" i="12"/>
  <c r="AA40" i="12"/>
  <c r="AC40" i="12"/>
  <c r="AE40" i="12"/>
  <c r="AG40" i="12"/>
  <c r="T41" i="12"/>
  <c r="V41" i="12"/>
  <c r="X41" i="12"/>
  <c r="Z41" i="12"/>
  <c r="AB41" i="12"/>
  <c r="G28" i="12" s="1"/>
  <c r="AD41" i="12"/>
  <c r="AF41" i="12"/>
  <c r="S42" i="12"/>
  <c r="U42" i="12"/>
  <c r="W42" i="12"/>
  <c r="Y42" i="12"/>
  <c r="AA42" i="12"/>
  <c r="AC42" i="12"/>
  <c r="G25" i="12" s="1"/>
  <c r="AE42" i="12"/>
  <c r="U43" i="12"/>
  <c r="Y43" i="12"/>
  <c r="G24" i="12" s="1"/>
  <c r="AC43" i="12"/>
  <c r="AG43" i="12"/>
  <c r="V44" i="12"/>
  <c r="Z44" i="12"/>
  <c r="AD44" i="12"/>
  <c r="U45" i="12"/>
  <c r="Y45" i="12"/>
  <c r="AC45" i="12"/>
  <c r="AG45" i="12"/>
  <c r="E29" i="12"/>
  <c r="D29" i="12" s="1"/>
  <c r="V46" i="12"/>
  <c r="Z46" i="12"/>
  <c r="E26" i="12"/>
  <c r="D26" i="12" s="1"/>
  <c r="AD46" i="12"/>
  <c r="U47" i="12"/>
  <c r="Y47" i="12"/>
  <c r="AC47" i="12"/>
  <c r="AG47" i="12"/>
  <c r="V48" i="12"/>
  <c r="Z48" i="12"/>
  <c r="G23" i="12" s="1"/>
  <c r="AD48" i="12"/>
  <c r="U49" i="12"/>
  <c r="Y49" i="12"/>
  <c r="AC49" i="12"/>
  <c r="AG49" i="12"/>
  <c r="V50" i="12"/>
  <c r="Z50" i="12"/>
  <c r="AD50" i="12"/>
  <c r="U51" i="12"/>
  <c r="G30" i="12" s="1"/>
  <c r="Y51" i="12"/>
  <c r="AC51" i="12"/>
  <c r="AG51" i="12"/>
  <c r="S37" i="12"/>
  <c r="U37" i="12"/>
  <c r="W37" i="12"/>
  <c r="Y37" i="12"/>
  <c r="AA37" i="12"/>
  <c r="AC37" i="12"/>
  <c r="AE37" i="12"/>
  <c r="AG37" i="12"/>
  <c r="G32" i="12" s="1"/>
  <c r="T38" i="12"/>
  <c r="G31" i="12" s="1"/>
  <c r="V38" i="12"/>
  <c r="X38" i="12"/>
  <c r="Z38" i="12"/>
  <c r="AB38" i="12"/>
  <c r="AD38" i="12"/>
  <c r="AF38" i="12"/>
  <c r="S39" i="12"/>
  <c r="U39" i="12"/>
  <c r="W39" i="12"/>
  <c r="Y39" i="12"/>
  <c r="AA39" i="12"/>
  <c r="AC39" i="12"/>
  <c r="E21" i="12"/>
  <c r="D21" i="12" s="1"/>
  <c r="AE39" i="12"/>
  <c r="AG39" i="12"/>
  <c r="T40" i="12"/>
  <c r="V40" i="12"/>
  <c r="X40" i="12"/>
  <c r="Z40" i="12"/>
  <c r="AB40" i="12"/>
  <c r="AD40" i="12"/>
  <c r="AF40" i="12"/>
  <c r="S41" i="12"/>
  <c r="U41" i="12"/>
  <c r="W41" i="12"/>
  <c r="Y41" i="12"/>
  <c r="AA41" i="12"/>
  <c r="E28" i="12"/>
  <c r="D28" i="12" s="1"/>
  <c r="AC41" i="12"/>
  <c r="AE41" i="12"/>
  <c r="AG41" i="12"/>
  <c r="T42" i="12"/>
  <c r="V42" i="12"/>
  <c r="X42" i="12"/>
  <c r="Z42" i="12"/>
  <c r="AB42" i="12"/>
  <c r="E25" i="12"/>
  <c r="D25" i="12" s="1"/>
  <c r="AD42" i="12"/>
  <c r="AF42" i="12"/>
  <c r="S43" i="12"/>
  <c r="W43" i="12"/>
  <c r="AA43" i="12"/>
  <c r="AE43" i="12"/>
  <c r="T44" i="12"/>
  <c r="X44" i="12"/>
  <c r="G27" i="12" s="1"/>
  <c r="AB44" i="12"/>
  <c r="AF44" i="12"/>
  <c r="S45" i="12"/>
  <c r="W45" i="12"/>
  <c r="AA45" i="12"/>
  <c r="AE45" i="12"/>
  <c r="T46" i="12"/>
  <c r="X46" i="12"/>
  <c r="AB46" i="12"/>
  <c r="AF46" i="12"/>
  <c r="S47" i="12"/>
  <c r="W47" i="12"/>
  <c r="AA47" i="12"/>
  <c r="AE47" i="12"/>
  <c r="G22" i="12" s="1"/>
  <c r="T48" i="12"/>
  <c r="X48" i="12"/>
  <c r="AB48" i="12"/>
  <c r="AF48" i="12"/>
  <c r="S49" i="12"/>
  <c r="W49" i="12"/>
  <c r="G34" i="12" s="1"/>
  <c r="AA49" i="12"/>
  <c r="AE49" i="12"/>
  <c r="T50" i="12"/>
  <c r="X50" i="12"/>
  <c r="AB50" i="12"/>
  <c r="AF50" i="12"/>
  <c r="G33" i="12" s="1"/>
  <c r="S51" i="12"/>
  <c r="W51" i="12"/>
  <c r="AA51" i="12"/>
  <c r="AE51" i="12"/>
  <c r="AG42" i="12"/>
  <c r="T43" i="12"/>
  <c r="V43" i="12"/>
  <c r="X43" i="12"/>
  <c r="E24" i="12"/>
  <c r="D24" i="12" s="1"/>
  <c r="Z43" i="12"/>
  <c r="AB43" i="12"/>
  <c r="AD43" i="12"/>
  <c r="AF43" i="12"/>
  <c r="S44" i="12"/>
  <c r="U44" i="12"/>
  <c r="E27" i="12"/>
  <c r="D27" i="12" s="1"/>
  <c r="W44" i="12"/>
  <c r="Y44" i="12"/>
  <c r="AA44" i="12"/>
  <c r="AC44" i="12"/>
  <c r="AE44" i="12"/>
  <c r="AG44" i="12"/>
  <c r="T45" i="12"/>
  <c r="V45" i="12"/>
  <c r="X45" i="12"/>
  <c r="Z45" i="12"/>
  <c r="AB45" i="12"/>
  <c r="AD45" i="12"/>
  <c r="AF45" i="12"/>
  <c r="S46" i="12"/>
  <c r="U46" i="12"/>
  <c r="W46" i="12"/>
  <c r="Y46" i="12"/>
  <c r="AA46" i="12"/>
  <c r="G26" i="12" s="1"/>
  <c r="AC46" i="12"/>
  <c r="AE46" i="12"/>
  <c r="AG46" i="12"/>
  <c r="T47" i="12"/>
  <c r="V47" i="12"/>
  <c r="X47" i="12"/>
  <c r="Z47" i="12"/>
  <c r="AB47" i="12"/>
  <c r="E22" i="12"/>
  <c r="D22" i="12" s="1"/>
  <c r="AD47" i="12"/>
  <c r="AF47" i="12"/>
  <c r="S48" i="12"/>
  <c r="U48" i="12"/>
  <c r="W48" i="12"/>
  <c r="Y48" i="12"/>
  <c r="E23" i="12"/>
  <c r="D23" i="12" s="1"/>
  <c r="AA48" i="12"/>
  <c r="AC48" i="12"/>
  <c r="AE48" i="12"/>
  <c r="AG48" i="12"/>
  <c r="T49" i="12"/>
  <c r="V49" i="12"/>
  <c r="E34" i="12"/>
  <c r="D34" i="12" s="1"/>
  <c r="X49" i="12"/>
  <c r="Z49" i="12"/>
  <c r="AB49" i="12"/>
  <c r="AD49" i="12"/>
  <c r="AF49" i="12"/>
  <c r="S50" i="12"/>
  <c r="U50" i="12"/>
  <c r="W50" i="12"/>
  <c r="Y50" i="12"/>
  <c r="AA50" i="12"/>
  <c r="AC50" i="12"/>
  <c r="AE50" i="12"/>
  <c r="E33" i="12"/>
  <c r="D33" i="12" s="1"/>
  <c r="AG50" i="12"/>
  <c r="T51" i="12"/>
  <c r="E30" i="12"/>
  <c r="D30" i="12" s="1"/>
  <c r="V51" i="12"/>
  <c r="X51" i="12"/>
  <c r="Z51" i="12"/>
  <c r="AB51" i="12"/>
  <c r="AD51" i="12"/>
  <c r="AF51" i="12"/>
  <c r="AH13" i="12"/>
  <c r="F31" i="12"/>
  <c r="F35" i="12" s="1"/>
  <c r="T37" i="11"/>
  <c r="V37" i="11"/>
  <c r="X37" i="11"/>
  <c r="Z37" i="11"/>
  <c r="AB37" i="11"/>
  <c r="AD37" i="11"/>
  <c r="AF37" i="11"/>
  <c r="E32" i="11"/>
  <c r="D32" i="11" s="1"/>
  <c r="E31" i="11"/>
  <c r="D31" i="11" s="1"/>
  <c r="S38" i="11"/>
  <c r="U38" i="11"/>
  <c r="W38" i="11"/>
  <c r="Y38" i="11"/>
  <c r="AA38" i="11"/>
  <c r="AC38" i="11"/>
  <c r="AE38" i="11"/>
  <c r="AG38" i="11"/>
  <c r="T39" i="11"/>
  <c r="V39" i="11"/>
  <c r="X39" i="11"/>
  <c r="Z39" i="11"/>
  <c r="AB39" i="11"/>
  <c r="AD39" i="11"/>
  <c r="G21" i="11" s="1"/>
  <c r="AF39" i="11"/>
  <c r="S40" i="11"/>
  <c r="U40" i="11"/>
  <c r="W40" i="11"/>
  <c r="Y40" i="11"/>
  <c r="AA40" i="11"/>
  <c r="AC40" i="11"/>
  <c r="AE40" i="11"/>
  <c r="AG40" i="11"/>
  <c r="T41" i="11"/>
  <c r="V41" i="11"/>
  <c r="X41" i="11"/>
  <c r="Z41" i="11"/>
  <c r="AB41" i="11"/>
  <c r="G28" i="11" s="1"/>
  <c r="AD41" i="11"/>
  <c r="AF41" i="11"/>
  <c r="S42" i="11"/>
  <c r="U42" i="11"/>
  <c r="W42" i="11"/>
  <c r="Y42" i="11"/>
  <c r="AA42" i="11"/>
  <c r="AC42" i="11"/>
  <c r="G25" i="11" s="1"/>
  <c r="AE42" i="11"/>
  <c r="U43" i="11"/>
  <c r="Y43" i="11"/>
  <c r="G24" i="11" s="1"/>
  <c r="AC43" i="11"/>
  <c r="AG43" i="11"/>
  <c r="V44" i="11"/>
  <c r="Z44" i="11"/>
  <c r="AD44" i="11"/>
  <c r="U45" i="11"/>
  <c r="Y45" i="11"/>
  <c r="AC45" i="11"/>
  <c r="AG45" i="11"/>
  <c r="E29" i="11"/>
  <c r="D29" i="11" s="1"/>
  <c r="V46" i="11"/>
  <c r="Z46" i="11"/>
  <c r="E26" i="11"/>
  <c r="D26" i="11" s="1"/>
  <c r="AD46" i="11"/>
  <c r="U47" i="11"/>
  <c r="Y47" i="11"/>
  <c r="AC47" i="11"/>
  <c r="AG47" i="11"/>
  <c r="V48" i="11"/>
  <c r="Z48" i="11"/>
  <c r="G23" i="11" s="1"/>
  <c r="AD48" i="11"/>
  <c r="U49" i="11"/>
  <c r="Y49" i="11"/>
  <c r="AC49" i="11"/>
  <c r="AG49" i="11"/>
  <c r="V50" i="11"/>
  <c r="Z50" i="11"/>
  <c r="AD50" i="11"/>
  <c r="U51" i="11"/>
  <c r="G30" i="11" s="1"/>
  <c r="Y51" i="11"/>
  <c r="AC51" i="11"/>
  <c r="AG51" i="11"/>
  <c r="S37" i="11"/>
  <c r="U37" i="11"/>
  <c r="W37" i="11"/>
  <c r="Y37" i="11"/>
  <c r="AA37" i="11"/>
  <c r="AC37" i="11"/>
  <c r="AE37" i="11"/>
  <c r="AG37" i="11"/>
  <c r="G32" i="11" s="1"/>
  <c r="T38" i="11"/>
  <c r="G31" i="11" s="1"/>
  <c r="V38" i="11"/>
  <c r="X38" i="11"/>
  <c r="Z38" i="11"/>
  <c r="AB38" i="11"/>
  <c r="AD38" i="11"/>
  <c r="AF38" i="11"/>
  <c r="S39" i="11"/>
  <c r="U39" i="11"/>
  <c r="W39" i="11"/>
  <c r="Y39" i="11"/>
  <c r="AA39" i="11"/>
  <c r="AC39" i="11"/>
  <c r="E21" i="11"/>
  <c r="D21" i="11" s="1"/>
  <c r="AE39" i="11"/>
  <c r="AG39" i="11"/>
  <c r="T40" i="11"/>
  <c r="V40" i="11"/>
  <c r="X40" i="11"/>
  <c r="Z40" i="11"/>
  <c r="AB40" i="11"/>
  <c r="AD40" i="11"/>
  <c r="AF40" i="11"/>
  <c r="S41" i="11"/>
  <c r="U41" i="11"/>
  <c r="W41" i="11"/>
  <c r="Y41" i="11"/>
  <c r="AA41" i="11"/>
  <c r="E28" i="11"/>
  <c r="D28" i="11" s="1"/>
  <c r="AC41" i="11"/>
  <c r="AE41" i="11"/>
  <c r="AG41" i="11"/>
  <c r="T42" i="11"/>
  <c r="V42" i="11"/>
  <c r="X42" i="11"/>
  <c r="Z42" i="11"/>
  <c r="AB42" i="11"/>
  <c r="E25" i="11"/>
  <c r="D25" i="11" s="1"/>
  <c r="AD42" i="11"/>
  <c r="AF42" i="11"/>
  <c r="S43" i="11"/>
  <c r="W43" i="11"/>
  <c r="AA43" i="11"/>
  <c r="AE43" i="11"/>
  <c r="T44" i="11"/>
  <c r="X44" i="11"/>
  <c r="G27" i="11" s="1"/>
  <c r="AB44" i="11"/>
  <c r="AF44" i="11"/>
  <c r="S45" i="11"/>
  <c r="W45" i="11"/>
  <c r="AA45" i="11"/>
  <c r="AE45" i="11"/>
  <c r="T46" i="11"/>
  <c r="X46" i="11"/>
  <c r="AB46" i="11"/>
  <c r="AF46" i="11"/>
  <c r="S47" i="11"/>
  <c r="W47" i="11"/>
  <c r="AA47" i="11"/>
  <c r="AE47" i="11"/>
  <c r="G22" i="11" s="1"/>
  <c r="T48" i="11"/>
  <c r="X48" i="11"/>
  <c r="AB48" i="11"/>
  <c r="AF48" i="11"/>
  <c r="S49" i="11"/>
  <c r="W49" i="11"/>
  <c r="G34" i="11" s="1"/>
  <c r="AA49" i="11"/>
  <c r="AE49" i="11"/>
  <c r="T50" i="11"/>
  <c r="X50" i="11"/>
  <c r="AB50" i="11"/>
  <c r="AF50" i="11"/>
  <c r="G33" i="11" s="1"/>
  <c r="S51" i="11"/>
  <c r="W51" i="11"/>
  <c r="AA51" i="11"/>
  <c r="AE51" i="11"/>
  <c r="AG42" i="11"/>
  <c r="T43" i="11"/>
  <c r="V43" i="11"/>
  <c r="X43" i="11"/>
  <c r="E24" i="11"/>
  <c r="D24" i="11" s="1"/>
  <c r="Z43" i="11"/>
  <c r="AB43" i="11"/>
  <c r="AD43" i="11"/>
  <c r="AF43" i="11"/>
  <c r="S44" i="11"/>
  <c r="U44" i="11"/>
  <c r="E27" i="11"/>
  <c r="D27" i="11" s="1"/>
  <c r="W44" i="11"/>
  <c r="Y44" i="11"/>
  <c r="AA44" i="11"/>
  <c r="AC44" i="11"/>
  <c r="AE44" i="11"/>
  <c r="AG44" i="11"/>
  <c r="T45" i="11"/>
  <c r="V45" i="11"/>
  <c r="X45" i="11"/>
  <c r="Z45" i="11"/>
  <c r="AB45" i="11"/>
  <c r="AD45" i="11"/>
  <c r="AF45" i="11"/>
  <c r="S46" i="11"/>
  <c r="U46" i="11"/>
  <c r="W46" i="11"/>
  <c r="Y46" i="11"/>
  <c r="AA46" i="11"/>
  <c r="G26" i="11" s="1"/>
  <c r="AC46" i="11"/>
  <c r="AE46" i="11"/>
  <c r="AG46" i="11"/>
  <c r="T47" i="11"/>
  <c r="V47" i="11"/>
  <c r="X47" i="11"/>
  <c r="Z47" i="11"/>
  <c r="AB47" i="11"/>
  <c r="E22" i="11"/>
  <c r="D22" i="11" s="1"/>
  <c r="AD47" i="11"/>
  <c r="AF47" i="11"/>
  <c r="S48" i="11"/>
  <c r="U48" i="11"/>
  <c r="W48" i="11"/>
  <c r="Y48" i="11"/>
  <c r="E23" i="11"/>
  <c r="D23" i="11" s="1"/>
  <c r="AA48" i="11"/>
  <c r="AC48" i="11"/>
  <c r="AE48" i="11"/>
  <c r="AG48" i="11"/>
  <c r="T49" i="11"/>
  <c r="V49" i="11"/>
  <c r="E34" i="11"/>
  <c r="D34" i="11" s="1"/>
  <c r="X49" i="11"/>
  <c r="Z49" i="11"/>
  <c r="AB49" i="11"/>
  <c r="AD49" i="11"/>
  <c r="AF49" i="11"/>
  <c r="S50" i="11"/>
  <c r="U50" i="11"/>
  <c r="W50" i="11"/>
  <c r="Y50" i="11"/>
  <c r="AA50" i="11"/>
  <c r="AC50" i="11"/>
  <c r="AE50" i="11"/>
  <c r="E33" i="11"/>
  <c r="D33" i="11" s="1"/>
  <c r="AG50" i="11"/>
  <c r="T51" i="11"/>
  <c r="E30" i="11"/>
  <c r="D30" i="11" s="1"/>
  <c r="V51" i="11"/>
  <c r="X51" i="11"/>
  <c r="Z51" i="11"/>
  <c r="AB51" i="11"/>
  <c r="AD51" i="11"/>
  <c r="AF51" i="11"/>
  <c r="AH13" i="11"/>
  <c r="F31" i="11"/>
  <c r="F35" i="11" s="1"/>
  <c r="T4" i="5"/>
  <c r="U4" i="5"/>
  <c r="V4" i="5"/>
  <c r="W4" i="5"/>
  <c r="X4" i="5"/>
  <c r="Y4" i="5"/>
  <c r="Z4" i="5"/>
  <c r="AA4" i="5"/>
  <c r="AB4" i="5"/>
  <c r="AC4" i="5"/>
  <c r="AD4" i="5"/>
  <c r="AE4" i="5"/>
  <c r="AF4" i="5"/>
  <c r="AG4" i="5"/>
  <c r="T5" i="5"/>
  <c r="U5" i="5"/>
  <c r="V5" i="5"/>
  <c r="W5" i="5"/>
  <c r="X5" i="5"/>
  <c r="Y5" i="5"/>
  <c r="Z5" i="5"/>
  <c r="AA5" i="5"/>
  <c r="AB5" i="5"/>
  <c r="AC5" i="5"/>
  <c r="AD5" i="5"/>
  <c r="AE5" i="5"/>
  <c r="AF5" i="5"/>
  <c r="AG5" i="5"/>
  <c r="T6" i="5"/>
  <c r="U6" i="5"/>
  <c r="V6" i="5"/>
  <c r="W6" i="5"/>
  <c r="X6" i="5"/>
  <c r="Y6" i="5"/>
  <c r="Z6" i="5"/>
  <c r="AA6" i="5"/>
  <c r="AB6" i="5"/>
  <c r="AC6" i="5"/>
  <c r="AD6" i="5"/>
  <c r="AE6" i="5"/>
  <c r="AF6" i="5"/>
  <c r="AG6" i="5"/>
  <c r="T7" i="5"/>
  <c r="U7" i="5"/>
  <c r="V7" i="5"/>
  <c r="W7" i="5"/>
  <c r="X7" i="5"/>
  <c r="Y7" i="5"/>
  <c r="Z7" i="5"/>
  <c r="AA7" i="5"/>
  <c r="AB7" i="5"/>
  <c r="AC7" i="5"/>
  <c r="AD7" i="5"/>
  <c r="AE7" i="5"/>
  <c r="AF7" i="5"/>
  <c r="AG7" i="5"/>
  <c r="T8" i="5"/>
  <c r="U8" i="5"/>
  <c r="V8" i="5"/>
  <c r="W8" i="5"/>
  <c r="X8" i="5"/>
  <c r="Y8" i="5"/>
  <c r="Z8" i="5"/>
  <c r="AA8" i="5"/>
  <c r="AB8" i="5"/>
  <c r="AC8" i="5"/>
  <c r="AD8" i="5"/>
  <c r="AE8" i="5"/>
  <c r="AF8" i="5"/>
  <c r="AG8" i="5"/>
  <c r="T9" i="5"/>
  <c r="U9" i="5"/>
  <c r="V9" i="5"/>
  <c r="W9" i="5"/>
  <c r="X9" i="5"/>
  <c r="Y9" i="5"/>
  <c r="Z9" i="5"/>
  <c r="AA9" i="5"/>
  <c r="AB9" i="5"/>
  <c r="AC9" i="5"/>
  <c r="AD9" i="5"/>
  <c r="AE9" i="5"/>
  <c r="AF9" i="5"/>
  <c r="AG9" i="5"/>
  <c r="T10" i="5"/>
  <c r="U10" i="5"/>
  <c r="V10" i="5"/>
  <c r="W10" i="5"/>
  <c r="X10" i="5"/>
  <c r="Y10" i="5"/>
  <c r="Z10" i="5"/>
  <c r="AA10" i="5"/>
  <c r="AB10" i="5"/>
  <c r="AC10" i="5"/>
  <c r="AD10" i="5"/>
  <c r="AE10" i="5"/>
  <c r="AF10" i="5"/>
  <c r="AG10" i="5"/>
  <c r="T11" i="5"/>
  <c r="U11" i="5"/>
  <c r="V11" i="5"/>
  <c r="W11" i="5"/>
  <c r="X11" i="5"/>
  <c r="Y11" i="5"/>
  <c r="Z11" i="5"/>
  <c r="AA11" i="5"/>
  <c r="AB11" i="5"/>
  <c r="AC11" i="5"/>
  <c r="AD11" i="5"/>
  <c r="AE11" i="5"/>
  <c r="AF11" i="5"/>
  <c r="AG11" i="5"/>
  <c r="T12" i="5"/>
  <c r="U12" i="5"/>
  <c r="V12" i="5"/>
  <c r="W12" i="5"/>
  <c r="X12" i="5"/>
  <c r="Y12" i="5"/>
  <c r="Z12" i="5"/>
  <c r="AA12" i="5"/>
  <c r="AB12" i="5"/>
  <c r="AC12" i="5"/>
  <c r="AD12" i="5"/>
  <c r="AE12" i="5"/>
  <c r="AF12" i="5"/>
  <c r="AG12" i="5"/>
  <c r="T13" i="5"/>
  <c r="U13" i="5"/>
  <c r="V13" i="5"/>
  <c r="W13" i="5"/>
  <c r="X13" i="5"/>
  <c r="Y13" i="5"/>
  <c r="Z13" i="5"/>
  <c r="AA13" i="5"/>
  <c r="AB13" i="5"/>
  <c r="AC13" i="5"/>
  <c r="AD13" i="5"/>
  <c r="AE13" i="5"/>
  <c r="AF13" i="5"/>
  <c r="AG13" i="5"/>
  <c r="T14" i="5"/>
  <c r="U14" i="5"/>
  <c r="V14" i="5"/>
  <c r="W14" i="5"/>
  <c r="X14" i="5"/>
  <c r="Y14" i="5"/>
  <c r="Z14" i="5"/>
  <c r="AA14" i="5"/>
  <c r="AB14" i="5"/>
  <c r="AC14" i="5"/>
  <c r="AD14" i="5"/>
  <c r="AE14" i="5"/>
  <c r="AF14" i="5"/>
  <c r="AG14" i="5"/>
  <c r="T15" i="5"/>
  <c r="U15" i="5"/>
  <c r="V15" i="5"/>
  <c r="W15" i="5"/>
  <c r="X15" i="5"/>
  <c r="Y15" i="5"/>
  <c r="Z15" i="5"/>
  <c r="AA15" i="5"/>
  <c r="AB15" i="5"/>
  <c r="AC15" i="5"/>
  <c r="AD15" i="5"/>
  <c r="AE15" i="5"/>
  <c r="AF15" i="5"/>
  <c r="AG15" i="5"/>
  <c r="T16" i="5"/>
  <c r="U16" i="5"/>
  <c r="V16" i="5"/>
  <c r="W16" i="5"/>
  <c r="X16" i="5"/>
  <c r="Y16" i="5"/>
  <c r="Z16" i="5"/>
  <c r="AA16" i="5"/>
  <c r="AB16" i="5"/>
  <c r="AC16" i="5"/>
  <c r="AD16" i="5"/>
  <c r="AE16" i="5"/>
  <c r="AF16" i="5"/>
  <c r="AG16" i="5"/>
  <c r="T17" i="5"/>
  <c r="U17" i="5"/>
  <c r="V17" i="5"/>
  <c r="W17" i="5"/>
  <c r="X17" i="5"/>
  <c r="Y17" i="5"/>
  <c r="Z17" i="5"/>
  <c r="AA17" i="5"/>
  <c r="AB17" i="5"/>
  <c r="AC17" i="5"/>
  <c r="AD17" i="5"/>
  <c r="AE17" i="5"/>
  <c r="AF17" i="5"/>
  <c r="AG17" i="5"/>
  <c r="T3" i="5"/>
  <c r="U3" i="5"/>
  <c r="V3" i="5"/>
  <c r="W3" i="5"/>
  <c r="X3" i="5"/>
  <c r="Y3" i="5"/>
  <c r="Z3" i="5"/>
  <c r="AA3" i="5"/>
  <c r="AB3" i="5"/>
  <c r="AC3" i="5"/>
  <c r="AD3" i="5"/>
  <c r="AE3" i="5"/>
  <c r="AF3" i="5"/>
  <c r="AG3" i="5"/>
  <c r="S3" i="5"/>
  <c r="S4" i="5"/>
  <c r="S5" i="5"/>
  <c r="S6" i="5"/>
  <c r="S7" i="5"/>
  <c r="S8" i="5"/>
  <c r="S9" i="5"/>
  <c r="S10" i="5"/>
  <c r="S11" i="5"/>
  <c r="S12" i="5"/>
  <c r="S13" i="5"/>
  <c r="S14" i="5"/>
  <c r="S15" i="5"/>
  <c r="S16" i="5"/>
  <c r="S17" i="5"/>
  <c r="D35" i="14" l="1"/>
  <c r="K35" i="14" s="1"/>
  <c r="D35" i="13"/>
  <c r="K35" i="13" s="1"/>
  <c r="D35" i="12"/>
  <c r="K35" i="12" s="1"/>
  <c r="D35" i="11"/>
  <c r="K35" i="11" s="1"/>
  <c r="K36" i="14"/>
  <c r="E38" i="14"/>
  <c r="G35" i="14"/>
  <c r="G41" i="14" s="1"/>
  <c r="G42" i="14" s="1"/>
  <c r="K36" i="13"/>
  <c r="E38" i="13"/>
  <c r="G35" i="13"/>
  <c r="G41" i="13" s="1"/>
  <c r="G42" i="13" s="1"/>
  <c r="K36" i="12"/>
  <c r="E38" i="12"/>
  <c r="G35" i="12"/>
  <c r="G41" i="12" s="1"/>
  <c r="G42" i="12" s="1"/>
  <c r="K36" i="11"/>
  <c r="E38" i="11"/>
  <c r="G35" i="11"/>
  <c r="G41" i="11" s="1"/>
  <c r="G42" i="11" s="1"/>
  <c r="C34" i="5"/>
  <c r="C33" i="5"/>
  <c r="C32" i="5"/>
  <c r="C31" i="5"/>
  <c r="C30" i="5"/>
  <c r="C29" i="5"/>
  <c r="C28" i="5"/>
  <c r="C27" i="5"/>
  <c r="C26" i="5"/>
  <c r="C25" i="5"/>
  <c r="C24" i="5"/>
  <c r="C23" i="5"/>
  <c r="C22" i="5"/>
  <c r="C21" i="5"/>
  <c r="C20" i="5"/>
  <c r="C38" i="14" l="1"/>
  <c r="H38" i="14" s="1"/>
  <c r="C38" i="13"/>
  <c r="H38" i="13" s="1"/>
  <c r="C38" i="12"/>
  <c r="H38" i="12" s="1"/>
  <c r="C38" i="11"/>
  <c r="H38" i="11" s="1"/>
  <c r="AK38" i="10"/>
  <c r="AJ38" i="10"/>
  <c r="AI38" i="10"/>
  <c r="AH38" i="10"/>
  <c r="AG38" i="10"/>
  <c r="AF38" i="10"/>
  <c r="AE38" i="10"/>
  <c r="AD38" i="10"/>
  <c r="AC38" i="10"/>
  <c r="AB38" i="10"/>
  <c r="AA38" i="10"/>
  <c r="Z38" i="10"/>
  <c r="Y38" i="10"/>
  <c r="X38" i="10"/>
  <c r="W38" i="10"/>
  <c r="V38" i="10"/>
  <c r="U38" i="10"/>
  <c r="H38" i="10"/>
  <c r="F38" i="10"/>
  <c r="C38" i="10"/>
  <c r="AK37" i="10"/>
  <c r="AJ37" i="10"/>
  <c r="AI37" i="10"/>
  <c r="AH37" i="10"/>
  <c r="AG37" i="10"/>
  <c r="AF37" i="10"/>
  <c r="AE37" i="10"/>
  <c r="AD37" i="10"/>
  <c r="AC37" i="10"/>
  <c r="AB37" i="10"/>
  <c r="AA37" i="10"/>
  <c r="Z37" i="10"/>
  <c r="Y37" i="10"/>
  <c r="X37" i="10"/>
  <c r="W37" i="10"/>
  <c r="V37" i="10"/>
  <c r="U37" i="10"/>
  <c r="F37" i="10"/>
  <c r="C37" i="10"/>
  <c r="AK36" i="10"/>
  <c r="AJ36" i="10"/>
  <c r="AI36" i="10"/>
  <c r="AH36" i="10"/>
  <c r="AG36" i="10"/>
  <c r="H36" i="10" s="1"/>
  <c r="AF36" i="10"/>
  <c r="AE36" i="10"/>
  <c r="AD36" i="10"/>
  <c r="AC36" i="10"/>
  <c r="AB36" i="10"/>
  <c r="AA36" i="10"/>
  <c r="Z36" i="10"/>
  <c r="Y36" i="10"/>
  <c r="X36" i="10"/>
  <c r="W36" i="10"/>
  <c r="V36" i="10"/>
  <c r="U36" i="10"/>
  <c r="F36" i="10"/>
  <c r="C36" i="10"/>
  <c r="AK35" i="10"/>
  <c r="AJ35" i="10"/>
  <c r="AI35" i="10"/>
  <c r="AH35" i="10"/>
  <c r="AG35" i="10"/>
  <c r="AF35" i="10"/>
  <c r="AE35" i="10"/>
  <c r="AD35" i="10"/>
  <c r="AC35" i="10"/>
  <c r="AB35" i="10"/>
  <c r="AA35" i="10"/>
  <c r="Z35" i="10"/>
  <c r="Y35" i="10"/>
  <c r="X35" i="10"/>
  <c r="W35" i="10"/>
  <c r="V35" i="10"/>
  <c r="U35" i="10"/>
  <c r="F35" i="10"/>
  <c r="C35" i="10"/>
  <c r="AK34" i="10"/>
  <c r="AJ34" i="10"/>
  <c r="AI34" i="10"/>
  <c r="AH34" i="10"/>
  <c r="AG34" i="10"/>
  <c r="AF34" i="10"/>
  <c r="AE34" i="10"/>
  <c r="AD34" i="10"/>
  <c r="AC34" i="10"/>
  <c r="AB34" i="10"/>
  <c r="AA34" i="10"/>
  <c r="Z34" i="10"/>
  <c r="Y34" i="10"/>
  <c r="H34" i="10" s="1"/>
  <c r="X34" i="10"/>
  <c r="W34" i="10"/>
  <c r="V34" i="10"/>
  <c r="U34" i="10"/>
  <c r="F34" i="10"/>
  <c r="C34" i="10"/>
  <c r="AK33" i="10"/>
  <c r="AJ33" i="10"/>
  <c r="AI33" i="10"/>
  <c r="AH33" i="10"/>
  <c r="AG33" i="10"/>
  <c r="AF33" i="10"/>
  <c r="AE33" i="10"/>
  <c r="AD33" i="10"/>
  <c r="AC33" i="10"/>
  <c r="AB33" i="10"/>
  <c r="AA33" i="10"/>
  <c r="Z33" i="10"/>
  <c r="Y33" i="10"/>
  <c r="X33" i="10"/>
  <c r="W33" i="10"/>
  <c r="V33" i="10"/>
  <c r="U33" i="10"/>
  <c r="H33" i="10" s="1"/>
  <c r="F33" i="10"/>
  <c r="C33" i="10"/>
  <c r="AK32" i="10"/>
  <c r="H32" i="10" s="1"/>
  <c r="AJ32" i="10"/>
  <c r="AI32" i="10"/>
  <c r="AH32" i="10"/>
  <c r="AG32" i="10"/>
  <c r="AF32" i="10"/>
  <c r="AE32" i="10"/>
  <c r="AD32" i="10"/>
  <c r="AC32" i="10"/>
  <c r="AB32" i="10"/>
  <c r="AA32" i="10"/>
  <c r="Z32" i="10"/>
  <c r="Y32" i="10"/>
  <c r="X32" i="10"/>
  <c r="W32" i="10"/>
  <c r="V32" i="10"/>
  <c r="U32" i="10"/>
  <c r="F32" i="10"/>
  <c r="C32" i="10"/>
  <c r="AK31" i="10"/>
  <c r="AJ31" i="10"/>
  <c r="AI31" i="10"/>
  <c r="AH31" i="10"/>
  <c r="AG31" i="10"/>
  <c r="AF31" i="10"/>
  <c r="AE31" i="10"/>
  <c r="AD31" i="10"/>
  <c r="AC31" i="10"/>
  <c r="AB31" i="10"/>
  <c r="AA31" i="10"/>
  <c r="Z31" i="10"/>
  <c r="Y31" i="10"/>
  <c r="X31" i="10"/>
  <c r="W31" i="10"/>
  <c r="V31" i="10"/>
  <c r="U31" i="10"/>
  <c r="F31" i="10"/>
  <c r="C31" i="10"/>
  <c r="AK30" i="10"/>
  <c r="AJ30" i="10"/>
  <c r="AI30" i="10"/>
  <c r="AH30" i="10"/>
  <c r="AG30" i="10"/>
  <c r="AF30" i="10"/>
  <c r="AE30" i="10"/>
  <c r="AD30" i="10"/>
  <c r="AC30" i="10"/>
  <c r="AB30" i="10"/>
  <c r="AA30" i="10"/>
  <c r="Z30" i="10"/>
  <c r="Y30" i="10"/>
  <c r="X30" i="10"/>
  <c r="W30" i="10"/>
  <c r="H30" i="10" s="1"/>
  <c r="V30" i="10"/>
  <c r="U30" i="10"/>
  <c r="F30" i="10"/>
  <c r="C30" i="10"/>
  <c r="AK29" i="10"/>
  <c r="AJ29" i="10"/>
  <c r="AI29" i="10"/>
  <c r="AH29" i="10"/>
  <c r="AG29" i="10"/>
  <c r="AF29" i="10"/>
  <c r="AE29" i="10"/>
  <c r="AD29" i="10"/>
  <c r="AC29" i="10"/>
  <c r="AB29" i="10"/>
  <c r="AA29" i="10"/>
  <c r="Z29" i="10"/>
  <c r="Y29" i="10"/>
  <c r="X29" i="10"/>
  <c r="W29" i="10"/>
  <c r="V29" i="10"/>
  <c r="U29" i="10"/>
  <c r="F29" i="10"/>
  <c r="C29" i="10"/>
  <c r="AK28" i="10"/>
  <c r="AJ28" i="10"/>
  <c r="AI28" i="10"/>
  <c r="AH28" i="10"/>
  <c r="AG28" i="10"/>
  <c r="AF28" i="10"/>
  <c r="AE28" i="10"/>
  <c r="H28" i="10" s="1"/>
  <c r="AD28" i="10"/>
  <c r="AC28" i="10"/>
  <c r="AB28" i="10"/>
  <c r="AA28" i="10"/>
  <c r="Z28" i="10"/>
  <c r="Y28" i="10"/>
  <c r="X28" i="10"/>
  <c r="W28" i="10"/>
  <c r="V28" i="10"/>
  <c r="U28" i="10"/>
  <c r="F28" i="10"/>
  <c r="C28" i="10"/>
  <c r="AK27" i="10"/>
  <c r="AJ27" i="10"/>
  <c r="AI27" i="10"/>
  <c r="AH27" i="10"/>
  <c r="AG27" i="10"/>
  <c r="AF27" i="10"/>
  <c r="AE27" i="10"/>
  <c r="AD27" i="10"/>
  <c r="AC27" i="10"/>
  <c r="AB27" i="10"/>
  <c r="AA27" i="10"/>
  <c r="Z27" i="10"/>
  <c r="Y27" i="10"/>
  <c r="X27" i="10"/>
  <c r="W27" i="10"/>
  <c r="V27" i="10"/>
  <c r="U27" i="10"/>
  <c r="H27" i="10"/>
  <c r="F27" i="10"/>
  <c r="C27" i="10"/>
  <c r="AK26" i="10"/>
  <c r="AJ26" i="10"/>
  <c r="AI26" i="10"/>
  <c r="AH26" i="10"/>
  <c r="AG26" i="10"/>
  <c r="AF26" i="10"/>
  <c r="AE26" i="10"/>
  <c r="AD26" i="10"/>
  <c r="AC26" i="10"/>
  <c r="AB26" i="10"/>
  <c r="AA26" i="10"/>
  <c r="Z26" i="10"/>
  <c r="Y26" i="10"/>
  <c r="X26" i="10"/>
  <c r="W26" i="10"/>
  <c r="V26" i="10"/>
  <c r="U26" i="10"/>
  <c r="H26" i="10"/>
  <c r="F26" i="10"/>
  <c r="C26" i="10"/>
  <c r="AK25" i="10"/>
  <c r="AJ25" i="10"/>
  <c r="AI25" i="10"/>
  <c r="AH25" i="10"/>
  <c r="AG25" i="10"/>
  <c r="AF25" i="10"/>
  <c r="AE25" i="10"/>
  <c r="AD25" i="10"/>
  <c r="AC25" i="10"/>
  <c r="AB25" i="10"/>
  <c r="AA25" i="10"/>
  <c r="Z25" i="10"/>
  <c r="Y25" i="10"/>
  <c r="H25" i="10" s="1"/>
  <c r="X25" i="10"/>
  <c r="W25" i="10"/>
  <c r="V25" i="10"/>
  <c r="U25" i="10"/>
  <c r="F25" i="10"/>
  <c r="C25" i="10"/>
  <c r="AK24" i="10"/>
  <c r="AJ24" i="10"/>
  <c r="AI24" i="10"/>
  <c r="AH24" i="10"/>
  <c r="AG24" i="10"/>
  <c r="AF24" i="10"/>
  <c r="AE24" i="10"/>
  <c r="AD24" i="10"/>
  <c r="AC24" i="10"/>
  <c r="AB24" i="10"/>
  <c r="AA24" i="10"/>
  <c r="Z24" i="10"/>
  <c r="Y24" i="10"/>
  <c r="X24" i="10"/>
  <c r="W24" i="10"/>
  <c r="V24" i="10"/>
  <c r="U24" i="10"/>
  <c r="H24" i="10"/>
  <c r="F24" i="10"/>
  <c r="C24" i="10"/>
  <c r="AK23" i="10"/>
  <c r="AJ23" i="10"/>
  <c r="AI23" i="10"/>
  <c r="AH23" i="10"/>
  <c r="AG23" i="10"/>
  <c r="AF23" i="10"/>
  <c r="AE23" i="10"/>
  <c r="AD23" i="10"/>
  <c r="AC23" i="10"/>
  <c r="AB23" i="10"/>
  <c r="AA23" i="10"/>
  <c r="H23" i="10" s="1"/>
  <c r="Z23" i="10"/>
  <c r="Y23" i="10"/>
  <c r="X23" i="10"/>
  <c r="W23" i="10"/>
  <c r="V23" i="10"/>
  <c r="U23" i="10"/>
  <c r="F23" i="10"/>
  <c r="C23" i="10"/>
  <c r="AK22" i="10"/>
  <c r="AJ22" i="10"/>
  <c r="AI22" i="10"/>
  <c r="AH22" i="10"/>
  <c r="AG22" i="10"/>
  <c r="AF22" i="10"/>
  <c r="AE22" i="10"/>
  <c r="AD22" i="10"/>
  <c r="AC22" i="10"/>
  <c r="AB22" i="10"/>
  <c r="AA22" i="10"/>
  <c r="Z22" i="10"/>
  <c r="Y22" i="10"/>
  <c r="X22" i="10"/>
  <c r="W22" i="10"/>
  <c r="V22" i="10"/>
  <c r="U22" i="10"/>
  <c r="H22" i="10"/>
  <c r="F22" i="10"/>
  <c r="D22" i="10"/>
  <c r="C22" i="10"/>
  <c r="AL19" i="10"/>
  <c r="AL18" i="10"/>
  <c r="AL17" i="10"/>
  <c r="AL16" i="10"/>
  <c r="AL15" i="10"/>
  <c r="AL14" i="10"/>
  <c r="AL13" i="10"/>
  <c r="AL12" i="10"/>
  <c r="AL11" i="10"/>
  <c r="AL10" i="10"/>
  <c r="AL9" i="10"/>
  <c r="AL8" i="10"/>
  <c r="AL7" i="10"/>
  <c r="AL6" i="10"/>
  <c r="AL5" i="10"/>
  <c r="AL4" i="10"/>
  <c r="AL3" i="10"/>
  <c r="AK38" i="9"/>
  <c r="AJ38" i="9"/>
  <c r="AI38" i="9"/>
  <c r="AH38" i="9"/>
  <c r="AG38" i="9"/>
  <c r="H38" i="9" s="1"/>
  <c r="AF38" i="9"/>
  <c r="AE38" i="9"/>
  <c r="AD38" i="9"/>
  <c r="AC38" i="9"/>
  <c r="AB38" i="9"/>
  <c r="AA38" i="9"/>
  <c r="Z38" i="9"/>
  <c r="Y38" i="9"/>
  <c r="X38" i="9"/>
  <c r="W38" i="9"/>
  <c r="V38" i="9"/>
  <c r="U38" i="9"/>
  <c r="F38" i="9"/>
  <c r="C38" i="9"/>
  <c r="AK37" i="9"/>
  <c r="AJ37" i="9"/>
  <c r="AI37" i="9"/>
  <c r="AH37" i="9"/>
  <c r="AG37" i="9"/>
  <c r="AF37" i="9"/>
  <c r="AE37" i="9"/>
  <c r="AD37" i="9"/>
  <c r="AC37" i="9"/>
  <c r="AB37" i="9"/>
  <c r="AA37" i="9"/>
  <c r="Z37" i="9"/>
  <c r="Y37" i="9"/>
  <c r="X37" i="9"/>
  <c r="W37" i="9"/>
  <c r="V37" i="9"/>
  <c r="U37" i="9"/>
  <c r="F37" i="9"/>
  <c r="C37" i="9"/>
  <c r="AK36" i="9"/>
  <c r="AJ36" i="9"/>
  <c r="AI36" i="9"/>
  <c r="AH36" i="9"/>
  <c r="AG36" i="9"/>
  <c r="AF36" i="9"/>
  <c r="AE36" i="9"/>
  <c r="AD36" i="9"/>
  <c r="AC36" i="9"/>
  <c r="AB36" i="9"/>
  <c r="AA36" i="9"/>
  <c r="Z36" i="9"/>
  <c r="Y36" i="9"/>
  <c r="X36" i="9"/>
  <c r="W36" i="9"/>
  <c r="V36" i="9"/>
  <c r="U36" i="9"/>
  <c r="H36" i="9"/>
  <c r="F36" i="9"/>
  <c r="C36" i="9"/>
  <c r="AK35" i="9"/>
  <c r="AJ35" i="9"/>
  <c r="AI35" i="9"/>
  <c r="AH35" i="9"/>
  <c r="AG35" i="9"/>
  <c r="AF35" i="9"/>
  <c r="AE35" i="9"/>
  <c r="AD35" i="9"/>
  <c r="AC35" i="9"/>
  <c r="AB35" i="9"/>
  <c r="AA35" i="9"/>
  <c r="Z35" i="9"/>
  <c r="Y35" i="9"/>
  <c r="X35" i="9"/>
  <c r="W35" i="9"/>
  <c r="V35" i="9"/>
  <c r="U35" i="9"/>
  <c r="F35" i="9"/>
  <c r="C35" i="9"/>
  <c r="AK34" i="9"/>
  <c r="AJ34" i="9"/>
  <c r="AI34" i="9"/>
  <c r="AH34" i="9"/>
  <c r="AG34" i="9"/>
  <c r="AF34" i="9"/>
  <c r="AE34" i="9"/>
  <c r="AD34" i="9"/>
  <c r="AC34" i="9"/>
  <c r="AB34" i="9"/>
  <c r="AA34" i="9"/>
  <c r="H34" i="9" s="1"/>
  <c r="Z34" i="9"/>
  <c r="Y34" i="9"/>
  <c r="X34" i="9"/>
  <c r="W34" i="9"/>
  <c r="V34" i="9"/>
  <c r="U34" i="9"/>
  <c r="F34" i="9"/>
  <c r="C34" i="9"/>
  <c r="AK33" i="9"/>
  <c r="AJ33" i="9"/>
  <c r="AI33" i="9"/>
  <c r="AH33" i="9"/>
  <c r="AG33" i="9"/>
  <c r="AF33" i="9"/>
  <c r="AE33" i="9"/>
  <c r="AD33" i="9"/>
  <c r="AC33" i="9"/>
  <c r="AB33" i="9"/>
  <c r="AA33" i="9"/>
  <c r="Z33" i="9"/>
  <c r="Y33" i="9"/>
  <c r="X33" i="9"/>
  <c r="W33" i="9"/>
  <c r="V33" i="9"/>
  <c r="U33" i="9"/>
  <c r="H33" i="9" s="1"/>
  <c r="F33" i="9"/>
  <c r="C33" i="9"/>
  <c r="AK32" i="9"/>
  <c r="H32" i="9" s="1"/>
  <c r="AJ32" i="9"/>
  <c r="AI32" i="9"/>
  <c r="AH32" i="9"/>
  <c r="AG32" i="9"/>
  <c r="AF32" i="9"/>
  <c r="AE32" i="9"/>
  <c r="AD32" i="9"/>
  <c r="AC32" i="9"/>
  <c r="AB32" i="9"/>
  <c r="AA32" i="9"/>
  <c r="Z32" i="9"/>
  <c r="Y32" i="9"/>
  <c r="X32" i="9"/>
  <c r="W32" i="9"/>
  <c r="V32" i="9"/>
  <c r="U32" i="9"/>
  <c r="F32" i="9"/>
  <c r="C32" i="9"/>
  <c r="AK31" i="9"/>
  <c r="AJ31" i="9"/>
  <c r="AI31" i="9"/>
  <c r="AH31" i="9"/>
  <c r="AG31" i="9"/>
  <c r="AF31" i="9"/>
  <c r="AE31" i="9"/>
  <c r="AD31" i="9"/>
  <c r="AC31" i="9"/>
  <c r="AB31" i="9"/>
  <c r="AA31" i="9"/>
  <c r="Z31" i="9"/>
  <c r="Y31" i="9"/>
  <c r="X31" i="9"/>
  <c r="W31" i="9"/>
  <c r="V31" i="9"/>
  <c r="U31" i="9"/>
  <c r="F31" i="9"/>
  <c r="C31" i="9"/>
  <c r="AK30" i="9"/>
  <c r="AJ30" i="9"/>
  <c r="AI30" i="9"/>
  <c r="AH30" i="9"/>
  <c r="AG30" i="9"/>
  <c r="AF30" i="9"/>
  <c r="AE30" i="9"/>
  <c r="AD30" i="9"/>
  <c r="AC30" i="9"/>
  <c r="AB30" i="9"/>
  <c r="AA30" i="9"/>
  <c r="Z30" i="9"/>
  <c r="Y30" i="9"/>
  <c r="X30" i="9"/>
  <c r="W30" i="9"/>
  <c r="H30" i="9" s="1"/>
  <c r="V30" i="9"/>
  <c r="U30" i="9"/>
  <c r="F30" i="9"/>
  <c r="C30" i="9"/>
  <c r="AK29" i="9"/>
  <c r="AJ29" i="9"/>
  <c r="AI29" i="9"/>
  <c r="AH29" i="9"/>
  <c r="AG29" i="9"/>
  <c r="AF29" i="9"/>
  <c r="AE29" i="9"/>
  <c r="AD29" i="9"/>
  <c r="AC29" i="9"/>
  <c r="AB29" i="9"/>
  <c r="AA29" i="9"/>
  <c r="Z29" i="9"/>
  <c r="Y29" i="9"/>
  <c r="X29" i="9"/>
  <c r="W29" i="9"/>
  <c r="V29" i="9"/>
  <c r="U29" i="9"/>
  <c r="F29" i="9"/>
  <c r="C29" i="9"/>
  <c r="AK28" i="9"/>
  <c r="AJ28" i="9"/>
  <c r="AI28" i="9"/>
  <c r="AH28" i="9"/>
  <c r="AG28" i="9"/>
  <c r="AF28" i="9"/>
  <c r="AE28" i="9"/>
  <c r="AD28" i="9"/>
  <c r="AC28" i="9"/>
  <c r="AB28" i="9"/>
  <c r="AA28" i="9"/>
  <c r="Z28" i="9"/>
  <c r="Y28" i="9"/>
  <c r="X28" i="9"/>
  <c r="W28" i="9"/>
  <c r="V28" i="9"/>
  <c r="U28" i="9"/>
  <c r="H28" i="9"/>
  <c r="F28" i="9"/>
  <c r="C28" i="9"/>
  <c r="AK27" i="9"/>
  <c r="AJ27" i="9"/>
  <c r="AI27" i="9"/>
  <c r="AH27" i="9"/>
  <c r="AG27" i="9"/>
  <c r="AF27" i="9"/>
  <c r="AE27" i="9"/>
  <c r="AD27" i="9"/>
  <c r="AC27" i="9"/>
  <c r="AB27" i="9"/>
  <c r="AA27" i="9"/>
  <c r="Z27" i="9"/>
  <c r="Y27" i="9"/>
  <c r="X27" i="9"/>
  <c r="W27" i="9"/>
  <c r="V27" i="9"/>
  <c r="U27" i="9"/>
  <c r="H27" i="9"/>
  <c r="F27" i="9"/>
  <c r="C27" i="9"/>
  <c r="AK26" i="9"/>
  <c r="AJ26" i="9"/>
  <c r="AI26" i="9"/>
  <c r="AH26" i="9"/>
  <c r="AG26" i="9"/>
  <c r="AF26" i="9"/>
  <c r="AE26" i="9"/>
  <c r="AD26" i="9"/>
  <c r="AC26" i="9"/>
  <c r="AB26" i="9"/>
  <c r="AA26" i="9"/>
  <c r="Z26" i="9"/>
  <c r="Y26" i="9"/>
  <c r="X26" i="9"/>
  <c r="W26" i="9"/>
  <c r="V26" i="9"/>
  <c r="U26" i="9"/>
  <c r="H26" i="9"/>
  <c r="F26" i="9"/>
  <c r="C26" i="9"/>
  <c r="AK25" i="9"/>
  <c r="AJ25" i="9"/>
  <c r="AI25" i="9"/>
  <c r="AH25" i="9"/>
  <c r="AG25" i="9"/>
  <c r="AF25" i="9"/>
  <c r="AE25" i="9"/>
  <c r="AD25" i="9"/>
  <c r="AC25" i="9"/>
  <c r="AB25" i="9"/>
  <c r="AA25" i="9"/>
  <c r="Z25" i="9"/>
  <c r="Y25" i="9"/>
  <c r="H25" i="9" s="1"/>
  <c r="X25" i="9"/>
  <c r="W25" i="9"/>
  <c r="V25" i="9"/>
  <c r="U25" i="9"/>
  <c r="F25" i="9"/>
  <c r="C25" i="9"/>
  <c r="AK24" i="9"/>
  <c r="AJ24" i="9"/>
  <c r="AI24" i="9"/>
  <c r="AH24" i="9"/>
  <c r="AG24" i="9"/>
  <c r="AF24" i="9"/>
  <c r="AE24" i="9"/>
  <c r="AD24" i="9"/>
  <c r="AC24" i="9"/>
  <c r="AB24" i="9"/>
  <c r="AA24" i="9"/>
  <c r="Z24" i="9"/>
  <c r="Y24" i="9"/>
  <c r="X24" i="9"/>
  <c r="W24" i="9"/>
  <c r="V24" i="9"/>
  <c r="U24" i="9"/>
  <c r="H24" i="9"/>
  <c r="F24" i="9"/>
  <c r="C24" i="9"/>
  <c r="AK23" i="9"/>
  <c r="AJ23" i="9"/>
  <c r="AI23" i="9"/>
  <c r="AH23" i="9"/>
  <c r="AG23" i="9"/>
  <c r="AF23" i="9"/>
  <c r="AE23" i="9"/>
  <c r="AD23" i="9"/>
  <c r="AC23" i="9"/>
  <c r="AB23" i="9"/>
  <c r="AA23" i="9"/>
  <c r="Z23" i="9"/>
  <c r="Y23" i="9"/>
  <c r="X23" i="9"/>
  <c r="W23" i="9"/>
  <c r="V23" i="9"/>
  <c r="U23" i="9"/>
  <c r="F23" i="9"/>
  <c r="C23" i="9"/>
  <c r="AK22" i="9"/>
  <c r="AJ22" i="9"/>
  <c r="AI22" i="9"/>
  <c r="AH22" i="9"/>
  <c r="AG22" i="9"/>
  <c r="AF22" i="9"/>
  <c r="AE22" i="9"/>
  <c r="AD22" i="9"/>
  <c r="AC22" i="9"/>
  <c r="AB22" i="9"/>
  <c r="AA22" i="9"/>
  <c r="Z22" i="9"/>
  <c r="Y22" i="9"/>
  <c r="X22" i="9"/>
  <c r="W22" i="9"/>
  <c r="V22" i="9"/>
  <c r="U22" i="9"/>
  <c r="H22" i="9"/>
  <c r="F22" i="9"/>
  <c r="D22" i="9"/>
  <c r="C22" i="9"/>
  <c r="AL19" i="9"/>
  <c r="AL18" i="9"/>
  <c r="AL17" i="9"/>
  <c r="AL16" i="9"/>
  <c r="AL15" i="9"/>
  <c r="AL14" i="9"/>
  <c r="AL13" i="9"/>
  <c r="AL12" i="9"/>
  <c r="AL11" i="9"/>
  <c r="AL10" i="9"/>
  <c r="AL9" i="9"/>
  <c r="AL8" i="9"/>
  <c r="AL7" i="9"/>
  <c r="AL6" i="9"/>
  <c r="AL5" i="9"/>
  <c r="AL4" i="9"/>
  <c r="AL3" i="9"/>
  <c r="AK38" i="8"/>
  <c r="AJ38" i="8"/>
  <c r="AI38" i="8"/>
  <c r="AH38" i="8"/>
  <c r="AG38" i="8"/>
  <c r="AF38" i="8"/>
  <c r="AE38" i="8"/>
  <c r="AD38" i="8"/>
  <c r="AC38" i="8"/>
  <c r="AB38" i="8"/>
  <c r="AA38" i="8"/>
  <c r="Z38" i="8"/>
  <c r="Y38" i="8"/>
  <c r="X38" i="8"/>
  <c r="W38" i="8"/>
  <c r="H38" i="8" s="1"/>
  <c r="V38" i="8"/>
  <c r="U38" i="8"/>
  <c r="F38" i="8"/>
  <c r="C38" i="8"/>
  <c r="AK37" i="8"/>
  <c r="AJ37" i="8"/>
  <c r="AI37" i="8"/>
  <c r="AH37" i="8"/>
  <c r="AG37" i="8"/>
  <c r="AF37" i="8"/>
  <c r="AE37" i="8"/>
  <c r="AD37" i="8"/>
  <c r="AC37" i="8"/>
  <c r="AB37" i="8"/>
  <c r="AA37" i="8"/>
  <c r="Z37" i="8"/>
  <c r="Y37" i="8"/>
  <c r="X37" i="8"/>
  <c r="W37" i="8"/>
  <c r="V37" i="8"/>
  <c r="U37" i="8"/>
  <c r="F37" i="8"/>
  <c r="C37" i="8"/>
  <c r="AK36" i="8"/>
  <c r="AJ36" i="8"/>
  <c r="AI36" i="8"/>
  <c r="AH36" i="8"/>
  <c r="AG36" i="8"/>
  <c r="AF36" i="8"/>
  <c r="AE36" i="8"/>
  <c r="AD36" i="8"/>
  <c r="AC36" i="8"/>
  <c r="AB36" i="8"/>
  <c r="AA36" i="8"/>
  <c r="Z36" i="8"/>
  <c r="Y36" i="8"/>
  <c r="X36" i="8"/>
  <c r="W36" i="8"/>
  <c r="V36" i="8"/>
  <c r="U36" i="8"/>
  <c r="H36" i="8" s="1"/>
  <c r="F36" i="8"/>
  <c r="C36" i="8"/>
  <c r="AK35" i="8"/>
  <c r="AJ35" i="8"/>
  <c r="AI35" i="8"/>
  <c r="AH35" i="8"/>
  <c r="AG35" i="8"/>
  <c r="AF35" i="8"/>
  <c r="AE35" i="8"/>
  <c r="AD35" i="8"/>
  <c r="AC35" i="8"/>
  <c r="AB35" i="8"/>
  <c r="AA35" i="8"/>
  <c r="Z35" i="8"/>
  <c r="Y35" i="8"/>
  <c r="X35" i="8"/>
  <c r="W35" i="8"/>
  <c r="V35" i="8"/>
  <c r="U35" i="8"/>
  <c r="F35" i="8"/>
  <c r="C35" i="8"/>
  <c r="AK34" i="8"/>
  <c r="AJ34" i="8"/>
  <c r="AI34" i="8"/>
  <c r="AH34" i="8"/>
  <c r="AG34" i="8"/>
  <c r="H34" i="8" s="1"/>
  <c r="AF34" i="8"/>
  <c r="AE34" i="8"/>
  <c r="AD34" i="8"/>
  <c r="AC34" i="8"/>
  <c r="AB34" i="8"/>
  <c r="AA34" i="8"/>
  <c r="Z34" i="8"/>
  <c r="Y34" i="8"/>
  <c r="X34" i="8"/>
  <c r="W34" i="8"/>
  <c r="V34" i="8"/>
  <c r="U34" i="8"/>
  <c r="F34" i="8"/>
  <c r="C34" i="8"/>
  <c r="AK33" i="8"/>
  <c r="AJ33" i="8"/>
  <c r="AI33" i="8"/>
  <c r="AH33" i="8"/>
  <c r="AG33" i="8"/>
  <c r="AF33" i="8"/>
  <c r="AE33" i="8"/>
  <c r="AD33" i="8"/>
  <c r="AC33" i="8"/>
  <c r="AB33" i="8"/>
  <c r="AA33" i="8"/>
  <c r="Z33" i="8"/>
  <c r="Y33" i="8"/>
  <c r="X33" i="8"/>
  <c r="W33" i="8"/>
  <c r="V33" i="8"/>
  <c r="U33" i="8"/>
  <c r="F33" i="8"/>
  <c r="C33" i="8"/>
  <c r="AK32" i="8"/>
  <c r="AJ32" i="8"/>
  <c r="AI32" i="8"/>
  <c r="AH32" i="8"/>
  <c r="AG32" i="8"/>
  <c r="AF32" i="8"/>
  <c r="AE32" i="8"/>
  <c r="H32" i="8" s="1"/>
  <c r="AD32" i="8"/>
  <c r="AC32" i="8"/>
  <c r="AB32" i="8"/>
  <c r="AA32" i="8"/>
  <c r="Z32" i="8"/>
  <c r="Y32" i="8"/>
  <c r="X32" i="8"/>
  <c r="W32" i="8"/>
  <c r="V32" i="8"/>
  <c r="U32" i="8"/>
  <c r="F32" i="8"/>
  <c r="C32" i="8"/>
  <c r="AK31" i="8"/>
  <c r="AJ31" i="8"/>
  <c r="AI31" i="8"/>
  <c r="AH31" i="8"/>
  <c r="AG31" i="8"/>
  <c r="AF31" i="8"/>
  <c r="AE31" i="8"/>
  <c r="AD31" i="8"/>
  <c r="AC31" i="8"/>
  <c r="AB31" i="8"/>
  <c r="AA31" i="8"/>
  <c r="Z31" i="8"/>
  <c r="Y31" i="8"/>
  <c r="X31" i="8"/>
  <c r="W31" i="8"/>
  <c r="V31" i="8"/>
  <c r="U31" i="8"/>
  <c r="F31" i="8"/>
  <c r="C31" i="8"/>
  <c r="AK30" i="8"/>
  <c r="AJ30" i="8"/>
  <c r="AI30" i="8"/>
  <c r="AH30" i="8"/>
  <c r="AG30" i="8"/>
  <c r="AF30" i="8"/>
  <c r="AE30" i="8"/>
  <c r="AD30" i="8"/>
  <c r="AC30" i="8"/>
  <c r="AB30" i="8"/>
  <c r="AA30" i="8"/>
  <c r="Z30" i="8"/>
  <c r="Y30" i="8"/>
  <c r="X30" i="8"/>
  <c r="W30" i="8"/>
  <c r="V30" i="8"/>
  <c r="U30" i="8"/>
  <c r="H30" i="8"/>
  <c r="F30" i="8"/>
  <c r="C30" i="8"/>
  <c r="AK29" i="8"/>
  <c r="AJ29" i="8"/>
  <c r="AI29" i="8"/>
  <c r="AH29" i="8"/>
  <c r="AG29" i="8"/>
  <c r="AF29" i="8"/>
  <c r="AE29" i="8"/>
  <c r="AD29" i="8"/>
  <c r="AC29" i="8"/>
  <c r="AB29" i="8"/>
  <c r="AA29" i="8"/>
  <c r="Z29" i="8"/>
  <c r="Y29" i="8"/>
  <c r="X29" i="8"/>
  <c r="W29" i="8"/>
  <c r="V29" i="8"/>
  <c r="U29" i="8"/>
  <c r="F29" i="8"/>
  <c r="C29" i="8"/>
  <c r="AK28" i="8"/>
  <c r="AJ28" i="8"/>
  <c r="AI28" i="8"/>
  <c r="AH28" i="8"/>
  <c r="AG28" i="8"/>
  <c r="AF28" i="8"/>
  <c r="AE28" i="8"/>
  <c r="AD28" i="8"/>
  <c r="AC28" i="8"/>
  <c r="AB28" i="8"/>
  <c r="AA28" i="8"/>
  <c r="Z28" i="8"/>
  <c r="Y28" i="8"/>
  <c r="X28" i="8"/>
  <c r="W28" i="8"/>
  <c r="V28" i="8"/>
  <c r="U28" i="8"/>
  <c r="H28" i="8"/>
  <c r="F28" i="8"/>
  <c r="C28" i="8"/>
  <c r="AK27" i="8"/>
  <c r="AJ27" i="8"/>
  <c r="AI27" i="8"/>
  <c r="AH27" i="8"/>
  <c r="AG27" i="8"/>
  <c r="AF27" i="8"/>
  <c r="AE27" i="8"/>
  <c r="AD27" i="8"/>
  <c r="AC27" i="8"/>
  <c r="AB27" i="8"/>
  <c r="AA27" i="8"/>
  <c r="Z27" i="8"/>
  <c r="Y27" i="8"/>
  <c r="X27" i="8"/>
  <c r="W27" i="8"/>
  <c r="V27" i="8"/>
  <c r="U27" i="8"/>
  <c r="H27" i="8"/>
  <c r="F27" i="8"/>
  <c r="C27" i="8"/>
  <c r="AK26" i="8"/>
  <c r="AJ26" i="8"/>
  <c r="AI26" i="8"/>
  <c r="AH26" i="8"/>
  <c r="AG26" i="8"/>
  <c r="AF26" i="8"/>
  <c r="AE26" i="8"/>
  <c r="AD26" i="8"/>
  <c r="AC26" i="8"/>
  <c r="AB26" i="8"/>
  <c r="AA26" i="8"/>
  <c r="Z26" i="8"/>
  <c r="Y26" i="8"/>
  <c r="H26" i="8" s="1"/>
  <c r="X26" i="8"/>
  <c r="W26" i="8"/>
  <c r="V26" i="8"/>
  <c r="U26" i="8"/>
  <c r="F26" i="8"/>
  <c r="C26" i="8"/>
  <c r="AK25" i="8"/>
  <c r="AJ25" i="8"/>
  <c r="AI25" i="8"/>
  <c r="AH25" i="8"/>
  <c r="AG25" i="8"/>
  <c r="AF25" i="8"/>
  <c r="AE25" i="8"/>
  <c r="AD25" i="8"/>
  <c r="AC25" i="8"/>
  <c r="AB25" i="8"/>
  <c r="AA25" i="8"/>
  <c r="Z25" i="8"/>
  <c r="Y25" i="8"/>
  <c r="H25" i="8" s="1"/>
  <c r="X25" i="8"/>
  <c r="W25" i="8"/>
  <c r="V25" i="8"/>
  <c r="U25" i="8"/>
  <c r="F25" i="8"/>
  <c r="C25" i="8"/>
  <c r="AK24" i="8"/>
  <c r="AJ24" i="8"/>
  <c r="AI24" i="8"/>
  <c r="H24" i="8" s="1"/>
  <c r="AH24" i="8"/>
  <c r="AG24" i="8"/>
  <c r="AF24" i="8"/>
  <c r="AE24" i="8"/>
  <c r="AD24" i="8"/>
  <c r="AC24" i="8"/>
  <c r="AB24" i="8"/>
  <c r="AA24" i="8"/>
  <c r="Z24" i="8"/>
  <c r="Y24" i="8"/>
  <c r="X24" i="8"/>
  <c r="W24" i="8"/>
  <c r="V24" i="8"/>
  <c r="U24" i="8"/>
  <c r="F24" i="8"/>
  <c r="C24" i="8"/>
  <c r="AK23" i="8"/>
  <c r="AJ23" i="8"/>
  <c r="AI23" i="8"/>
  <c r="AH23" i="8"/>
  <c r="AG23" i="8"/>
  <c r="AF23" i="8"/>
  <c r="AE23" i="8"/>
  <c r="AD23" i="8"/>
  <c r="AC23" i="8"/>
  <c r="AB23" i="8"/>
  <c r="AA23" i="8"/>
  <c r="H23" i="8" s="1"/>
  <c r="Z23" i="8"/>
  <c r="Y23" i="8"/>
  <c r="X23" i="8"/>
  <c r="W23" i="8"/>
  <c r="V23" i="8"/>
  <c r="U23" i="8"/>
  <c r="F23" i="8"/>
  <c r="C23" i="8"/>
  <c r="AK22" i="8"/>
  <c r="AJ22" i="8"/>
  <c r="AI22" i="8"/>
  <c r="AH22" i="8"/>
  <c r="AG22" i="8"/>
  <c r="AF22" i="8"/>
  <c r="AE22" i="8"/>
  <c r="AD22" i="8"/>
  <c r="AC22" i="8"/>
  <c r="AB22" i="8"/>
  <c r="AA22" i="8"/>
  <c r="Z22" i="8"/>
  <c r="Y22" i="8"/>
  <c r="X22" i="8"/>
  <c r="W22" i="8"/>
  <c r="V22" i="8"/>
  <c r="U22" i="8"/>
  <c r="H22" i="8"/>
  <c r="F22" i="8"/>
  <c r="D22" i="8"/>
  <c r="C22" i="8"/>
  <c r="AL19" i="8"/>
  <c r="AL18" i="8"/>
  <c r="AL17" i="8"/>
  <c r="AL16" i="8"/>
  <c r="AL15" i="8"/>
  <c r="AL14" i="8"/>
  <c r="AL13" i="8"/>
  <c r="AL12" i="8"/>
  <c r="AL11" i="8"/>
  <c r="AL10" i="8"/>
  <c r="AL9" i="8"/>
  <c r="AL8" i="8"/>
  <c r="AL7" i="8"/>
  <c r="AL6" i="8"/>
  <c r="AL5" i="8"/>
  <c r="AL4" i="8"/>
  <c r="AL3" i="8"/>
  <c r="AK38" i="7"/>
  <c r="AJ38" i="7"/>
  <c r="AI38" i="7"/>
  <c r="AH38" i="7"/>
  <c r="AG38" i="7"/>
  <c r="H38" i="7" s="1"/>
  <c r="AF38" i="7"/>
  <c r="AE38" i="7"/>
  <c r="AD38" i="7"/>
  <c r="AC38" i="7"/>
  <c r="AB38" i="7"/>
  <c r="AA38" i="7"/>
  <c r="Z38" i="7"/>
  <c r="Y38" i="7"/>
  <c r="X38" i="7"/>
  <c r="W38" i="7"/>
  <c r="V38" i="7"/>
  <c r="U38" i="7"/>
  <c r="F38" i="7"/>
  <c r="C38" i="7"/>
  <c r="AK37" i="7"/>
  <c r="H37" i="7" s="1"/>
  <c r="AJ37" i="7"/>
  <c r="AI37" i="7"/>
  <c r="AH37" i="7"/>
  <c r="AG37" i="7"/>
  <c r="AF37" i="7"/>
  <c r="AE37" i="7"/>
  <c r="AD37" i="7"/>
  <c r="AC37" i="7"/>
  <c r="AB37" i="7"/>
  <c r="AA37" i="7"/>
  <c r="Z37" i="7"/>
  <c r="Y37" i="7"/>
  <c r="X37" i="7"/>
  <c r="W37" i="7"/>
  <c r="V37" i="7"/>
  <c r="U37" i="7"/>
  <c r="F37" i="7"/>
  <c r="C37" i="7"/>
  <c r="AK36" i="7"/>
  <c r="AJ36" i="7"/>
  <c r="AI36" i="7"/>
  <c r="AH36" i="7"/>
  <c r="AG36" i="7"/>
  <c r="AF36" i="7"/>
  <c r="AE36" i="7"/>
  <c r="AD36" i="7"/>
  <c r="AC36" i="7"/>
  <c r="AB36" i="7"/>
  <c r="AA36" i="7"/>
  <c r="Z36" i="7"/>
  <c r="Y36" i="7"/>
  <c r="X36" i="7"/>
  <c r="W36" i="7"/>
  <c r="V36" i="7"/>
  <c r="U36" i="7"/>
  <c r="H36" i="7"/>
  <c r="F36" i="7"/>
  <c r="C36" i="7"/>
  <c r="AK35" i="7"/>
  <c r="AJ35" i="7"/>
  <c r="AI35" i="7"/>
  <c r="AH35" i="7"/>
  <c r="AG35" i="7"/>
  <c r="AF35" i="7"/>
  <c r="AE35" i="7"/>
  <c r="AD35" i="7"/>
  <c r="AC35" i="7"/>
  <c r="AB35" i="7"/>
  <c r="AA35" i="7"/>
  <c r="Z35" i="7"/>
  <c r="Y35" i="7"/>
  <c r="X35" i="7"/>
  <c r="W35" i="7"/>
  <c r="V35" i="7"/>
  <c r="U35" i="7"/>
  <c r="F35" i="7"/>
  <c r="C35" i="7"/>
  <c r="AK34" i="7"/>
  <c r="AJ34" i="7"/>
  <c r="AI34" i="7"/>
  <c r="AH34" i="7"/>
  <c r="AG34" i="7"/>
  <c r="AF34" i="7"/>
  <c r="AE34" i="7"/>
  <c r="AD34" i="7"/>
  <c r="AC34" i="7"/>
  <c r="AB34" i="7"/>
  <c r="AA34" i="7"/>
  <c r="Z34" i="7"/>
  <c r="Y34" i="7"/>
  <c r="X34" i="7"/>
  <c r="W34" i="7"/>
  <c r="V34" i="7"/>
  <c r="U34" i="7"/>
  <c r="H34" i="7" s="1"/>
  <c r="F34" i="7"/>
  <c r="C34" i="7"/>
  <c r="AK33" i="7"/>
  <c r="AJ33" i="7"/>
  <c r="AI33" i="7"/>
  <c r="AH33" i="7"/>
  <c r="AG33" i="7"/>
  <c r="AF33" i="7"/>
  <c r="AE33" i="7"/>
  <c r="AD33" i="7"/>
  <c r="AC33" i="7"/>
  <c r="AB33" i="7"/>
  <c r="AA33" i="7"/>
  <c r="Z33" i="7"/>
  <c r="Y33" i="7"/>
  <c r="X33" i="7"/>
  <c r="W33" i="7"/>
  <c r="V33" i="7"/>
  <c r="U33" i="7"/>
  <c r="H33" i="7" s="1"/>
  <c r="F33" i="7"/>
  <c r="C33" i="7"/>
  <c r="AK32" i="7"/>
  <c r="AJ32" i="7"/>
  <c r="AI32" i="7"/>
  <c r="H32" i="7" s="1"/>
  <c r="AH32" i="7"/>
  <c r="AG32" i="7"/>
  <c r="AF32" i="7"/>
  <c r="AE32" i="7"/>
  <c r="AD32" i="7"/>
  <c r="AC32" i="7"/>
  <c r="AB32" i="7"/>
  <c r="AA32" i="7"/>
  <c r="Z32" i="7"/>
  <c r="Y32" i="7"/>
  <c r="X32" i="7"/>
  <c r="W32" i="7"/>
  <c r="V32" i="7"/>
  <c r="U32" i="7"/>
  <c r="F32" i="7"/>
  <c r="C32" i="7"/>
  <c r="AK31" i="7"/>
  <c r="AJ31" i="7"/>
  <c r="AI31" i="7"/>
  <c r="AH31" i="7"/>
  <c r="AG31" i="7"/>
  <c r="H31" i="7" s="1"/>
  <c r="AF31" i="7"/>
  <c r="AE31" i="7"/>
  <c r="AD31" i="7"/>
  <c r="AC31" i="7"/>
  <c r="AB31" i="7"/>
  <c r="AA31" i="7"/>
  <c r="Z31" i="7"/>
  <c r="Y31" i="7"/>
  <c r="X31" i="7"/>
  <c r="W31" i="7"/>
  <c r="V31" i="7"/>
  <c r="U31" i="7"/>
  <c r="F31" i="7"/>
  <c r="C31" i="7"/>
  <c r="AK30" i="7"/>
  <c r="AJ30" i="7"/>
  <c r="AI30" i="7"/>
  <c r="AH30" i="7"/>
  <c r="AG30" i="7"/>
  <c r="AF30" i="7"/>
  <c r="AE30" i="7"/>
  <c r="AD30" i="7"/>
  <c r="AC30" i="7"/>
  <c r="AB30" i="7"/>
  <c r="AA30" i="7"/>
  <c r="Z30" i="7"/>
  <c r="Y30" i="7"/>
  <c r="X30" i="7"/>
  <c r="W30" i="7"/>
  <c r="V30" i="7"/>
  <c r="U30" i="7"/>
  <c r="H30" i="7"/>
  <c r="F30" i="7"/>
  <c r="C30" i="7"/>
  <c r="AK29" i="7"/>
  <c r="AJ29" i="7"/>
  <c r="AI29" i="7"/>
  <c r="AH29" i="7"/>
  <c r="AG29" i="7"/>
  <c r="AF29" i="7"/>
  <c r="AE29" i="7"/>
  <c r="AD29" i="7"/>
  <c r="AC29" i="7"/>
  <c r="AB29" i="7"/>
  <c r="AA29" i="7"/>
  <c r="Z29" i="7"/>
  <c r="Y29" i="7"/>
  <c r="X29" i="7"/>
  <c r="W29" i="7"/>
  <c r="V29" i="7"/>
  <c r="U29" i="7"/>
  <c r="F29" i="7"/>
  <c r="C29" i="7"/>
  <c r="AK28" i="7"/>
  <c r="AJ28" i="7"/>
  <c r="AI28" i="7"/>
  <c r="AH28" i="7"/>
  <c r="AG28" i="7"/>
  <c r="AF28" i="7"/>
  <c r="AE28" i="7"/>
  <c r="AD28" i="7"/>
  <c r="AC28" i="7"/>
  <c r="AB28" i="7"/>
  <c r="AA28" i="7"/>
  <c r="Z28" i="7"/>
  <c r="Y28" i="7"/>
  <c r="H28" i="7" s="1"/>
  <c r="X28" i="7"/>
  <c r="W28" i="7"/>
  <c r="V28" i="7"/>
  <c r="U28" i="7"/>
  <c r="F28" i="7"/>
  <c r="C28" i="7"/>
  <c r="AK27" i="7"/>
  <c r="AJ27" i="7"/>
  <c r="AI27" i="7"/>
  <c r="AH27" i="7"/>
  <c r="AG27" i="7"/>
  <c r="AF27" i="7"/>
  <c r="AE27" i="7"/>
  <c r="AD27" i="7"/>
  <c r="AC27" i="7"/>
  <c r="AB27" i="7"/>
  <c r="AA27" i="7"/>
  <c r="Z27" i="7"/>
  <c r="Y27" i="7"/>
  <c r="X27" i="7"/>
  <c r="W27" i="7"/>
  <c r="V27" i="7"/>
  <c r="U27" i="7"/>
  <c r="H27" i="7"/>
  <c r="F27" i="7"/>
  <c r="C27" i="7"/>
  <c r="AK26" i="7"/>
  <c r="AJ26" i="7"/>
  <c r="AI26" i="7"/>
  <c r="AH26" i="7"/>
  <c r="AG26" i="7"/>
  <c r="AF26" i="7"/>
  <c r="AE26" i="7"/>
  <c r="AD26" i="7"/>
  <c r="AC26" i="7"/>
  <c r="H26" i="7" s="1"/>
  <c r="AB26" i="7"/>
  <c r="AA26" i="7"/>
  <c r="Z26" i="7"/>
  <c r="Y26" i="7"/>
  <c r="X26" i="7"/>
  <c r="W26" i="7"/>
  <c r="V26" i="7"/>
  <c r="U26" i="7"/>
  <c r="F26" i="7"/>
  <c r="C26" i="7"/>
  <c r="AK25" i="7"/>
  <c r="AJ25" i="7"/>
  <c r="AI25" i="7"/>
  <c r="AH25" i="7"/>
  <c r="AG25" i="7"/>
  <c r="AF25" i="7"/>
  <c r="AE25" i="7"/>
  <c r="AD25" i="7"/>
  <c r="AC25" i="7"/>
  <c r="AB25" i="7"/>
  <c r="AA25" i="7"/>
  <c r="Z25" i="7"/>
  <c r="Y25" i="7"/>
  <c r="X25" i="7"/>
  <c r="W25" i="7"/>
  <c r="V25" i="7"/>
  <c r="U25" i="7"/>
  <c r="F25" i="7"/>
  <c r="C25" i="7"/>
  <c r="AK24" i="7"/>
  <c r="AJ24" i="7"/>
  <c r="AI24" i="7"/>
  <c r="AH24" i="7"/>
  <c r="AG24" i="7"/>
  <c r="AF24" i="7"/>
  <c r="AE24" i="7"/>
  <c r="AD24" i="7"/>
  <c r="AC24" i="7"/>
  <c r="AB24" i="7"/>
  <c r="AA24" i="7"/>
  <c r="H24" i="7" s="1"/>
  <c r="Z24" i="7"/>
  <c r="Y24" i="7"/>
  <c r="X24" i="7"/>
  <c r="W24" i="7"/>
  <c r="V24" i="7"/>
  <c r="U24" i="7"/>
  <c r="F24" i="7"/>
  <c r="C24" i="7"/>
  <c r="AK23" i="7"/>
  <c r="AJ23" i="7"/>
  <c r="AI23" i="7"/>
  <c r="AH23" i="7"/>
  <c r="AG23" i="7"/>
  <c r="AF23" i="7"/>
  <c r="AE23" i="7"/>
  <c r="AD23" i="7"/>
  <c r="AC23" i="7"/>
  <c r="AB23" i="7"/>
  <c r="AA23" i="7"/>
  <c r="H23" i="7" s="1"/>
  <c r="Z23" i="7"/>
  <c r="Y23" i="7"/>
  <c r="X23" i="7"/>
  <c r="W23" i="7"/>
  <c r="V23" i="7"/>
  <c r="U23" i="7"/>
  <c r="F23" i="7"/>
  <c r="C23" i="7"/>
  <c r="AK22" i="7"/>
  <c r="AJ22" i="7"/>
  <c r="AI22" i="7"/>
  <c r="AH22" i="7"/>
  <c r="AG22" i="7"/>
  <c r="AF22" i="7"/>
  <c r="AE22" i="7"/>
  <c r="AD22" i="7"/>
  <c r="AC22" i="7"/>
  <c r="AB22" i="7"/>
  <c r="AA22" i="7"/>
  <c r="Z22" i="7"/>
  <c r="Y22" i="7"/>
  <c r="X22" i="7"/>
  <c r="W22" i="7"/>
  <c r="V22" i="7"/>
  <c r="U22" i="7"/>
  <c r="H22" i="7"/>
  <c r="F22" i="7"/>
  <c r="D22" i="7"/>
  <c r="C22" i="7"/>
  <c r="AL19" i="7"/>
  <c r="AL18" i="7"/>
  <c r="AL17" i="7"/>
  <c r="AL16" i="7"/>
  <c r="AL15" i="7"/>
  <c r="AL14" i="7"/>
  <c r="AL13" i="7"/>
  <c r="AL12" i="7"/>
  <c r="AL11" i="7"/>
  <c r="AL10" i="7"/>
  <c r="AL9" i="7"/>
  <c r="AL8" i="7"/>
  <c r="AL7" i="7"/>
  <c r="AL6" i="7"/>
  <c r="AL5" i="7"/>
  <c r="AL4" i="7"/>
  <c r="AL3" i="7"/>
  <c r="M23" i="10" l="1"/>
  <c r="L23" i="10"/>
  <c r="M26" i="10"/>
  <c r="L26" i="10"/>
  <c r="M27" i="10"/>
  <c r="L27" i="10"/>
  <c r="M28" i="10"/>
  <c r="L28" i="10"/>
  <c r="M30" i="10"/>
  <c r="L30" i="10"/>
  <c r="M32" i="10"/>
  <c r="L32" i="10"/>
  <c r="M34" i="10"/>
  <c r="L34" i="10"/>
  <c r="M36" i="10"/>
  <c r="L36" i="10"/>
  <c r="M38" i="10"/>
  <c r="L38" i="10"/>
  <c r="M22" i="10"/>
  <c r="L22" i="10"/>
  <c r="M24" i="10"/>
  <c r="L24" i="10"/>
  <c r="M25" i="10"/>
  <c r="L25" i="10"/>
  <c r="M29" i="10"/>
  <c r="L29" i="10"/>
  <c r="M31" i="10"/>
  <c r="L31" i="10"/>
  <c r="M33" i="10"/>
  <c r="L33" i="10"/>
  <c r="M35" i="10"/>
  <c r="L35" i="10"/>
  <c r="M37" i="10"/>
  <c r="L37" i="10"/>
  <c r="M22" i="9"/>
  <c r="L22" i="9"/>
  <c r="M24" i="9"/>
  <c r="L24" i="9"/>
  <c r="M25" i="9"/>
  <c r="L25" i="9"/>
  <c r="M30" i="9"/>
  <c r="L30" i="9"/>
  <c r="M32" i="9"/>
  <c r="L32" i="9"/>
  <c r="M34" i="9"/>
  <c r="L34" i="9"/>
  <c r="M36" i="9"/>
  <c r="L36" i="9"/>
  <c r="M37" i="9"/>
  <c r="L37" i="9"/>
  <c r="M23" i="9"/>
  <c r="L23" i="9"/>
  <c r="M26" i="9"/>
  <c r="L26" i="9"/>
  <c r="M27" i="9"/>
  <c r="L27" i="9"/>
  <c r="M28" i="9"/>
  <c r="L28" i="9"/>
  <c r="M29" i="9"/>
  <c r="L29" i="9"/>
  <c r="M31" i="9"/>
  <c r="L31" i="9"/>
  <c r="M33" i="9"/>
  <c r="L33" i="9"/>
  <c r="M35" i="9"/>
  <c r="L35" i="9"/>
  <c r="M38" i="9"/>
  <c r="L38" i="9"/>
  <c r="M23" i="8"/>
  <c r="L23" i="8"/>
  <c r="M25" i="8"/>
  <c r="L25" i="8"/>
  <c r="M27" i="8"/>
  <c r="L27" i="8"/>
  <c r="M28" i="8"/>
  <c r="L28" i="8"/>
  <c r="M29" i="8"/>
  <c r="L29" i="8"/>
  <c r="M32" i="8"/>
  <c r="L32" i="8"/>
  <c r="M34" i="8"/>
  <c r="L34" i="8"/>
  <c r="M36" i="8"/>
  <c r="L36" i="8"/>
  <c r="M38" i="8"/>
  <c r="L38" i="8"/>
  <c r="M22" i="8"/>
  <c r="L22" i="8"/>
  <c r="M24" i="8"/>
  <c r="L24" i="8"/>
  <c r="M26" i="8"/>
  <c r="L26" i="8"/>
  <c r="M30" i="8"/>
  <c r="L30" i="8"/>
  <c r="M31" i="8"/>
  <c r="L31" i="8"/>
  <c r="M33" i="8"/>
  <c r="L33" i="8"/>
  <c r="M35" i="8"/>
  <c r="L35" i="8"/>
  <c r="M37" i="8"/>
  <c r="L37" i="8"/>
  <c r="M22" i="7"/>
  <c r="L22" i="7"/>
  <c r="M24" i="7"/>
  <c r="L24" i="7"/>
  <c r="M26" i="7"/>
  <c r="L26" i="7"/>
  <c r="M29" i="7"/>
  <c r="L29" i="7"/>
  <c r="M32" i="7"/>
  <c r="L32" i="7"/>
  <c r="M34" i="7"/>
  <c r="L34" i="7"/>
  <c r="M36" i="7"/>
  <c r="L36" i="7"/>
  <c r="M37" i="7"/>
  <c r="L37" i="7"/>
  <c r="M23" i="7"/>
  <c r="L23" i="7"/>
  <c r="M25" i="7"/>
  <c r="L25" i="7"/>
  <c r="M27" i="7"/>
  <c r="L27" i="7"/>
  <c r="M28" i="7"/>
  <c r="L28" i="7"/>
  <c r="M30" i="7"/>
  <c r="L30" i="7"/>
  <c r="M31" i="7"/>
  <c r="L31" i="7"/>
  <c r="M33" i="7"/>
  <c r="L33" i="7"/>
  <c r="M35" i="7"/>
  <c r="L35" i="7"/>
  <c r="M38" i="7"/>
  <c r="L38" i="7"/>
  <c r="H37" i="9"/>
  <c r="H23" i="9"/>
  <c r="H37" i="8"/>
  <c r="H31" i="10"/>
  <c r="H35" i="10"/>
  <c r="H29" i="10"/>
  <c r="H37" i="10"/>
  <c r="H29" i="9"/>
  <c r="H31" i="9"/>
  <c r="H35" i="9"/>
  <c r="H33" i="8"/>
  <c r="H29" i="8"/>
  <c r="H31" i="8"/>
  <c r="H35" i="8"/>
  <c r="H29" i="7"/>
  <c r="H25" i="7"/>
  <c r="H39" i="7" s="1"/>
  <c r="G47" i="7" s="1"/>
  <c r="H35" i="7"/>
  <c r="F39" i="10"/>
  <c r="F39" i="9"/>
  <c r="F39" i="8"/>
  <c r="F39" i="7"/>
  <c r="H39" i="9"/>
  <c r="G47" i="9" s="1"/>
  <c r="H20" i="5"/>
  <c r="H27" i="5"/>
  <c r="H33" i="5"/>
  <c r="H34" i="5"/>
  <c r="H28" i="5"/>
  <c r="H22" i="5"/>
  <c r="AF35" i="5"/>
  <c r="AD35" i="5"/>
  <c r="AB35" i="5"/>
  <c r="Z35" i="5"/>
  <c r="X35" i="5"/>
  <c r="V35" i="5"/>
  <c r="T35" i="5"/>
  <c r="H31" i="5"/>
  <c r="F34" i="5"/>
  <c r="F33" i="5"/>
  <c r="H32" i="5"/>
  <c r="F32" i="5"/>
  <c r="F31" i="5"/>
  <c r="H30" i="5"/>
  <c r="F30" i="5"/>
  <c r="F29" i="5"/>
  <c r="F28" i="5"/>
  <c r="F27" i="5"/>
  <c r="H26" i="5"/>
  <c r="F26" i="5"/>
  <c r="H25" i="5"/>
  <c r="F25" i="5"/>
  <c r="H24" i="5"/>
  <c r="F24" i="5"/>
  <c r="F23" i="5"/>
  <c r="F22" i="5"/>
  <c r="F21" i="5"/>
  <c r="F20" i="5"/>
  <c r="D20" i="5"/>
  <c r="AH17" i="5"/>
  <c r="AH16" i="5"/>
  <c r="AH15" i="5"/>
  <c r="AH14" i="5"/>
  <c r="AH13" i="5"/>
  <c r="AH12" i="5"/>
  <c r="AH11" i="5"/>
  <c r="AH10" i="5"/>
  <c r="AH9" i="5"/>
  <c r="AH8" i="5"/>
  <c r="AH7" i="5"/>
  <c r="AH6" i="5"/>
  <c r="AH5" i="5"/>
  <c r="AH4" i="5"/>
  <c r="AH3" i="5"/>
  <c r="R19" i="10"/>
  <c r="J19" i="10"/>
  <c r="B19" i="10"/>
  <c r="L18" i="10"/>
  <c r="D18" i="10"/>
  <c r="N17" i="10"/>
  <c r="F17" i="10"/>
  <c r="P16" i="10"/>
  <c r="H16" i="10"/>
  <c r="R15" i="10"/>
  <c r="J15" i="10"/>
  <c r="B15" i="10"/>
  <c r="K19" i="10"/>
  <c r="M18" i="10"/>
  <c r="K17" i="10"/>
  <c r="M16" i="10"/>
  <c r="K15" i="10"/>
  <c r="N14" i="10"/>
  <c r="F14" i="10"/>
  <c r="P13" i="10"/>
  <c r="H13" i="10"/>
  <c r="R12" i="10"/>
  <c r="J12" i="10"/>
  <c r="B12" i="10"/>
  <c r="L11" i="10"/>
  <c r="D11" i="10"/>
  <c r="N10" i="10"/>
  <c r="F10" i="10"/>
  <c r="P9" i="10"/>
  <c r="H9" i="10"/>
  <c r="R8" i="10"/>
  <c r="J8" i="10"/>
  <c r="B8" i="10"/>
  <c r="L7" i="10"/>
  <c r="D7" i="10"/>
  <c r="N6" i="10"/>
  <c r="F6" i="10"/>
  <c r="P5" i="10"/>
  <c r="H5" i="10"/>
  <c r="R4" i="10"/>
  <c r="J4" i="10"/>
  <c r="B4" i="10"/>
  <c r="L3" i="10"/>
  <c r="D3" i="10"/>
  <c r="I19" i="10"/>
  <c r="G18" i="10"/>
  <c r="I17" i="10"/>
  <c r="G16" i="10"/>
  <c r="I15" i="10"/>
  <c r="K14" i="10"/>
  <c r="C14" i="10"/>
  <c r="K13" i="10"/>
  <c r="C13" i="10"/>
  <c r="K12" i="10"/>
  <c r="C12" i="10"/>
  <c r="K11" i="10"/>
  <c r="C11" i="10"/>
  <c r="K10" i="10"/>
  <c r="C10" i="10"/>
  <c r="K9" i="10"/>
  <c r="C9" i="10"/>
  <c r="K8" i="10"/>
  <c r="C8" i="10"/>
  <c r="L19" i="10"/>
  <c r="D19" i="10"/>
  <c r="N18" i="10"/>
  <c r="F18" i="10"/>
  <c r="P17" i="10"/>
  <c r="H17" i="10"/>
  <c r="R16" i="10"/>
  <c r="J16" i="10"/>
  <c r="B16" i="10"/>
  <c r="L15" i="10"/>
  <c r="D15" i="10"/>
  <c r="O19" i="10"/>
  <c r="Q18" i="10"/>
  <c r="O17" i="10"/>
  <c r="Q16" i="10"/>
  <c r="O15" i="10"/>
  <c r="Q14" i="10"/>
  <c r="H14" i="10"/>
  <c r="R13" i="10"/>
  <c r="J13" i="10"/>
  <c r="B13" i="10"/>
  <c r="L12" i="10"/>
  <c r="D12" i="10"/>
  <c r="N11" i="10"/>
  <c r="F11" i="10"/>
  <c r="P10" i="10"/>
  <c r="H10" i="10"/>
  <c r="R9" i="10"/>
  <c r="J9" i="10"/>
  <c r="B9" i="10"/>
  <c r="L8" i="10"/>
  <c r="D8" i="10"/>
  <c r="N7" i="10"/>
  <c r="F7" i="10"/>
  <c r="P6" i="10"/>
  <c r="H6" i="10"/>
  <c r="R5" i="10"/>
  <c r="J5" i="10"/>
  <c r="B5" i="10"/>
  <c r="L4" i="10"/>
  <c r="D4" i="10"/>
  <c r="N3" i="10"/>
  <c r="F3" i="10"/>
  <c r="M19" i="10"/>
  <c r="K18" i="10"/>
  <c r="M17" i="10"/>
  <c r="K16" i="10"/>
  <c r="M15" i="10"/>
  <c r="M14" i="10"/>
  <c r="E14" i="10"/>
  <c r="M13" i="10"/>
  <c r="E13" i="10"/>
  <c r="M12" i="10"/>
  <c r="E12" i="10"/>
  <c r="M11" i="10"/>
  <c r="E11" i="10"/>
  <c r="M10" i="10"/>
  <c r="E10" i="10"/>
  <c r="M9" i="10"/>
  <c r="E9" i="10"/>
  <c r="M8" i="10"/>
  <c r="E8" i="10"/>
  <c r="K7" i="10"/>
  <c r="C7" i="10"/>
  <c r="N19" i="10"/>
  <c r="F19" i="10"/>
  <c r="P18" i="10"/>
  <c r="H18" i="10"/>
  <c r="R17" i="10"/>
  <c r="J17" i="10"/>
  <c r="B17" i="10"/>
  <c r="L16" i="10"/>
  <c r="D16" i="10"/>
  <c r="N15" i="10"/>
  <c r="F15" i="10"/>
  <c r="P14" i="10"/>
  <c r="C19" i="10"/>
  <c r="E18" i="10"/>
  <c r="C17" i="10"/>
  <c r="E16" i="10"/>
  <c r="C15" i="10"/>
  <c r="J14" i="10"/>
  <c r="B14" i="10"/>
  <c r="L13" i="10"/>
  <c r="D13" i="10"/>
  <c r="N12" i="10"/>
  <c r="F12" i="10"/>
  <c r="P11" i="10"/>
  <c r="H11" i="10"/>
  <c r="R10" i="10"/>
  <c r="J10" i="10"/>
  <c r="B10" i="10"/>
  <c r="L9" i="10"/>
  <c r="D9" i="10"/>
  <c r="N8" i="10"/>
  <c r="F8" i="10"/>
  <c r="P7" i="10"/>
  <c r="H7" i="10"/>
  <c r="R6" i="10"/>
  <c r="J6" i="10"/>
  <c r="B6" i="10"/>
  <c r="L5" i="10"/>
  <c r="D5" i="10"/>
  <c r="N4" i="10"/>
  <c r="F4" i="10"/>
  <c r="P3" i="10"/>
  <c r="H3" i="10"/>
  <c r="Q19" i="10"/>
  <c r="O18" i="10"/>
  <c r="Q17" i="10"/>
  <c r="O16" i="10"/>
  <c r="Q15" i="10"/>
  <c r="O14" i="10"/>
  <c r="G14" i="10"/>
  <c r="O13" i="10"/>
  <c r="G13" i="10"/>
  <c r="O12" i="10"/>
  <c r="G12" i="10"/>
  <c r="O11" i="10"/>
  <c r="G11" i="10"/>
  <c r="O10" i="10"/>
  <c r="G10" i="10"/>
  <c r="O9" i="10"/>
  <c r="G9" i="10"/>
  <c r="O8" i="10"/>
  <c r="G8" i="10"/>
  <c r="P19" i="10"/>
  <c r="H19" i="10"/>
  <c r="R18" i="10"/>
  <c r="J18" i="10"/>
  <c r="B18" i="10"/>
  <c r="L17" i="10"/>
  <c r="D17" i="10"/>
  <c r="N16" i="10"/>
  <c r="F16" i="10"/>
  <c r="P15" i="10"/>
  <c r="H15" i="10"/>
  <c r="R14" i="10"/>
  <c r="G19" i="10"/>
  <c r="I18" i="10"/>
  <c r="G17" i="10"/>
  <c r="I16" i="10"/>
  <c r="G15" i="10"/>
  <c r="L14" i="10"/>
  <c r="D14" i="10"/>
  <c r="N13" i="10"/>
  <c r="F13" i="10"/>
  <c r="P12" i="10"/>
  <c r="H12" i="10"/>
  <c r="R11" i="10"/>
  <c r="J11" i="10"/>
  <c r="B11" i="10"/>
  <c r="L10" i="10"/>
  <c r="D10" i="10"/>
  <c r="N9" i="10"/>
  <c r="F9" i="10"/>
  <c r="P8" i="10"/>
  <c r="H8" i="10"/>
  <c r="R7" i="10"/>
  <c r="J7" i="10"/>
  <c r="B7" i="10"/>
  <c r="L6" i="10"/>
  <c r="D6" i="10"/>
  <c r="N5" i="10"/>
  <c r="F5" i="10"/>
  <c r="P4" i="10"/>
  <c r="H4" i="10"/>
  <c r="R3" i="10"/>
  <c r="J3" i="10"/>
  <c r="B3" i="10"/>
  <c r="E19" i="10"/>
  <c r="C18" i="10"/>
  <c r="E17" i="10"/>
  <c r="C16" i="10"/>
  <c r="E15" i="10"/>
  <c r="I14" i="10"/>
  <c r="Q13" i="10"/>
  <c r="I13" i="10"/>
  <c r="Q12" i="10"/>
  <c r="I12" i="10"/>
  <c r="Q11" i="10"/>
  <c r="I11" i="10"/>
  <c r="Q10" i="10"/>
  <c r="I10" i="10"/>
  <c r="I9" i="10"/>
  <c r="I8" i="10"/>
  <c r="G7" i="10"/>
  <c r="K6" i="10"/>
  <c r="C6" i="10"/>
  <c r="K5" i="10"/>
  <c r="C5" i="10"/>
  <c r="K4" i="10"/>
  <c r="C4" i="10"/>
  <c r="K3" i="10"/>
  <c r="C3" i="10"/>
  <c r="M7" i="10"/>
  <c r="E7" i="10"/>
  <c r="M6" i="10"/>
  <c r="E6" i="10"/>
  <c r="M5" i="10"/>
  <c r="E5" i="10"/>
  <c r="M4" i="10"/>
  <c r="E4" i="10"/>
  <c r="M3" i="10"/>
  <c r="E3" i="10"/>
  <c r="I3" i="10"/>
  <c r="Q9" i="10"/>
  <c r="Q8" i="10"/>
  <c r="O7" i="10"/>
  <c r="O6" i="10"/>
  <c r="G6" i="10"/>
  <c r="O5" i="10"/>
  <c r="G5" i="10"/>
  <c r="O4" i="10"/>
  <c r="G4" i="10"/>
  <c r="O3" i="10"/>
  <c r="G3" i="10"/>
  <c r="Q7" i="10"/>
  <c r="I7" i="10"/>
  <c r="Q6" i="10"/>
  <c r="I6" i="10"/>
  <c r="Q5" i="10"/>
  <c r="I5" i="10"/>
  <c r="Q4" i="10"/>
  <c r="I4" i="10"/>
  <c r="Q3" i="10"/>
  <c r="L19" i="9"/>
  <c r="D19" i="9"/>
  <c r="N18" i="9"/>
  <c r="F18" i="9"/>
  <c r="P17" i="9"/>
  <c r="H17" i="9"/>
  <c r="R16" i="9"/>
  <c r="J16" i="9"/>
  <c r="B16" i="9"/>
  <c r="L15" i="9"/>
  <c r="D15" i="9"/>
  <c r="O19" i="9"/>
  <c r="Q18" i="9"/>
  <c r="O17" i="9"/>
  <c r="Q16" i="9"/>
  <c r="O15" i="9"/>
  <c r="Q14" i="9"/>
  <c r="H14" i="9"/>
  <c r="R13" i="9"/>
  <c r="J13" i="9"/>
  <c r="B13" i="9"/>
  <c r="L12" i="9"/>
  <c r="D12" i="9"/>
  <c r="N11" i="9"/>
  <c r="F11" i="9"/>
  <c r="P10" i="9"/>
  <c r="H10" i="9"/>
  <c r="R9" i="9"/>
  <c r="J9" i="9"/>
  <c r="B9" i="9"/>
  <c r="L8" i="9"/>
  <c r="D8" i="9"/>
  <c r="N7" i="9"/>
  <c r="F7" i="9"/>
  <c r="P6" i="9"/>
  <c r="H6" i="9"/>
  <c r="R5" i="9"/>
  <c r="J5" i="9"/>
  <c r="B5" i="9"/>
  <c r="L4" i="9"/>
  <c r="D4" i="9"/>
  <c r="N3" i="9"/>
  <c r="F3" i="9"/>
  <c r="M19" i="9"/>
  <c r="K18" i="9"/>
  <c r="M17" i="9"/>
  <c r="K16" i="9"/>
  <c r="M15" i="9"/>
  <c r="M14" i="9"/>
  <c r="E14" i="9"/>
  <c r="M13" i="9"/>
  <c r="E13" i="9"/>
  <c r="M12" i="9"/>
  <c r="N19" i="9"/>
  <c r="F19" i="9"/>
  <c r="P18" i="9"/>
  <c r="H18" i="9"/>
  <c r="R17" i="9"/>
  <c r="J17" i="9"/>
  <c r="B17" i="9"/>
  <c r="L16" i="9"/>
  <c r="D16" i="9"/>
  <c r="N15" i="9"/>
  <c r="F15" i="9"/>
  <c r="P14" i="9"/>
  <c r="C19" i="9"/>
  <c r="E18" i="9"/>
  <c r="C17" i="9"/>
  <c r="E16" i="9"/>
  <c r="C15" i="9"/>
  <c r="J14" i="9"/>
  <c r="B14" i="9"/>
  <c r="L13" i="9"/>
  <c r="D13" i="9"/>
  <c r="N12" i="9"/>
  <c r="F12" i="9"/>
  <c r="P11" i="9"/>
  <c r="H11" i="9"/>
  <c r="R10" i="9"/>
  <c r="J10" i="9"/>
  <c r="B10" i="9"/>
  <c r="L9" i="9"/>
  <c r="D9" i="9"/>
  <c r="N8" i="9"/>
  <c r="F8" i="9"/>
  <c r="P7" i="9"/>
  <c r="H7" i="9"/>
  <c r="R6" i="9"/>
  <c r="J6" i="9"/>
  <c r="B6" i="9"/>
  <c r="L5" i="9"/>
  <c r="D5" i="9"/>
  <c r="N4" i="9"/>
  <c r="F4" i="9"/>
  <c r="P3" i="9"/>
  <c r="H3" i="9"/>
  <c r="Q19" i="9"/>
  <c r="O18" i="9"/>
  <c r="Q17" i="9"/>
  <c r="O16" i="9"/>
  <c r="Q15" i="9"/>
  <c r="O14" i="9"/>
  <c r="G14" i="9"/>
  <c r="O13" i="9"/>
  <c r="G13" i="9"/>
  <c r="O12" i="9"/>
  <c r="E12" i="9"/>
  <c r="M11" i="9"/>
  <c r="E11" i="9"/>
  <c r="M10" i="9"/>
  <c r="E10" i="9"/>
  <c r="M9" i="9"/>
  <c r="E9" i="9"/>
  <c r="M8" i="9"/>
  <c r="E8" i="9"/>
  <c r="M7" i="9"/>
  <c r="E7" i="9"/>
  <c r="M6" i="9"/>
  <c r="E6" i="9"/>
  <c r="M5" i="9"/>
  <c r="E5" i="9"/>
  <c r="M4" i="9"/>
  <c r="E4" i="9"/>
  <c r="M3" i="9"/>
  <c r="E3" i="9"/>
  <c r="G12" i="9"/>
  <c r="O11" i="9"/>
  <c r="P19" i="9"/>
  <c r="R18" i="9"/>
  <c r="B18" i="9"/>
  <c r="D17" i="9"/>
  <c r="F16" i="9"/>
  <c r="H15" i="9"/>
  <c r="G19" i="9"/>
  <c r="G17" i="9"/>
  <c r="G15" i="9"/>
  <c r="D14" i="9"/>
  <c r="F13" i="9"/>
  <c r="H12" i="9"/>
  <c r="J11" i="9"/>
  <c r="L10" i="9"/>
  <c r="N9" i="9"/>
  <c r="P8" i="9"/>
  <c r="R7" i="9"/>
  <c r="B7" i="9"/>
  <c r="D6" i="9"/>
  <c r="F5" i="9"/>
  <c r="H4" i="9"/>
  <c r="J3" i="9"/>
  <c r="E19" i="9"/>
  <c r="E17" i="9"/>
  <c r="E15" i="9"/>
  <c r="Q13" i="9"/>
  <c r="Q12" i="9"/>
  <c r="J19" i="9"/>
  <c r="L18" i="9"/>
  <c r="N17" i="9"/>
  <c r="P16" i="9"/>
  <c r="R15" i="9"/>
  <c r="B15" i="9"/>
  <c r="M18" i="9"/>
  <c r="M16" i="9"/>
  <c r="N14" i="9"/>
  <c r="P13" i="9"/>
  <c r="R12" i="9"/>
  <c r="B12" i="9"/>
  <c r="D11" i="9"/>
  <c r="F10" i="9"/>
  <c r="H9" i="9"/>
  <c r="J8" i="9"/>
  <c r="L7" i="9"/>
  <c r="N6" i="9"/>
  <c r="P5" i="9"/>
  <c r="R4" i="9"/>
  <c r="B4" i="9"/>
  <c r="D3" i="9"/>
  <c r="G18" i="9"/>
  <c r="G16" i="9"/>
  <c r="K14" i="9"/>
  <c r="K13" i="9"/>
  <c r="I12" i="9"/>
  <c r="I11" i="9"/>
  <c r="I10" i="9"/>
  <c r="I9" i="9"/>
  <c r="I8" i="9"/>
  <c r="I7" i="9"/>
  <c r="I6" i="9"/>
  <c r="I5" i="9"/>
  <c r="I4" i="9"/>
  <c r="I3" i="9"/>
  <c r="C12" i="9"/>
  <c r="G11" i="9"/>
  <c r="O10" i="9"/>
  <c r="G10" i="9"/>
  <c r="O9" i="9"/>
  <c r="G9" i="9"/>
  <c r="O8" i="9"/>
  <c r="G8" i="9"/>
  <c r="O7" i="9"/>
  <c r="G7" i="9"/>
  <c r="O6" i="9"/>
  <c r="G6" i="9"/>
  <c r="O5" i="9"/>
  <c r="G5" i="9"/>
  <c r="O4" i="9"/>
  <c r="G4" i="9"/>
  <c r="O3" i="9"/>
  <c r="G3" i="9"/>
  <c r="H19" i="9"/>
  <c r="J18" i="9"/>
  <c r="L17" i="9"/>
  <c r="N16" i="9"/>
  <c r="P15" i="9"/>
  <c r="R14" i="9"/>
  <c r="I18" i="9"/>
  <c r="I16" i="9"/>
  <c r="L14" i="9"/>
  <c r="N13" i="9"/>
  <c r="P12" i="9"/>
  <c r="R11" i="9"/>
  <c r="B11" i="9"/>
  <c r="D10" i="9"/>
  <c r="F9" i="9"/>
  <c r="H8" i="9"/>
  <c r="J7" i="9"/>
  <c r="L6" i="9"/>
  <c r="N5" i="9"/>
  <c r="P4" i="9"/>
  <c r="R3" i="9"/>
  <c r="B3" i="9"/>
  <c r="C18" i="9"/>
  <c r="C16" i="9"/>
  <c r="I14" i="9"/>
  <c r="I13" i="9"/>
  <c r="R19" i="9"/>
  <c r="B19" i="9"/>
  <c r="D18" i="9"/>
  <c r="F17" i="9"/>
  <c r="H16" i="9"/>
  <c r="J15" i="9"/>
  <c r="K19" i="9"/>
  <c r="K17" i="9"/>
  <c r="K15" i="9"/>
  <c r="F14" i="9"/>
  <c r="H13" i="9"/>
  <c r="J12" i="9"/>
  <c r="L11" i="9"/>
  <c r="N10" i="9"/>
  <c r="P9" i="9"/>
  <c r="R8" i="9"/>
  <c r="B8" i="9"/>
  <c r="D7" i="9"/>
  <c r="F6" i="9"/>
  <c r="H5" i="9"/>
  <c r="J4" i="9"/>
  <c r="L3" i="9"/>
  <c r="I19" i="9"/>
  <c r="I17" i="9"/>
  <c r="I15" i="9"/>
  <c r="C14" i="9"/>
  <c r="C13" i="9"/>
  <c r="Q11" i="9"/>
  <c r="Q10" i="9"/>
  <c r="Q9" i="9"/>
  <c r="Q8" i="9"/>
  <c r="Q7" i="9"/>
  <c r="Q6" i="9"/>
  <c r="Q5" i="9"/>
  <c r="Q4" i="9"/>
  <c r="Q3" i="9"/>
  <c r="K12" i="9"/>
  <c r="K11" i="9"/>
  <c r="C11" i="9"/>
  <c r="K10" i="9"/>
  <c r="C10" i="9"/>
  <c r="K9" i="9"/>
  <c r="C9" i="9"/>
  <c r="K8" i="9"/>
  <c r="C8" i="9"/>
  <c r="K7" i="9"/>
  <c r="C7" i="9"/>
  <c r="K6" i="9"/>
  <c r="C6" i="9"/>
  <c r="K5" i="9"/>
  <c r="C5" i="9"/>
  <c r="K4" i="9"/>
  <c r="C4" i="9"/>
  <c r="K3" i="9"/>
  <c r="C3" i="9"/>
  <c r="R19" i="8"/>
  <c r="J19" i="8"/>
  <c r="B19" i="8"/>
  <c r="L18" i="8"/>
  <c r="D18" i="8"/>
  <c r="N17" i="8"/>
  <c r="F17" i="8"/>
  <c r="P16" i="8"/>
  <c r="H16" i="8"/>
  <c r="R15" i="8"/>
  <c r="J15" i="8"/>
  <c r="B15" i="8"/>
  <c r="K19" i="8"/>
  <c r="M18" i="8"/>
  <c r="K17" i="8"/>
  <c r="M16" i="8"/>
  <c r="K15" i="8"/>
  <c r="N14" i="8"/>
  <c r="F14" i="8"/>
  <c r="P13" i="8"/>
  <c r="H13" i="8"/>
  <c r="R12" i="8"/>
  <c r="J12" i="8"/>
  <c r="B12" i="8"/>
  <c r="L11" i="8"/>
  <c r="D11" i="8"/>
  <c r="N10" i="8"/>
  <c r="F10" i="8"/>
  <c r="P9" i="8"/>
  <c r="H9" i="8"/>
  <c r="R8" i="8"/>
  <c r="J8" i="8"/>
  <c r="B8" i="8"/>
  <c r="L7" i="8"/>
  <c r="D7" i="8"/>
  <c r="N6" i="8"/>
  <c r="F6" i="8"/>
  <c r="P5" i="8"/>
  <c r="H5" i="8"/>
  <c r="R4" i="8"/>
  <c r="J4" i="8"/>
  <c r="B4" i="8"/>
  <c r="L3" i="8"/>
  <c r="D3" i="8"/>
  <c r="I19" i="8"/>
  <c r="G18" i="8"/>
  <c r="I17" i="8"/>
  <c r="G16" i="8"/>
  <c r="I15" i="8"/>
  <c r="K14" i="8"/>
  <c r="C14" i="8"/>
  <c r="K13" i="8"/>
  <c r="C13" i="8"/>
  <c r="K12" i="8"/>
  <c r="C12" i="8"/>
  <c r="K11" i="8"/>
  <c r="C11" i="8"/>
  <c r="K10" i="8"/>
  <c r="C10" i="8"/>
  <c r="K9" i="8"/>
  <c r="C9" i="8"/>
  <c r="K8" i="8"/>
  <c r="C8" i="8"/>
  <c r="K7" i="8"/>
  <c r="C7" i="8"/>
  <c r="K6" i="8"/>
  <c r="C6" i="8"/>
  <c r="K5" i="8"/>
  <c r="C5" i="8"/>
  <c r="K4" i="8"/>
  <c r="C4" i="8"/>
  <c r="K3" i="8"/>
  <c r="C3" i="8"/>
  <c r="P19" i="8"/>
  <c r="H19" i="8"/>
  <c r="R18" i="8"/>
  <c r="J18" i="8"/>
  <c r="B18" i="8"/>
  <c r="L17" i="8"/>
  <c r="D17" i="8"/>
  <c r="N16" i="8"/>
  <c r="F16" i="8"/>
  <c r="P15" i="8"/>
  <c r="H15" i="8"/>
  <c r="R14" i="8"/>
  <c r="G19" i="8"/>
  <c r="I18" i="8"/>
  <c r="G17" i="8"/>
  <c r="I16" i="8"/>
  <c r="G15" i="8"/>
  <c r="L14" i="8"/>
  <c r="D14" i="8"/>
  <c r="N13" i="8"/>
  <c r="F13" i="8"/>
  <c r="P12" i="8"/>
  <c r="H12" i="8"/>
  <c r="R11" i="8"/>
  <c r="J11" i="8"/>
  <c r="B11" i="8"/>
  <c r="L10" i="8"/>
  <c r="D10" i="8"/>
  <c r="N9" i="8"/>
  <c r="F9" i="8"/>
  <c r="P8" i="8"/>
  <c r="H8" i="8"/>
  <c r="R7" i="8"/>
  <c r="J7" i="8"/>
  <c r="B7" i="8"/>
  <c r="L6" i="8"/>
  <c r="D6" i="8"/>
  <c r="N5" i="8"/>
  <c r="F5" i="8"/>
  <c r="P4" i="8"/>
  <c r="H4" i="8"/>
  <c r="R3" i="8"/>
  <c r="J3" i="8"/>
  <c r="B3" i="8"/>
  <c r="E19" i="8"/>
  <c r="C18" i="8"/>
  <c r="E17" i="8"/>
  <c r="C16" i="8"/>
  <c r="E15" i="8"/>
  <c r="I14" i="8"/>
  <c r="Q13" i="8"/>
  <c r="I13" i="8"/>
  <c r="F19" i="8"/>
  <c r="H18" i="8"/>
  <c r="J17" i="8"/>
  <c r="L16" i="8"/>
  <c r="N15" i="8"/>
  <c r="P14" i="8"/>
  <c r="E18" i="8"/>
  <c r="E16" i="8"/>
  <c r="J14" i="8"/>
  <c r="L13" i="8"/>
  <c r="N12" i="8"/>
  <c r="P11" i="8"/>
  <c r="R10" i="8"/>
  <c r="B10" i="8"/>
  <c r="D9" i="8"/>
  <c r="F8" i="8"/>
  <c r="H7" i="8"/>
  <c r="J6" i="8"/>
  <c r="L5" i="8"/>
  <c r="N4" i="8"/>
  <c r="P3" i="8"/>
  <c r="Q19" i="8"/>
  <c r="Q17" i="8"/>
  <c r="Q15" i="8"/>
  <c r="G14" i="8"/>
  <c r="G13" i="8"/>
  <c r="G12" i="8"/>
  <c r="G11" i="8"/>
  <c r="G10" i="8"/>
  <c r="G9" i="8"/>
  <c r="G8" i="8"/>
  <c r="G7" i="8"/>
  <c r="G6" i="8"/>
  <c r="G5" i="8"/>
  <c r="G4" i="8"/>
  <c r="G3" i="8"/>
  <c r="L19" i="8"/>
  <c r="N18" i="8"/>
  <c r="P17" i="8"/>
  <c r="R16" i="8"/>
  <c r="B16" i="8"/>
  <c r="D15" i="8"/>
  <c r="Q18" i="8"/>
  <c r="Q16" i="8"/>
  <c r="Q14" i="8"/>
  <c r="R13" i="8"/>
  <c r="B13" i="8"/>
  <c r="D12" i="8"/>
  <c r="F11" i="8"/>
  <c r="H10" i="8"/>
  <c r="J9" i="8"/>
  <c r="L8" i="8"/>
  <c r="N7" i="8"/>
  <c r="P6" i="8"/>
  <c r="R5" i="8"/>
  <c r="B5" i="8"/>
  <c r="D4" i="8"/>
  <c r="F3" i="8"/>
  <c r="K18" i="8"/>
  <c r="K16" i="8"/>
  <c r="M14" i="8"/>
  <c r="M13" i="8"/>
  <c r="Q12" i="8"/>
  <c r="I12" i="8"/>
  <c r="Q11" i="8"/>
  <c r="I11" i="8"/>
  <c r="Q10" i="8"/>
  <c r="I10" i="8"/>
  <c r="Q9" i="8"/>
  <c r="I9" i="8"/>
  <c r="Q8" i="8"/>
  <c r="I8" i="8"/>
  <c r="Q7" i="8"/>
  <c r="I7" i="8"/>
  <c r="Q6" i="8"/>
  <c r="I6" i="8"/>
  <c r="Q5" i="8"/>
  <c r="I5" i="8"/>
  <c r="Q4" i="8"/>
  <c r="I4" i="8"/>
  <c r="Q3" i="8"/>
  <c r="I3" i="8"/>
  <c r="N19" i="8"/>
  <c r="P18" i="8"/>
  <c r="R17" i="8"/>
  <c r="B17" i="8"/>
  <c r="D16" i="8"/>
  <c r="F15" i="8"/>
  <c r="C19" i="8"/>
  <c r="C17" i="8"/>
  <c r="C15" i="8"/>
  <c r="B14" i="8"/>
  <c r="D13" i="8"/>
  <c r="F12" i="8"/>
  <c r="H11" i="8"/>
  <c r="J10" i="8"/>
  <c r="L9" i="8"/>
  <c r="N8" i="8"/>
  <c r="P7" i="8"/>
  <c r="R6" i="8"/>
  <c r="B6" i="8"/>
  <c r="D5" i="8"/>
  <c r="F4" i="8"/>
  <c r="H3" i="8"/>
  <c r="O18" i="8"/>
  <c r="O16" i="8"/>
  <c r="O14" i="8"/>
  <c r="O13" i="8"/>
  <c r="O12" i="8"/>
  <c r="O11" i="8"/>
  <c r="O10" i="8"/>
  <c r="O9" i="8"/>
  <c r="O8" i="8"/>
  <c r="O7" i="8"/>
  <c r="O6" i="8"/>
  <c r="O5" i="8"/>
  <c r="O4" i="8"/>
  <c r="O3" i="8"/>
  <c r="D19" i="8"/>
  <c r="F18" i="8"/>
  <c r="H17" i="8"/>
  <c r="J16" i="8"/>
  <c r="L15" i="8"/>
  <c r="O19" i="8"/>
  <c r="O17" i="8"/>
  <c r="O15" i="8"/>
  <c r="H14" i="8"/>
  <c r="J13" i="8"/>
  <c r="L12" i="8"/>
  <c r="N11" i="8"/>
  <c r="P10" i="8"/>
  <c r="R9" i="8"/>
  <c r="B9" i="8"/>
  <c r="D8" i="8"/>
  <c r="F7" i="8"/>
  <c r="H6" i="8"/>
  <c r="J5" i="8"/>
  <c r="L4" i="8"/>
  <c r="N3" i="8"/>
  <c r="M19" i="8"/>
  <c r="M17" i="8"/>
  <c r="M15" i="8"/>
  <c r="E14" i="8"/>
  <c r="E13" i="8"/>
  <c r="M12" i="8"/>
  <c r="E12" i="8"/>
  <c r="M11" i="8"/>
  <c r="E11" i="8"/>
  <c r="M10" i="8"/>
  <c r="E10" i="8"/>
  <c r="M9" i="8"/>
  <c r="E9" i="8"/>
  <c r="M8" i="8"/>
  <c r="E8" i="8"/>
  <c r="M7" i="8"/>
  <c r="E7" i="8"/>
  <c r="M6" i="8"/>
  <c r="E6" i="8"/>
  <c r="M5" i="8"/>
  <c r="E5" i="8"/>
  <c r="M4" i="8"/>
  <c r="E4" i="8"/>
  <c r="M3" i="8"/>
  <c r="E3" i="8"/>
  <c r="P19" i="7"/>
  <c r="H19" i="7"/>
  <c r="R18" i="7"/>
  <c r="J18" i="7"/>
  <c r="B18" i="7"/>
  <c r="L17" i="7"/>
  <c r="D17" i="7"/>
  <c r="N16" i="7"/>
  <c r="F16" i="7"/>
  <c r="P15" i="7"/>
  <c r="H15" i="7"/>
  <c r="R14" i="7"/>
  <c r="G19" i="7"/>
  <c r="I18" i="7"/>
  <c r="G17" i="7"/>
  <c r="I16" i="7"/>
  <c r="G15" i="7"/>
  <c r="L14" i="7"/>
  <c r="D14" i="7"/>
  <c r="N13" i="7"/>
  <c r="F13" i="7"/>
  <c r="P12" i="7"/>
  <c r="H12" i="7"/>
  <c r="R11" i="7"/>
  <c r="J11" i="7"/>
  <c r="B11" i="7"/>
  <c r="L10" i="7"/>
  <c r="D10" i="7"/>
  <c r="N9" i="7"/>
  <c r="F9" i="7"/>
  <c r="P8" i="7"/>
  <c r="H8" i="7"/>
  <c r="R7" i="7"/>
  <c r="J7" i="7"/>
  <c r="B7" i="7"/>
  <c r="L6" i="7"/>
  <c r="R19" i="7"/>
  <c r="J19" i="7"/>
  <c r="B19" i="7"/>
  <c r="L18" i="7"/>
  <c r="D18" i="7"/>
  <c r="N17" i="7"/>
  <c r="F17" i="7"/>
  <c r="P16" i="7"/>
  <c r="H16" i="7"/>
  <c r="R15" i="7"/>
  <c r="J15" i="7"/>
  <c r="B15" i="7"/>
  <c r="K19" i="7"/>
  <c r="M18" i="7"/>
  <c r="K17" i="7"/>
  <c r="M16" i="7"/>
  <c r="K15" i="7"/>
  <c r="N14" i="7"/>
  <c r="F14" i="7"/>
  <c r="P13" i="7"/>
  <c r="H13" i="7"/>
  <c r="R12" i="7"/>
  <c r="J12" i="7"/>
  <c r="B12" i="7"/>
  <c r="L11" i="7"/>
  <c r="D11" i="7"/>
  <c r="N10" i="7"/>
  <c r="F10" i="7"/>
  <c r="P9" i="7"/>
  <c r="H9" i="7"/>
  <c r="R8" i="7"/>
  <c r="J8" i="7"/>
  <c r="B8" i="7"/>
  <c r="L7" i="7"/>
  <c r="D7" i="7"/>
  <c r="N6" i="7"/>
  <c r="D6" i="7"/>
  <c r="N5" i="7"/>
  <c r="F5" i="7"/>
  <c r="P4" i="7"/>
  <c r="H4" i="7"/>
  <c r="R3" i="7"/>
  <c r="J3" i="7"/>
  <c r="B3" i="7"/>
  <c r="E19" i="7"/>
  <c r="C18" i="7"/>
  <c r="E17" i="7"/>
  <c r="C16" i="7"/>
  <c r="E15" i="7"/>
  <c r="I14" i="7"/>
  <c r="Q13" i="7"/>
  <c r="I13" i="7"/>
  <c r="Q12" i="7"/>
  <c r="I12" i="7"/>
  <c r="Q11" i="7"/>
  <c r="I11" i="7"/>
  <c r="Q10" i="7"/>
  <c r="I10" i="7"/>
  <c r="Q9" i="7"/>
  <c r="I9" i="7"/>
  <c r="Q8" i="7"/>
  <c r="I8" i="7"/>
  <c r="Q7" i="7"/>
  <c r="I7" i="7"/>
  <c r="Q6" i="7"/>
  <c r="I6" i="7"/>
  <c r="Q5" i="7"/>
  <c r="I5" i="7"/>
  <c r="M4" i="7"/>
  <c r="M3" i="7"/>
  <c r="J6" i="7"/>
  <c r="B6" i="7"/>
  <c r="L5" i="7"/>
  <c r="D5" i="7"/>
  <c r="N4" i="7"/>
  <c r="F4" i="7"/>
  <c r="P3" i="7"/>
  <c r="H3" i="7"/>
  <c r="Q19" i="7"/>
  <c r="O18" i="7"/>
  <c r="Q17" i="7"/>
  <c r="O16" i="7"/>
  <c r="Q15" i="7"/>
  <c r="O14" i="7"/>
  <c r="G14" i="7"/>
  <c r="O13" i="7"/>
  <c r="G13" i="7"/>
  <c r="O12" i="7"/>
  <c r="G12" i="7"/>
  <c r="O11" i="7"/>
  <c r="G11" i="7"/>
  <c r="D19" i="7"/>
  <c r="F18" i="7"/>
  <c r="H17" i="7"/>
  <c r="J16" i="7"/>
  <c r="L15" i="7"/>
  <c r="O19" i="7"/>
  <c r="O17" i="7"/>
  <c r="O15" i="7"/>
  <c r="H14" i="7"/>
  <c r="J13" i="7"/>
  <c r="L12" i="7"/>
  <c r="N11" i="7"/>
  <c r="P10" i="7"/>
  <c r="R9" i="7"/>
  <c r="B9" i="7"/>
  <c r="D8" i="7"/>
  <c r="F7" i="7"/>
  <c r="F19" i="7"/>
  <c r="H18" i="7"/>
  <c r="J17" i="7"/>
  <c r="L16" i="7"/>
  <c r="N15" i="7"/>
  <c r="P14" i="7"/>
  <c r="E18" i="7"/>
  <c r="E16" i="7"/>
  <c r="J14" i="7"/>
  <c r="L13" i="7"/>
  <c r="N12" i="7"/>
  <c r="P11" i="7"/>
  <c r="R10" i="7"/>
  <c r="B10" i="7"/>
  <c r="D9" i="7"/>
  <c r="F8" i="7"/>
  <c r="H7" i="7"/>
  <c r="H6" i="7"/>
  <c r="J5" i="7"/>
  <c r="L4" i="7"/>
  <c r="N3" i="7"/>
  <c r="M19" i="7"/>
  <c r="M17" i="7"/>
  <c r="M15" i="7"/>
  <c r="E14" i="7"/>
  <c r="E13" i="7"/>
  <c r="E12" i="7"/>
  <c r="E11" i="7"/>
  <c r="E10" i="7"/>
  <c r="E9" i="7"/>
  <c r="E8" i="7"/>
  <c r="E7" i="7"/>
  <c r="E6" i="7"/>
  <c r="E5" i="7"/>
  <c r="E3" i="7"/>
  <c r="P5" i="7"/>
  <c r="R4" i="7"/>
  <c r="B4" i="7"/>
  <c r="D3" i="7"/>
  <c r="G18" i="7"/>
  <c r="G16" i="7"/>
  <c r="K14" i="7"/>
  <c r="K13" i="7"/>
  <c r="K12" i="7"/>
  <c r="K11" i="7"/>
  <c r="O10" i="7"/>
  <c r="G10" i="7"/>
  <c r="O9" i="7"/>
  <c r="G9" i="7"/>
  <c r="O8" i="7"/>
  <c r="G8" i="7"/>
  <c r="O7" i="7"/>
  <c r="G7" i="7"/>
  <c r="O6" i="7"/>
  <c r="G6" i="7"/>
  <c r="O5" i="7"/>
  <c r="G5" i="7"/>
  <c r="O4" i="7"/>
  <c r="G4" i="7"/>
  <c r="O3" i="7"/>
  <c r="G3" i="7"/>
  <c r="Q4" i="7"/>
  <c r="Q3" i="7"/>
  <c r="L19" i="7"/>
  <c r="N18" i="7"/>
  <c r="P17" i="7"/>
  <c r="R16" i="7"/>
  <c r="B16" i="7"/>
  <c r="D15" i="7"/>
  <c r="Q18" i="7"/>
  <c r="Q16" i="7"/>
  <c r="Q14" i="7"/>
  <c r="R13" i="7"/>
  <c r="B13" i="7"/>
  <c r="D12" i="7"/>
  <c r="F11" i="7"/>
  <c r="H10" i="7"/>
  <c r="J9" i="7"/>
  <c r="L8" i="7"/>
  <c r="N7" i="7"/>
  <c r="P6" i="7"/>
  <c r="N19" i="7"/>
  <c r="P18" i="7"/>
  <c r="R17" i="7"/>
  <c r="B17" i="7"/>
  <c r="D16" i="7"/>
  <c r="F15" i="7"/>
  <c r="C19" i="7"/>
  <c r="C17" i="7"/>
  <c r="C15" i="7"/>
  <c r="B14" i="7"/>
  <c r="D13" i="7"/>
  <c r="F12" i="7"/>
  <c r="H11" i="7"/>
  <c r="J10" i="7"/>
  <c r="L9" i="7"/>
  <c r="N8" i="7"/>
  <c r="P7" i="7"/>
  <c r="R6" i="7"/>
  <c r="R5" i="7"/>
  <c r="B5" i="7"/>
  <c r="D4" i="7"/>
  <c r="F3" i="7"/>
  <c r="K18" i="7"/>
  <c r="K16" i="7"/>
  <c r="M14" i="7"/>
  <c r="M13" i="7"/>
  <c r="M12" i="7"/>
  <c r="M11" i="7"/>
  <c r="M10" i="7"/>
  <c r="M9" i="7"/>
  <c r="M8" i="7"/>
  <c r="M7" i="7"/>
  <c r="M6" i="7"/>
  <c r="M5" i="7"/>
  <c r="E4" i="7"/>
  <c r="F6" i="7"/>
  <c r="H5" i="7"/>
  <c r="J4" i="7"/>
  <c r="L3" i="7"/>
  <c r="I19" i="7"/>
  <c r="I17" i="7"/>
  <c r="I15" i="7"/>
  <c r="C14" i="7"/>
  <c r="C13" i="7"/>
  <c r="C12" i="7"/>
  <c r="C11" i="7"/>
  <c r="K10" i="7"/>
  <c r="C10" i="7"/>
  <c r="K9" i="7"/>
  <c r="C9" i="7"/>
  <c r="K8" i="7"/>
  <c r="C8" i="7"/>
  <c r="K7" i="7"/>
  <c r="C7" i="7"/>
  <c r="K6" i="7"/>
  <c r="C6" i="7"/>
  <c r="K5" i="7"/>
  <c r="C5" i="7"/>
  <c r="K4" i="7"/>
  <c r="C4" i="7"/>
  <c r="K3" i="7"/>
  <c r="C3" i="7"/>
  <c r="I4" i="7"/>
  <c r="I3" i="7"/>
  <c r="I4" i="5"/>
  <c r="C5" i="5"/>
  <c r="K5" i="5"/>
  <c r="E6" i="5"/>
  <c r="M6" i="5"/>
  <c r="G7" i="5"/>
  <c r="O7" i="5"/>
  <c r="I8" i="5"/>
  <c r="C9" i="5"/>
  <c r="K9" i="5"/>
  <c r="E10" i="5"/>
  <c r="M10" i="5"/>
  <c r="G11" i="5"/>
  <c r="O11" i="5"/>
  <c r="I12" i="5"/>
  <c r="C13" i="5"/>
  <c r="K13" i="5"/>
  <c r="E14" i="5"/>
  <c r="M14" i="5"/>
  <c r="G15" i="5"/>
  <c r="O15" i="5"/>
  <c r="I16" i="5"/>
  <c r="C17" i="5"/>
  <c r="K17" i="5"/>
  <c r="F4" i="5"/>
  <c r="N4" i="5"/>
  <c r="H5" i="5"/>
  <c r="P5" i="5"/>
  <c r="J6" i="5"/>
  <c r="D7" i="5"/>
  <c r="L7" i="5"/>
  <c r="F8" i="5"/>
  <c r="H9" i="5"/>
  <c r="J10" i="5"/>
  <c r="L11" i="5"/>
  <c r="N12" i="5"/>
  <c r="P13" i="5"/>
  <c r="D15" i="5"/>
  <c r="F16" i="5"/>
  <c r="H17" i="5"/>
  <c r="L8" i="5"/>
  <c r="N9" i="5"/>
  <c r="P10" i="5"/>
  <c r="D12" i="5"/>
  <c r="F13" i="5"/>
  <c r="H14" i="5"/>
  <c r="J15" i="5"/>
  <c r="L16" i="5"/>
  <c r="N17" i="5"/>
  <c r="M3" i="5"/>
  <c r="I3" i="5"/>
  <c r="E3" i="5"/>
  <c r="B6" i="5"/>
  <c r="B14" i="5"/>
  <c r="B9" i="5"/>
  <c r="B17" i="5"/>
  <c r="G4" i="5"/>
  <c r="O4" i="5"/>
  <c r="I5" i="5"/>
  <c r="C6" i="5"/>
  <c r="K6" i="5"/>
  <c r="E7" i="5"/>
  <c r="M7" i="5"/>
  <c r="G8" i="5"/>
  <c r="I9" i="5"/>
  <c r="K10" i="5"/>
  <c r="M11" i="5"/>
  <c r="O12" i="5"/>
  <c r="C14" i="5"/>
  <c r="E15" i="5"/>
  <c r="G16" i="5"/>
  <c r="I17" i="5"/>
  <c r="L4" i="5"/>
  <c r="N5" i="5"/>
  <c r="P6" i="5"/>
  <c r="D8" i="5"/>
  <c r="F10" i="5"/>
  <c r="J12" i="5"/>
  <c r="N14" i="5"/>
  <c r="D17" i="5"/>
  <c r="J9" i="5"/>
  <c r="N11" i="5"/>
  <c r="D14" i="5"/>
  <c r="H16" i="5"/>
  <c r="N3" i="5"/>
  <c r="F3" i="5"/>
  <c r="B12" i="5"/>
  <c r="B15" i="5"/>
  <c r="E9" i="5"/>
  <c r="G10" i="5"/>
  <c r="I11" i="5"/>
  <c r="K12" i="5"/>
  <c r="M13" i="5"/>
  <c r="O14" i="5"/>
  <c r="C16" i="5"/>
  <c r="E17" i="5"/>
  <c r="H4" i="5"/>
  <c r="J5" i="5"/>
  <c r="L6" i="5"/>
  <c r="N7" i="5"/>
  <c r="L9" i="5"/>
  <c r="P11" i="5"/>
  <c r="F14" i="5"/>
  <c r="J16" i="5"/>
  <c r="P8" i="5"/>
  <c r="F11" i="5"/>
  <c r="J13" i="5"/>
  <c r="N15" i="5"/>
  <c r="P3" i="5"/>
  <c r="H3" i="5"/>
  <c r="B8" i="5"/>
  <c r="B11" i="5"/>
  <c r="E4" i="5"/>
  <c r="M4" i="5"/>
  <c r="G5" i="5"/>
  <c r="O5" i="5"/>
  <c r="I6" i="5"/>
  <c r="C7" i="5"/>
  <c r="K7" i="5"/>
  <c r="E8" i="5"/>
  <c r="M8" i="5"/>
  <c r="G9" i="5"/>
  <c r="O9" i="5"/>
  <c r="I10" i="5"/>
  <c r="C11" i="5"/>
  <c r="K11" i="5"/>
  <c r="E12" i="5"/>
  <c r="M12" i="5"/>
  <c r="O13" i="5"/>
  <c r="C15" i="5"/>
  <c r="E16" i="5"/>
  <c r="G17" i="5"/>
  <c r="J4" i="5"/>
  <c r="L5" i="5"/>
  <c r="N6" i="5"/>
  <c r="P7" i="5"/>
  <c r="P9" i="5"/>
  <c r="F12" i="5"/>
  <c r="J14" i="5"/>
  <c r="N16" i="5"/>
  <c r="F9" i="5"/>
  <c r="J11" i="5"/>
  <c r="N13" i="5"/>
  <c r="D16" i="5"/>
  <c r="O3" i="5"/>
  <c r="G3" i="5"/>
  <c r="B10" i="5"/>
  <c r="B13" i="5"/>
  <c r="K4" i="5"/>
  <c r="M5" i="5"/>
  <c r="O6" i="5"/>
  <c r="C8" i="5"/>
  <c r="C10" i="5"/>
  <c r="G12" i="5"/>
  <c r="K14" i="5"/>
  <c r="O16" i="5"/>
  <c r="F5" i="5"/>
  <c r="J7" i="5"/>
  <c r="H11" i="5"/>
  <c r="P15" i="5"/>
  <c r="L10" i="5"/>
  <c r="F15" i="5"/>
  <c r="J3" i="5"/>
  <c r="B7" i="5"/>
  <c r="M9" i="5"/>
  <c r="C12" i="5"/>
  <c r="G14" i="5"/>
  <c r="K16" i="5"/>
  <c r="P4" i="5"/>
  <c r="F7" i="5"/>
  <c r="N10" i="5"/>
  <c r="H15" i="5"/>
  <c r="D10" i="5"/>
  <c r="L14" i="5"/>
  <c r="L3" i="5"/>
  <c r="B16" i="5"/>
  <c r="G13" i="5"/>
  <c r="I14" i="5"/>
  <c r="K15" i="5"/>
  <c r="M16" i="5"/>
  <c r="O17" i="5"/>
  <c r="D5" i="5"/>
  <c r="F6" i="5"/>
  <c r="H7" i="5"/>
  <c r="N8" i="5"/>
  <c r="D11" i="5"/>
  <c r="H13" i="5"/>
  <c r="L15" i="5"/>
  <c r="P17" i="5"/>
  <c r="H10" i="5"/>
  <c r="L12" i="5"/>
  <c r="P14" i="5"/>
  <c r="F17" i="5"/>
  <c r="K3" i="5"/>
  <c r="C3" i="5"/>
  <c r="B5" i="5"/>
  <c r="C4" i="5"/>
  <c r="E5" i="5"/>
  <c r="G6" i="5"/>
  <c r="I7" i="5"/>
  <c r="O8" i="5"/>
  <c r="E11" i="5"/>
  <c r="I13" i="5"/>
  <c r="M15" i="5"/>
  <c r="D4" i="5"/>
  <c r="H6" i="5"/>
  <c r="D9" i="5"/>
  <c r="L13" i="5"/>
  <c r="H8" i="5"/>
  <c r="P12" i="5"/>
  <c r="J17" i="5"/>
  <c r="B4" i="5"/>
  <c r="K8" i="5"/>
  <c r="O10" i="5"/>
  <c r="E13" i="5"/>
  <c r="I15" i="5"/>
  <c r="M17" i="5"/>
  <c r="D6" i="5"/>
  <c r="J8" i="5"/>
  <c r="D13" i="5"/>
  <c r="L17" i="5"/>
  <c r="H12" i="5"/>
  <c r="P16" i="5"/>
  <c r="D3" i="5"/>
  <c r="B3" i="5"/>
  <c r="H39" i="10" l="1"/>
  <c r="G47" i="10" s="1"/>
  <c r="E42" i="10"/>
  <c r="G49" i="10"/>
  <c r="K40" i="9"/>
  <c r="G49" i="9"/>
  <c r="H39" i="8"/>
  <c r="G47" i="8" s="1"/>
  <c r="E42" i="8"/>
  <c r="G49" i="8"/>
  <c r="U41" i="7"/>
  <c r="K40" i="7"/>
  <c r="G49" i="7"/>
  <c r="W35" i="5"/>
  <c r="AA35" i="5"/>
  <c r="Y35" i="5"/>
  <c r="AE35" i="5"/>
  <c r="AC35" i="5"/>
  <c r="AG35" i="5"/>
  <c r="U35" i="5"/>
  <c r="AB40" i="7"/>
  <c r="AJ40" i="7"/>
  <c r="AB41" i="7"/>
  <c r="AJ41" i="7"/>
  <c r="V40" i="7"/>
  <c r="Z40" i="7"/>
  <c r="AD40" i="7"/>
  <c r="AH40" i="7"/>
  <c r="E35" i="7"/>
  <c r="D35" i="7" s="1"/>
  <c r="V41" i="7"/>
  <c r="Z41" i="7"/>
  <c r="AD41" i="7"/>
  <c r="AH41" i="7"/>
  <c r="V42" i="7"/>
  <c r="Z42" i="7"/>
  <c r="AD42" i="7"/>
  <c r="AH42" i="7"/>
  <c r="V43" i="7"/>
  <c r="Z43" i="7"/>
  <c r="AD43" i="7"/>
  <c r="AH43" i="7"/>
  <c r="V44" i="7"/>
  <c r="Z44" i="7"/>
  <c r="AD44" i="7"/>
  <c r="E29" i="7"/>
  <c r="D29" i="7" s="1"/>
  <c r="AH44" i="7"/>
  <c r="V45" i="7"/>
  <c r="Z45" i="7"/>
  <c r="AD45" i="7"/>
  <c r="AH45" i="7"/>
  <c r="V46" i="7"/>
  <c r="Z46" i="7"/>
  <c r="E25" i="7"/>
  <c r="D25" i="7" s="1"/>
  <c r="AD46" i="7"/>
  <c r="AH46" i="7"/>
  <c r="V47" i="7"/>
  <c r="Z47" i="7"/>
  <c r="AD47" i="7"/>
  <c r="AH47" i="7"/>
  <c r="V48" i="7"/>
  <c r="Z48" i="7"/>
  <c r="AD48" i="7"/>
  <c r="AH48" i="7"/>
  <c r="V49" i="7"/>
  <c r="Z49" i="7"/>
  <c r="AD49" i="7"/>
  <c r="AH49" i="7"/>
  <c r="V50" i="7"/>
  <c r="Z50" i="7"/>
  <c r="AD50" i="7"/>
  <c r="AH50" i="7"/>
  <c r="V51" i="7"/>
  <c r="Z51" i="7"/>
  <c r="AD51" i="7"/>
  <c r="AH51" i="7"/>
  <c r="AB52" i="7"/>
  <c r="AJ52" i="7"/>
  <c r="Z53" i="7"/>
  <c r="AH53" i="7"/>
  <c r="AB54" i="7"/>
  <c r="AJ54" i="7"/>
  <c r="Z55" i="7"/>
  <c r="AH55" i="7"/>
  <c r="AB56" i="7"/>
  <c r="AJ56" i="7"/>
  <c r="W40" i="7"/>
  <c r="AA40" i="7"/>
  <c r="AE40" i="7"/>
  <c r="AI40" i="7"/>
  <c r="Y41" i="7"/>
  <c r="AC41" i="7"/>
  <c r="AG41" i="7"/>
  <c r="AK41" i="7"/>
  <c r="W42" i="7"/>
  <c r="AA42" i="7"/>
  <c r="AE42" i="7"/>
  <c r="AI42" i="7"/>
  <c r="U43" i="7"/>
  <c r="Y43" i="7"/>
  <c r="AC43" i="7"/>
  <c r="X40" i="7"/>
  <c r="AF40" i="7"/>
  <c r="E37" i="7"/>
  <c r="D37" i="7" s="1"/>
  <c r="X41" i="7"/>
  <c r="AF41" i="7"/>
  <c r="X42" i="7"/>
  <c r="AB42" i="7"/>
  <c r="AF42" i="7"/>
  <c r="AJ42" i="7"/>
  <c r="X43" i="7"/>
  <c r="AB43" i="7"/>
  <c r="AF43" i="7"/>
  <c r="AJ43" i="7"/>
  <c r="X44" i="7"/>
  <c r="AB44" i="7"/>
  <c r="AF44" i="7"/>
  <c r="AJ44" i="7"/>
  <c r="X45" i="7"/>
  <c r="AB45" i="7"/>
  <c r="AF45" i="7"/>
  <c r="AJ45" i="7"/>
  <c r="X46" i="7"/>
  <c r="AB46" i="7"/>
  <c r="AF46" i="7"/>
  <c r="AJ46" i="7"/>
  <c r="X47" i="7"/>
  <c r="AB47" i="7"/>
  <c r="AF47" i="7"/>
  <c r="AJ47" i="7"/>
  <c r="X48" i="7"/>
  <c r="AB48" i="7"/>
  <c r="E27" i="7"/>
  <c r="D27" i="7" s="1"/>
  <c r="AF48" i="7"/>
  <c r="AJ48" i="7"/>
  <c r="X49" i="7"/>
  <c r="AB49" i="7"/>
  <c r="AF49" i="7"/>
  <c r="AJ49" i="7"/>
  <c r="E30" i="7"/>
  <c r="D30" i="7" s="1"/>
  <c r="X50" i="7"/>
  <c r="G30" i="7" s="1"/>
  <c r="AB50" i="7"/>
  <c r="AF50" i="7"/>
  <c r="E23" i="7"/>
  <c r="D23" i="7" s="1"/>
  <c r="AJ50" i="7"/>
  <c r="X51" i="7"/>
  <c r="AB51" i="7"/>
  <c r="AF51" i="7"/>
  <c r="X52" i="7"/>
  <c r="AF52" i="7"/>
  <c r="V53" i="7"/>
  <c r="E36" i="7"/>
  <c r="D36" i="7" s="1"/>
  <c r="AD53" i="7"/>
  <c r="X54" i="7"/>
  <c r="AF54" i="7"/>
  <c r="V55" i="7"/>
  <c r="AD55" i="7"/>
  <c r="X56" i="7"/>
  <c r="AF56" i="7"/>
  <c r="U40" i="7"/>
  <c r="Y40" i="7"/>
  <c r="AC40" i="7"/>
  <c r="AG40" i="7"/>
  <c r="AK40" i="7"/>
  <c r="W41" i="7"/>
  <c r="G35" i="7" s="1"/>
  <c r="AA41" i="7"/>
  <c r="AE41" i="7"/>
  <c r="AI41" i="7"/>
  <c r="E34" i="7"/>
  <c r="D34" i="7" s="1"/>
  <c r="U42" i="7"/>
  <c r="Y42" i="7"/>
  <c r="AC42" i="7"/>
  <c r="AG42" i="7"/>
  <c r="AK42" i="7"/>
  <c r="W43" i="7"/>
  <c r="AA43" i="7"/>
  <c r="E38" i="7"/>
  <c r="D38" i="7" s="1"/>
  <c r="AG43" i="7"/>
  <c r="AK43" i="7"/>
  <c r="W44" i="7"/>
  <c r="AA44" i="7"/>
  <c r="AE44" i="7"/>
  <c r="AI44" i="7"/>
  <c r="U45" i="7"/>
  <c r="Y45" i="7"/>
  <c r="E26" i="7"/>
  <c r="D26" i="7" s="1"/>
  <c r="AC45" i="7"/>
  <c r="AG45" i="7"/>
  <c r="AK45" i="7"/>
  <c r="W46" i="7"/>
  <c r="AA46" i="7"/>
  <c r="AE46" i="7"/>
  <c r="AI46" i="7"/>
  <c r="U47" i="7"/>
  <c r="E28" i="7"/>
  <c r="D28" i="7" s="1"/>
  <c r="Y47" i="7"/>
  <c r="AC47" i="7"/>
  <c r="AG47" i="7"/>
  <c r="AK47" i="7"/>
  <c r="W48" i="7"/>
  <c r="AA48" i="7"/>
  <c r="AE48" i="7"/>
  <c r="AI48" i="7"/>
  <c r="U49" i="7"/>
  <c r="Y49" i="7"/>
  <c r="AC49" i="7"/>
  <c r="AG49" i="7"/>
  <c r="AK49" i="7"/>
  <c r="W50" i="7"/>
  <c r="AA50" i="7"/>
  <c r="AE50" i="7"/>
  <c r="AI50" i="7"/>
  <c r="U51" i="7"/>
  <c r="Y51" i="7"/>
  <c r="AC51" i="7"/>
  <c r="AG51" i="7"/>
  <c r="V52" i="7"/>
  <c r="AD52" i="7"/>
  <c r="X53" i="7"/>
  <c r="AF53" i="7"/>
  <c r="V54" i="7"/>
  <c r="AD54" i="7"/>
  <c r="X55" i="7"/>
  <c r="AF55" i="7"/>
  <c r="V56" i="7"/>
  <c r="AD56" i="7"/>
  <c r="AI51" i="7"/>
  <c r="U52" i="7"/>
  <c r="Y52" i="7"/>
  <c r="AC52" i="7"/>
  <c r="AG52" i="7"/>
  <c r="AK52" i="7"/>
  <c r="W53" i="7"/>
  <c r="AA53" i="7"/>
  <c r="AE53" i="7"/>
  <c r="AI53" i="7"/>
  <c r="U54" i="7"/>
  <c r="Y54" i="7"/>
  <c r="AC54" i="7"/>
  <c r="AG54" i="7"/>
  <c r="AK54" i="7"/>
  <c r="G37" i="7" s="1"/>
  <c r="W55" i="7"/>
  <c r="AA55" i="7"/>
  <c r="AE55" i="7"/>
  <c r="AI55" i="7"/>
  <c r="U56" i="7"/>
  <c r="Y56" i="7"/>
  <c r="AC56" i="7"/>
  <c r="AG56" i="7"/>
  <c r="AK56" i="7"/>
  <c r="X40" i="8"/>
  <c r="AB40" i="8"/>
  <c r="AF40" i="8"/>
  <c r="AJ40" i="8"/>
  <c r="X41" i="8"/>
  <c r="AB41" i="8"/>
  <c r="AF41" i="8"/>
  <c r="AJ41" i="8"/>
  <c r="X42" i="8"/>
  <c r="AB42" i="8"/>
  <c r="AF42" i="8"/>
  <c r="AJ42" i="8"/>
  <c r="X43" i="8"/>
  <c r="AB43" i="8"/>
  <c r="AF43" i="8"/>
  <c r="AJ43" i="8"/>
  <c r="X44" i="8"/>
  <c r="E27" i="8"/>
  <c r="D27" i="8" s="1"/>
  <c r="AB44" i="8"/>
  <c r="AF44" i="8"/>
  <c r="AJ44" i="8"/>
  <c r="X45" i="8"/>
  <c r="AB45" i="8"/>
  <c r="AF45" i="8"/>
  <c r="AJ45" i="8"/>
  <c r="X46" i="8"/>
  <c r="AB46" i="8"/>
  <c r="AF46" i="8"/>
  <c r="AJ46" i="8"/>
  <c r="X47" i="8"/>
  <c r="AB47" i="8"/>
  <c r="E28" i="8"/>
  <c r="D28" i="8" s="1"/>
  <c r="AF47" i="8"/>
  <c r="AJ47" i="8"/>
  <c r="X48" i="8"/>
  <c r="AB48" i="8"/>
  <c r="AF48" i="8"/>
  <c r="AJ48" i="8"/>
  <c r="X49" i="8"/>
  <c r="AB49" i="8"/>
  <c r="AF49" i="8"/>
  <c r="AJ49" i="8"/>
  <c r="X50" i="8"/>
  <c r="E33" i="8"/>
  <c r="D33" i="8" s="1"/>
  <c r="AB50" i="8"/>
  <c r="AF50" i="8"/>
  <c r="AJ50" i="8"/>
  <c r="X51" i="8"/>
  <c r="AB51" i="8"/>
  <c r="AF51" i="8"/>
  <c r="X52" i="8"/>
  <c r="AF52" i="8"/>
  <c r="V53" i="8"/>
  <c r="AD53" i="8"/>
  <c r="X54" i="8"/>
  <c r="AF54" i="8"/>
  <c r="V55" i="8"/>
  <c r="AD55" i="8"/>
  <c r="X56" i="8"/>
  <c r="AF56" i="8"/>
  <c r="U40" i="8"/>
  <c r="Y40" i="8"/>
  <c r="AC40" i="8"/>
  <c r="AG40" i="8"/>
  <c r="AK40" i="8"/>
  <c r="E38" i="8"/>
  <c r="D38" i="8" s="1"/>
  <c r="W41" i="8"/>
  <c r="AA41" i="8"/>
  <c r="AE41" i="8"/>
  <c r="AI41" i="8"/>
  <c r="U42" i="8"/>
  <c r="Y42" i="8"/>
  <c r="AC42" i="8"/>
  <c r="AG42" i="8"/>
  <c r="AK42" i="8"/>
  <c r="W43" i="8"/>
  <c r="AA43" i="8"/>
  <c r="AE43" i="8"/>
  <c r="AI43" i="8"/>
  <c r="U44" i="8"/>
  <c r="Y44" i="8"/>
  <c r="AC44" i="8"/>
  <c r="AG44" i="8"/>
  <c r="AK44" i="8"/>
  <c r="W45" i="8"/>
  <c r="AA45" i="8"/>
  <c r="AE45" i="8"/>
  <c r="AI45" i="8"/>
  <c r="U46" i="8"/>
  <c r="Y46" i="8"/>
  <c r="AC46" i="8"/>
  <c r="AG46" i="8"/>
  <c r="AK46" i="8"/>
  <c r="W47" i="8"/>
  <c r="AA47" i="8"/>
  <c r="AE47" i="8"/>
  <c r="AI47" i="8"/>
  <c r="U48" i="8"/>
  <c r="E26" i="8"/>
  <c r="D26" i="8" s="1"/>
  <c r="Y48" i="8"/>
  <c r="AC48" i="8"/>
  <c r="AG48" i="8"/>
  <c r="AK48" i="8"/>
  <c r="W49" i="8"/>
  <c r="AA49" i="8"/>
  <c r="AE49" i="8"/>
  <c r="E32" i="8"/>
  <c r="D32" i="8" s="1"/>
  <c r="AI49" i="8"/>
  <c r="U50" i="8"/>
  <c r="Y50" i="8"/>
  <c r="AC50" i="8"/>
  <c r="AG50" i="8"/>
  <c r="AK50" i="8"/>
  <c r="W51" i="8"/>
  <c r="E29" i="8"/>
  <c r="D29" i="8" s="1"/>
  <c r="AA51" i="8"/>
  <c r="AE51" i="8"/>
  <c r="AJ51" i="8"/>
  <c r="Z52" i="8"/>
  <c r="E35" i="8"/>
  <c r="D35" i="8" s="1"/>
  <c r="AH52" i="8"/>
  <c r="AB53" i="8"/>
  <c r="AJ53" i="8"/>
  <c r="Z54" i="8"/>
  <c r="AH54" i="8"/>
  <c r="AB55" i="8"/>
  <c r="AJ55" i="8"/>
  <c r="Z56" i="8"/>
  <c r="AH56" i="8"/>
  <c r="AK51" i="8"/>
  <c r="W52" i="8"/>
  <c r="AA52" i="8"/>
  <c r="AE52" i="8"/>
  <c r="AI52" i="8"/>
  <c r="E36" i="8"/>
  <c r="D36" i="8" s="1"/>
  <c r="U53" i="8"/>
  <c r="G33" i="8" s="1"/>
  <c r="Y53" i="8"/>
  <c r="AC53" i="8"/>
  <c r="AG53" i="8"/>
  <c r="AK53" i="8"/>
  <c r="W54" i="8"/>
  <c r="AA54" i="8"/>
  <c r="AE54" i="8"/>
  <c r="AI54" i="8"/>
  <c r="U55" i="8"/>
  <c r="Y55" i="8"/>
  <c r="AC55" i="8"/>
  <c r="AG55" i="8"/>
  <c r="E23" i="8"/>
  <c r="D23" i="8" s="1"/>
  <c r="D39" i="8" s="1"/>
  <c r="G48" i="8" s="1"/>
  <c r="AK55" i="8"/>
  <c r="W56" i="8"/>
  <c r="AA56" i="8"/>
  <c r="AE56" i="8"/>
  <c r="E24" i="8"/>
  <c r="D24" i="8" s="1"/>
  <c r="AI56" i="8"/>
  <c r="V40" i="9"/>
  <c r="Z40" i="9"/>
  <c r="AD40" i="9"/>
  <c r="AH40" i="9"/>
  <c r="V41" i="9"/>
  <c r="Z41" i="9"/>
  <c r="AD41" i="9"/>
  <c r="AH41" i="9"/>
  <c r="V42" i="9"/>
  <c r="Z42" i="9"/>
  <c r="AD42" i="9"/>
  <c r="E31" i="9"/>
  <c r="D31" i="9" s="1"/>
  <c r="AH42" i="9"/>
  <c r="V43" i="9"/>
  <c r="Z43" i="9"/>
  <c r="AD43" i="9"/>
  <c r="AH43" i="9"/>
  <c r="V44" i="9"/>
  <c r="Z44" i="9"/>
  <c r="AD44" i="9"/>
  <c r="AH44" i="9"/>
  <c r="V45" i="9"/>
  <c r="Z45" i="9"/>
  <c r="AD45" i="9"/>
  <c r="AH45" i="9"/>
  <c r="V46" i="9"/>
  <c r="Z46" i="9"/>
  <c r="AD46" i="9"/>
  <c r="E35" i="9"/>
  <c r="D35" i="9" s="1"/>
  <c r="AH46" i="9"/>
  <c r="V47" i="9"/>
  <c r="Z47" i="9"/>
  <c r="AD47" i="9"/>
  <c r="AH47" i="9"/>
  <c r="V48" i="9"/>
  <c r="Z48" i="9"/>
  <c r="AD48" i="9"/>
  <c r="AH48" i="9"/>
  <c r="V49" i="9"/>
  <c r="Z49" i="9"/>
  <c r="AD49" i="9"/>
  <c r="AE43" i="7"/>
  <c r="AI43" i="7"/>
  <c r="U44" i="7"/>
  <c r="Y44" i="7"/>
  <c r="AC44" i="7"/>
  <c r="AG44" i="7"/>
  <c r="AK44" i="7"/>
  <c r="W45" i="7"/>
  <c r="AA45" i="7"/>
  <c r="AE45" i="7"/>
  <c r="AI45" i="7"/>
  <c r="U46" i="7"/>
  <c r="Y46" i="7"/>
  <c r="AC46" i="7"/>
  <c r="AG46" i="7"/>
  <c r="AK46" i="7"/>
  <c r="W47" i="7"/>
  <c r="AA47" i="7"/>
  <c r="AE47" i="7"/>
  <c r="AI47" i="7"/>
  <c r="U48" i="7"/>
  <c r="Y48" i="7"/>
  <c r="AC48" i="7"/>
  <c r="AG48" i="7"/>
  <c r="AK48" i="7"/>
  <c r="W49" i="7"/>
  <c r="AA49" i="7"/>
  <c r="AE49" i="7"/>
  <c r="AI49" i="7"/>
  <c r="U50" i="7"/>
  <c r="Y50" i="7"/>
  <c r="AC50" i="7"/>
  <c r="AG50" i="7"/>
  <c r="AK50" i="7"/>
  <c r="W51" i="7"/>
  <c r="E24" i="7"/>
  <c r="D24" i="7" s="1"/>
  <c r="AA51" i="7"/>
  <c r="G23" i="7" s="1"/>
  <c r="AE51" i="7"/>
  <c r="AJ51" i="7"/>
  <c r="Z52" i="7"/>
  <c r="AH52" i="7"/>
  <c r="AB53" i="7"/>
  <c r="AJ53" i="7"/>
  <c r="Z54" i="7"/>
  <c r="AH54" i="7"/>
  <c r="AB55" i="7"/>
  <c r="AJ55" i="7"/>
  <c r="Z56" i="7"/>
  <c r="AH56" i="7"/>
  <c r="AK51" i="7"/>
  <c r="W52" i="7"/>
  <c r="AA52" i="7"/>
  <c r="AE52" i="7"/>
  <c r="AI52" i="7"/>
  <c r="U53" i="7"/>
  <c r="Y53" i="7"/>
  <c r="AC53" i="7"/>
  <c r="AG53" i="7"/>
  <c r="AK53" i="7"/>
  <c r="E33" i="7"/>
  <c r="D33" i="7" s="1"/>
  <c r="W54" i="7"/>
  <c r="AA54" i="7"/>
  <c r="AE54" i="7"/>
  <c r="AI54" i="7"/>
  <c r="U55" i="7"/>
  <c r="Y55" i="7"/>
  <c r="AC55" i="7"/>
  <c r="AG55" i="7"/>
  <c r="E31" i="7"/>
  <c r="D31" i="7" s="1"/>
  <c r="AK55" i="7"/>
  <c r="W56" i="7"/>
  <c r="AA56" i="7"/>
  <c r="AE56" i="7"/>
  <c r="E32" i="7"/>
  <c r="D32" i="7" s="1"/>
  <c r="AI56" i="7"/>
  <c r="V40" i="8"/>
  <c r="E37" i="8"/>
  <c r="D37" i="8" s="1"/>
  <c r="Z40" i="8"/>
  <c r="AD40" i="8"/>
  <c r="AH40" i="8"/>
  <c r="V41" i="8"/>
  <c r="Z41" i="8"/>
  <c r="AD41" i="8"/>
  <c r="AH41" i="8"/>
  <c r="V42" i="8"/>
  <c r="Z42" i="8"/>
  <c r="AD42" i="8"/>
  <c r="AH42" i="8"/>
  <c r="V43" i="8"/>
  <c r="Z43" i="8"/>
  <c r="AD43" i="8"/>
  <c r="AH43" i="8"/>
  <c r="V44" i="8"/>
  <c r="Z44" i="8"/>
  <c r="AD44" i="8"/>
  <c r="AH44" i="8"/>
  <c r="V45" i="8"/>
  <c r="Z45" i="8"/>
  <c r="AD45" i="8"/>
  <c r="G28" i="8" s="1"/>
  <c r="E31" i="8"/>
  <c r="D31" i="8" s="1"/>
  <c r="AH45" i="8"/>
  <c r="V46" i="8"/>
  <c r="Z46" i="8"/>
  <c r="E30" i="8"/>
  <c r="D30" i="8" s="1"/>
  <c r="AD46" i="8"/>
  <c r="AH46" i="8"/>
  <c r="V47" i="8"/>
  <c r="Z47" i="8"/>
  <c r="G27" i="8" s="1"/>
  <c r="AD47" i="8"/>
  <c r="AH47" i="8"/>
  <c r="V48" i="8"/>
  <c r="Z48" i="8"/>
  <c r="AD48" i="8"/>
  <c r="AH48" i="8"/>
  <c r="V49" i="8"/>
  <c r="Z49" i="8"/>
  <c r="AD49" i="8"/>
  <c r="AH49" i="8"/>
  <c r="V50" i="8"/>
  <c r="Z50" i="8"/>
  <c r="AD50" i="8"/>
  <c r="AH50" i="8"/>
  <c r="V51" i="8"/>
  <c r="Z51" i="8"/>
  <c r="AD51" i="8"/>
  <c r="AH51" i="8"/>
  <c r="AB52" i="8"/>
  <c r="AJ52" i="8"/>
  <c r="Z53" i="8"/>
  <c r="AH53" i="8"/>
  <c r="AB54" i="8"/>
  <c r="AJ54" i="8"/>
  <c r="Z55" i="8"/>
  <c r="AH55" i="8"/>
  <c r="AB56" i="8"/>
  <c r="AJ56" i="8"/>
  <c r="G38" i="8" s="1"/>
  <c r="W40" i="8"/>
  <c r="AA40" i="8"/>
  <c r="AE40" i="8"/>
  <c r="AI40" i="8"/>
  <c r="U41" i="8"/>
  <c r="Y41" i="8"/>
  <c r="AC41" i="8"/>
  <c r="AG41" i="8"/>
  <c r="AK41" i="8"/>
  <c r="W42" i="8"/>
  <c r="AA42" i="8"/>
  <c r="AE42" i="8"/>
  <c r="AI42" i="8"/>
  <c r="U43" i="8"/>
  <c r="Y43" i="8"/>
  <c r="AC43" i="8"/>
  <c r="E34" i="8"/>
  <c r="D34" i="8" s="1"/>
  <c r="AG43" i="8"/>
  <c r="G31" i="8" s="1"/>
  <c r="AK43" i="8"/>
  <c r="W44" i="8"/>
  <c r="AA44" i="8"/>
  <c r="AE44" i="8"/>
  <c r="AI44" i="8"/>
  <c r="U45" i="8"/>
  <c r="Y45" i="8"/>
  <c r="AC45" i="8"/>
  <c r="AG45" i="8"/>
  <c r="AK45" i="8"/>
  <c r="W46" i="8"/>
  <c r="AA46" i="8"/>
  <c r="AE46" i="8"/>
  <c r="AI46" i="8"/>
  <c r="U47" i="8"/>
  <c r="Y47" i="8"/>
  <c r="AC47" i="8"/>
  <c r="AG47" i="8"/>
  <c r="AK47" i="8"/>
  <c r="W48" i="8"/>
  <c r="AA48" i="8"/>
  <c r="AE48" i="8"/>
  <c r="AI48" i="8"/>
  <c r="U49" i="8"/>
  <c r="Y49" i="8"/>
  <c r="AC49" i="8"/>
  <c r="AG49" i="8"/>
  <c r="AK49" i="8"/>
  <c r="W50" i="8"/>
  <c r="AA50" i="8"/>
  <c r="AE50" i="8"/>
  <c r="AI50" i="8"/>
  <c r="U51" i="8"/>
  <c r="Y51" i="8"/>
  <c r="AC51" i="8"/>
  <c r="AG51" i="8"/>
  <c r="V52" i="8"/>
  <c r="AD52" i="8"/>
  <c r="X53" i="8"/>
  <c r="AF53" i="8"/>
  <c r="V54" i="8"/>
  <c r="AD54" i="8"/>
  <c r="X55" i="8"/>
  <c r="AF55" i="8"/>
  <c r="V56" i="8"/>
  <c r="AD56" i="8"/>
  <c r="AI51" i="8"/>
  <c r="U52" i="8"/>
  <c r="Y52" i="8"/>
  <c r="AC52" i="8"/>
  <c r="AG52" i="8"/>
  <c r="AK52" i="8"/>
  <c r="W53" i="8"/>
  <c r="AA53" i="8"/>
  <c r="AE53" i="8"/>
  <c r="AI53" i="8"/>
  <c r="U54" i="8"/>
  <c r="Y54" i="8"/>
  <c r="E25" i="8"/>
  <c r="D25" i="8" s="1"/>
  <c r="AC54" i="8"/>
  <c r="AG54" i="8"/>
  <c r="AK54" i="8"/>
  <c r="G37" i="8" s="1"/>
  <c r="W55" i="8"/>
  <c r="AA55" i="8"/>
  <c r="AE55" i="8"/>
  <c r="AI55" i="8"/>
  <c r="U56" i="8"/>
  <c r="Y56" i="8"/>
  <c r="AC56" i="8"/>
  <c r="AG56" i="8"/>
  <c r="AK56" i="8"/>
  <c r="X40" i="9"/>
  <c r="AB40" i="9"/>
  <c r="AF40" i="9"/>
  <c r="AJ40" i="9"/>
  <c r="X41" i="9"/>
  <c r="AB41" i="9"/>
  <c r="E37" i="9"/>
  <c r="D37" i="9" s="1"/>
  <c r="AF41" i="9"/>
  <c r="AJ41" i="9"/>
  <c r="X42" i="9"/>
  <c r="AB42" i="9"/>
  <c r="AF42" i="9"/>
  <c r="AJ42" i="9"/>
  <c r="X43" i="9"/>
  <c r="AB43" i="9"/>
  <c r="AF43" i="9"/>
  <c r="AJ43" i="9"/>
  <c r="X44" i="9"/>
  <c r="AB44" i="9"/>
  <c r="AF44" i="9"/>
  <c r="AJ44" i="9"/>
  <c r="E24" i="9"/>
  <c r="D24" i="9" s="1"/>
  <c r="X45" i="9"/>
  <c r="AB45" i="9"/>
  <c r="AF45" i="9"/>
  <c r="AJ45" i="9"/>
  <c r="X46" i="9"/>
  <c r="AB46" i="9"/>
  <c r="AF46" i="9"/>
  <c r="AJ46" i="9"/>
  <c r="X47" i="9"/>
  <c r="AB47" i="9"/>
  <c r="AF47" i="9"/>
  <c r="AJ47" i="9"/>
  <c r="X48" i="9"/>
  <c r="AB48" i="9"/>
  <c r="AF48" i="9"/>
  <c r="E26" i="9"/>
  <c r="D26" i="9" s="1"/>
  <c r="AJ48" i="9"/>
  <c r="X49" i="9"/>
  <c r="AB49" i="9"/>
  <c r="AH49" i="9"/>
  <c r="V50" i="9"/>
  <c r="E23" i="9"/>
  <c r="D23" i="9" s="1"/>
  <c r="Z50" i="9"/>
  <c r="AD50" i="9"/>
  <c r="AH50" i="9"/>
  <c r="V51" i="9"/>
  <c r="Z51" i="9"/>
  <c r="AD51" i="9"/>
  <c r="AH51" i="9"/>
  <c r="AB52" i="9"/>
  <c r="AJ52" i="9"/>
  <c r="Z53" i="9"/>
  <c r="AH53" i="9"/>
  <c r="AB54" i="9"/>
  <c r="AJ54" i="9"/>
  <c r="Z55" i="9"/>
  <c r="AH55" i="9"/>
  <c r="AB56" i="9"/>
  <c r="AJ56" i="9"/>
  <c r="W40" i="9"/>
  <c r="AA40" i="9"/>
  <c r="AE40" i="9"/>
  <c r="AI40" i="9"/>
  <c r="U41" i="9"/>
  <c r="Y41" i="9"/>
  <c r="AC41" i="9"/>
  <c r="AG41" i="9"/>
  <c r="AK41" i="9"/>
  <c r="W42" i="9"/>
  <c r="AA42" i="9"/>
  <c r="AE42" i="9"/>
  <c r="AI42" i="9"/>
  <c r="U43" i="9"/>
  <c r="Y43" i="9"/>
  <c r="AC43" i="9"/>
  <c r="E25" i="9"/>
  <c r="D25" i="9" s="1"/>
  <c r="AG43" i="9"/>
  <c r="G31" i="9" s="1"/>
  <c r="AK43" i="9"/>
  <c r="E30" i="9"/>
  <c r="D30" i="9" s="1"/>
  <c r="W44" i="9"/>
  <c r="AA44" i="9"/>
  <c r="AE44" i="9"/>
  <c r="AI44" i="9"/>
  <c r="U45" i="9"/>
  <c r="Y45" i="9"/>
  <c r="AC45" i="9"/>
  <c r="AG45" i="9"/>
  <c r="AK45" i="9"/>
  <c r="W46" i="9"/>
  <c r="AA46" i="9"/>
  <c r="AE46" i="9"/>
  <c r="AI46" i="9"/>
  <c r="U47" i="9"/>
  <c r="E28" i="9"/>
  <c r="D28" i="9" s="1"/>
  <c r="Y47" i="9"/>
  <c r="AC47" i="9"/>
  <c r="AG47" i="9"/>
  <c r="AK47" i="9"/>
  <c r="W48" i="9"/>
  <c r="AA48" i="9"/>
  <c r="AE48" i="9"/>
  <c r="AI48" i="9"/>
  <c r="U49" i="9"/>
  <c r="Y49" i="9"/>
  <c r="AC49" i="9"/>
  <c r="AG49" i="9"/>
  <c r="AK49" i="9"/>
  <c r="E32" i="9"/>
  <c r="D32" i="9" s="1"/>
  <c r="W50" i="9"/>
  <c r="AA50" i="9"/>
  <c r="AE50" i="9"/>
  <c r="AI50" i="9"/>
  <c r="U51" i="9"/>
  <c r="Y51" i="9"/>
  <c r="AC51" i="9"/>
  <c r="E38" i="9"/>
  <c r="D38" i="9" s="1"/>
  <c r="AG51" i="9"/>
  <c r="V52" i="9"/>
  <c r="AD52" i="9"/>
  <c r="X53" i="9"/>
  <c r="AF53" i="9"/>
  <c r="V54" i="9"/>
  <c r="AD54" i="9"/>
  <c r="X55" i="9"/>
  <c r="AF55" i="9"/>
  <c r="V56" i="9"/>
  <c r="AD56" i="9"/>
  <c r="AI51" i="9"/>
  <c r="U52" i="9"/>
  <c r="Y52" i="9"/>
  <c r="AC52" i="9"/>
  <c r="AG52" i="9"/>
  <c r="AK52" i="9"/>
  <c r="W53" i="9"/>
  <c r="AA53" i="9"/>
  <c r="AE53" i="9"/>
  <c r="AI53" i="9"/>
  <c r="U54" i="9"/>
  <c r="Y54" i="9"/>
  <c r="AC54" i="9"/>
  <c r="AG54" i="9"/>
  <c r="AK54" i="9"/>
  <c r="G37" i="9" s="1"/>
  <c r="W55" i="9"/>
  <c r="AA55" i="9"/>
  <c r="AE55" i="9"/>
  <c r="AI55" i="9"/>
  <c r="U56" i="9"/>
  <c r="Y56" i="9"/>
  <c r="AC56" i="9"/>
  <c r="AG56" i="9"/>
  <c r="AK56" i="9"/>
  <c r="X40" i="10"/>
  <c r="AB40" i="10"/>
  <c r="AF40" i="10"/>
  <c r="AJ40" i="10"/>
  <c r="E38" i="10"/>
  <c r="D38" i="10" s="1"/>
  <c r="X41" i="10"/>
  <c r="AB41" i="10"/>
  <c r="AF41" i="10"/>
  <c r="AJ41" i="10"/>
  <c r="X42" i="10"/>
  <c r="AB42" i="10"/>
  <c r="AF42" i="10"/>
  <c r="AJ42" i="10"/>
  <c r="X43" i="10"/>
  <c r="AB43" i="10"/>
  <c r="AF43" i="10"/>
  <c r="AJ43" i="10"/>
  <c r="X44" i="10"/>
  <c r="E35" i="10"/>
  <c r="D35" i="10" s="1"/>
  <c r="AB44" i="10"/>
  <c r="AF44" i="10"/>
  <c r="AJ44" i="10"/>
  <c r="AF49" i="9"/>
  <c r="AJ49" i="9"/>
  <c r="X50" i="9"/>
  <c r="G30" i="9" s="1"/>
  <c r="AB50" i="9"/>
  <c r="AF50" i="9"/>
  <c r="AJ50" i="9"/>
  <c r="X51" i="9"/>
  <c r="AB51" i="9"/>
  <c r="AF51" i="9"/>
  <c r="X52" i="9"/>
  <c r="AF52" i="9"/>
  <c r="V53" i="9"/>
  <c r="E36" i="9"/>
  <c r="D36" i="9" s="1"/>
  <c r="AD53" i="9"/>
  <c r="X54" i="9"/>
  <c r="AF54" i="9"/>
  <c r="V55" i="9"/>
  <c r="AD55" i="9"/>
  <c r="X56" i="9"/>
  <c r="AF56" i="9"/>
  <c r="U40" i="9"/>
  <c r="Y40" i="9"/>
  <c r="E29" i="9"/>
  <c r="D29" i="9" s="1"/>
  <c r="AC40" i="9"/>
  <c r="AG40" i="9"/>
  <c r="AK40" i="9"/>
  <c r="W41" i="9"/>
  <c r="G35" i="9" s="1"/>
  <c r="AA41" i="9"/>
  <c r="AE41" i="9"/>
  <c r="AI41" i="9"/>
  <c r="U42" i="9"/>
  <c r="Y42" i="9"/>
  <c r="AC42" i="9"/>
  <c r="AG42" i="9"/>
  <c r="AK42" i="9"/>
  <c r="W43" i="9"/>
  <c r="AA43" i="9"/>
  <c r="AE43" i="9"/>
  <c r="AI43" i="9"/>
  <c r="U44" i="9"/>
  <c r="Y44" i="9"/>
  <c r="AC44" i="9"/>
  <c r="AG44" i="9"/>
  <c r="AK44" i="9"/>
  <c r="W45" i="9"/>
  <c r="AA45" i="9"/>
  <c r="AE45" i="9"/>
  <c r="AI45" i="9"/>
  <c r="U46" i="9"/>
  <c r="Y46" i="9"/>
  <c r="AC46" i="9"/>
  <c r="AG46" i="9"/>
  <c r="AK46" i="9"/>
  <c r="W47" i="9"/>
  <c r="AA47" i="9"/>
  <c r="AE47" i="9"/>
  <c r="AI47" i="9"/>
  <c r="U48" i="9"/>
  <c r="Y48" i="9"/>
  <c r="AC48" i="9"/>
  <c r="AG48" i="9"/>
  <c r="AK48" i="9"/>
  <c r="W49" i="9"/>
  <c r="AA49" i="9"/>
  <c r="AE49" i="9"/>
  <c r="AI49" i="9"/>
  <c r="U50" i="9"/>
  <c r="Y50" i="9"/>
  <c r="AC50" i="9"/>
  <c r="AG50" i="9"/>
  <c r="AK50" i="9"/>
  <c r="W51" i="9"/>
  <c r="AA51" i="9"/>
  <c r="AE51" i="9"/>
  <c r="AJ51" i="9"/>
  <c r="Z52" i="9"/>
  <c r="AH52" i="9"/>
  <c r="AB53" i="9"/>
  <c r="AJ53" i="9"/>
  <c r="Z54" i="9"/>
  <c r="AH54" i="9"/>
  <c r="E27" i="9"/>
  <c r="D27" i="9" s="1"/>
  <c r="AB55" i="9"/>
  <c r="AJ55" i="9"/>
  <c r="Z56" i="9"/>
  <c r="AH56" i="9"/>
  <c r="AK51" i="9"/>
  <c r="W52" i="9"/>
  <c r="AA52" i="9"/>
  <c r="AE52" i="9"/>
  <c r="AI52" i="9"/>
  <c r="U53" i="9"/>
  <c r="Y53" i="9"/>
  <c r="AC53" i="9"/>
  <c r="AG53" i="9"/>
  <c r="AK53" i="9"/>
  <c r="W54" i="9"/>
  <c r="E34" i="9"/>
  <c r="D34" i="9" s="1"/>
  <c r="AA54" i="9"/>
  <c r="AE54" i="9"/>
  <c r="AI54" i="9"/>
  <c r="U55" i="9"/>
  <c r="Y55" i="9"/>
  <c r="AC55" i="9"/>
  <c r="AG55" i="9"/>
  <c r="AK55" i="9"/>
  <c r="W56" i="9"/>
  <c r="AA56" i="9"/>
  <c r="AE56" i="9"/>
  <c r="E33" i="9"/>
  <c r="D33" i="9" s="1"/>
  <c r="AI56" i="9"/>
  <c r="V40" i="10"/>
  <c r="Z40" i="10"/>
  <c r="AD40" i="10"/>
  <c r="AH40" i="10"/>
  <c r="V41" i="10"/>
  <c r="Z41" i="10"/>
  <c r="AD41" i="10"/>
  <c r="AH41" i="10"/>
  <c r="V42" i="10"/>
  <c r="Z42" i="10"/>
  <c r="AD42" i="10"/>
  <c r="E31" i="10"/>
  <c r="D31" i="10" s="1"/>
  <c r="AH42" i="10"/>
  <c r="V43" i="10"/>
  <c r="Z43" i="10"/>
  <c r="AD43" i="10"/>
  <c r="AH43" i="10"/>
  <c r="V44" i="10"/>
  <c r="Z44" i="10"/>
  <c r="AD44" i="10"/>
  <c r="AH44" i="10"/>
  <c r="X45" i="10"/>
  <c r="AB45" i="10"/>
  <c r="AF45" i="10"/>
  <c r="AJ45" i="10"/>
  <c r="X46" i="10"/>
  <c r="AB46" i="10"/>
  <c r="AF46" i="10"/>
  <c r="E24" i="10"/>
  <c r="D24" i="10" s="1"/>
  <c r="AJ46" i="10"/>
  <c r="X47" i="10"/>
  <c r="AB47" i="10"/>
  <c r="AF47" i="10"/>
  <c r="AJ47" i="10"/>
  <c r="X48" i="10"/>
  <c r="E26" i="10"/>
  <c r="D26" i="10" s="1"/>
  <c r="AB48" i="10"/>
  <c r="AF48" i="10"/>
  <c r="AJ48" i="10"/>
  <c r="X49" i="10"/>
  <c r="AB49" i="10"/>
  <c r="AF49" i="10"/>
  <c r="AJ49" i="10"/>
  <c r="X50" i="10"/>
  <c r="AB50" i="10"/>
  <c r="AF50" i="10"/>
  <c r="AJ50" i="10"/>
  <c r="X51" i="10"/>
  <c r="AB51" i="10"/>
  <c r="AF51" i="10"/>
  <c r="X52" i="10"/>
  <c r="AF52" i="10"/>
  <c r="V53" i="10"/>
  <c r="AD53" i="10"/>
  <c r="X54" i="10"/>
  <c r="AF54" i="10"/>
  <c r="V55" i="10"/>
  <c r="AD55" i="10"/>
  <c r="X56" i="10"/>
  <c r="AF56" i="10"/>
  <c r="U40" i="10"/>
  <c r="Y40" i="10"/>
  <c r="AC40" i="10"/>
  <c r="AG40" i="10"/>
  <c r="AK40" i="10"/>
  <c r="E30" i="10"/>
  <c r="D30" i="10" s="1"/>
  <c r="W41" i="10"/>
  <c r="G35" i="10" s="1"/>
  <c r="AA41" i="10"/>
  <c r="AE41" i="10"/>
  <c r="AI41" i="10"/>
  <c r="U42" i="10"/>
  <c r="Y42" i="10"/>
  <c r="AC42" i="10"/>
  <c r="AG42" i="10"/>
  <c r="AK42" i="10"/>
  <c r="W43" i="10"/>
  <c r="AA43" i="10"/>
  <c r="AE43" i="10"/>
  <c r="AI43" i="10"/>
  <c r="U44" i="10"/>
  <c r="Y44" i="10"/>
  <c r="AC44" i="10"/>
  <c r="AG44" i="10"/>
  <c r="AK44" i="10"/>
  <c r="W45" i="10"/>
  <c r="AA45" i="10"/>
  <c r="AE45" i="10"/>
  <c r="E28" i="10"/>
  <c r="D28" i="10" s="1"/>
  <c r="AI45" i="10"/>
  <c r="U46" i="10"/>
  <c r="Y46" i="10"/>
  <c r="AC46" i="10"/>
  <c r="G24" i="10" s="1"/>
  <c r="AG46" i="10"/>
  <c r="AK46" i="10"/>
  <c r="W47" i="10"/>
  <c r="AA47" i="10"/>
  <c r="AE47" i="10"/>
  <c r="AI47" i="10"/>
  <c r="U48" i="10"/>
  <c r="Y48" i="10"/>
  <c r="AC48" i="10"/>
  <c r="AG48" i="10"/>
  <c r="AK48" i="10"/>
  <c r="W49" i="10"/>
  <c r="AA49" i="10"/>
  <c r="E23" i="10"/>
  <c r="D23" i="10" s="1"/>
  <c r="AE49" i="10"/>
  <c r="AI49" i="10"/>
  <c r="U50" i="10"/>
  <c r="Y50" i="10"/>
  <c r="AC50" i="10"/>
  <c r="AG50" i="10"/>
  <c r="AK50" i="10"/>
  <c r="W51" i="10"/>
  <c r="AA51" i="10"/>
  <c r="G23" i="10" s="1"/>
  <c r="AE51" i="10"/>
  <c r="AJ51" i="10"/>
  <c r="Z52" i="10"/>
  <c r="AH52" i="10"/>
  <c r="AB53" i="10"/>
  <c r="AJ53" i="10"/>
  <c r="Z54" i="10"/>
  <c r="AH54" i="10"/>
  <c r="AB55" i="10"/>
  <c r="AJ55" i="10"/>
  <c r="Z56" i="10"/>
  <c r="AH56" i="10"/>
  <c r="AK51" i="10"/>
  <c r="W52" i="10"/>
  <c r="AA52" i="10"/>
  <c r="AE52" i="10"/>
  <c r="AI52" i="10"/>
  <c r="U53" i="10"/>
  <c r="Y53" i="10"/>
  <c r="AC53" i="10"/>
  <c r="AG53" i="10"/>
  <c r="E32" i="10"/>
  <c r="D32" i="10" s="1"/>
  <c r="AK53" i="10"/>
  <c r="W54" i="10"/>
  <c r="AA54" i="10"/>
  <c r="AE54" i="10"/>
  <c r="AI54" i="10"/>
  <c r="U55" i="10"/>
  <c r="Y55" i="10"/>
  <c r="AC55" i="10"/>
  <c r="AG55" i="10"/>
  <c r="AK55" i="10"/>
  <c r="W56" i="10"/>
  <c r="AA56" i="10"/>
  <c r="AE56" i="10"/>
  <c r="E33" i="10"/>
  <c r="D33" i="10" s="1"/>
  <c r="AI56" i="10"/>
  <c r="V45" i="10"/>
  <c r="Z45" i="10"/>
  <c r="AD45" i="10"/>
  <c r="G28" i="10" s="1"/>
  <c r="AH45" i="10"/>
  <c r="V46" i="10"/>
  <c r="Z46" i="10"/>
  <c r="AD46" i="10"/>
  <c r="AH46" i="10"/>
  <c r="V47" i="10"/>
  <c r="E27" i="10"/>
  <c r="D27" i="10" s="1"/>
  <c r="Z47" i="10"/>
  <c r="G27" i="10" s="1"/>
  <c r="AD47" i="10"/>
  <c r="AH47" i="10"/>
  <c r="V48" i="10"/>
  <c r="Z48" i="10"/>
  <c r="AD48" i="10"/>
  <c r="AH48" i="10"/>
  <c r="V49" i="10"/>
  <c r="Z49" i="10"/>
  <c r="AD49" i="10"/>
  <c r="AH49" i="10"/>
  <c r="V50" i="10"/>
  <c r="E29" i="10"/>
  <c r="D29" i="10" s="1"/>
  <c r="Z50" i="10"/>
  <c r="AD50" i="10"/>
  <c r="AH50" i="10"/>
  <c r="V51" i="10"/>
  <c r="Z51" i="10"/>
  <c r="AD51" i="10"/>
  <c r="AH51" i="10"/>
  <c r="AB52" i="10"/>
  <c r="AJ52" i="10"/>
  <c r="Z53" i="10"/>
  <c r="AH53" i="10"/>
  <c r="AB54" i="10"/>
  <c r="AJ54" i="10"/>
  <c r="Z55" i="10"/>
  <c r="AH55" i="10"/>
  <c r="AB56" i="10"/>
  <c r="AJ56" i="10"/>
  <c r="G38" i="10" s="1"/>
  <c r="W40" i="10"/>
  <c r="AA40" i="10"/>
  <c r="AE40" i="10"/>
  <c r="AI40" i="10"/>
  <c r="U41" i="10"/>
  <c r="Y41" i="10"/>
  <c r="AC41" i="10"/>
  <c r="AG41" i="10"/>
  <c r="AK41" i="10"/>
  <c r="W42" i="10"/>
  <c r="AA42" i="10"/>
  <c r="AE42" i="10"/>
  <c r="AI42" i="10"/>
  <c r="U43" i="10"/>
  <c r="Y43" i="10"/>
  <c r="AC43" i="10"/>
  <c r="E36" i="10"/>
  <c r="D36" i="10" s="1"/>
  <c r="AG43" i="10"/>
  <c r="G31" i="10" s="1"/>
  <c r="AK43" i="10"/>
  <c r="W44" i="10"/>
  <c r="AA44" i="10"/>
  <c r="AE44" i="10"/>
  <c r="AI44" i="10"/>
  <c r="U45" i="10"/>
  <c r="Y45" i="10"/>
  <c r="AC45" i="10"/>
  <c r="AG45" i="10"/>
  <c r="AK45" i="10"/>
  <c r="W46" i="10"/>
  <c r="AA46" i="10"/>
  <c r="AE46" i="10"/>
  <c r="AI46" i="10"/>
  <c r="U47" i="10"/>
  <c r="Y47" i="10"/>
  <c r="AC47" i="10"/>
  <c r="AG47" i="10"/>
  <c r="AK47" i="10"/>
  <c r="W48" i="10"/>
  <c r="AA48" i="10"/>
  <c r="AE48" i="10"/>
  <c r="AI48" i="10"/>
  <c r="U49" i="10"/>
  <c r="Y49" i="10"/>
  <c r="AC49" i="10"/>
  <c r="AG49" i="10"/>
  <c r="AK49" i="10"/>
  <c r="W50" i="10"/>
  <c r="AA50" i="10"/>
  <c r="AE50" i="10"/>
  <c r="AI50" i="10"/>
  <c r="U51" i="10"/>
  <c r="Y51" i="10"/>
  <c r="E25" i="10"/>
  <c r="D25" i="10" s="1"/>
  <c r="AC51" i="10"/>
  <c r="AG51" i="10"/>
  <c r="V52" i="10"/>
  <c r="AD52" i="10"/>
  <c r="X53" i="10"/>
  <c r="AF53" i="10"/>
  <c r="V54" i="10"/>
  <c r="AD54" i="10"/>
  <c r="X55" i="10"/>
  <c r="AF55" i="10"/>
  <c r="V56" i="10"/>
  <c r="AD56" i="10"/>
  <c r="AI51" i="10"/>
  <c r="U52" i="10"/>
  <c r="E37" i="10"/>
  <c r="D37" i="10" s="1"/>
  <c r="Y52" i="10"/>
  <c r="AC52" i="10"/>
  <c r="AG52" i="10"/>
  <c r="AK52" i="10"/>
  <c r="W53" i="10"/>
  <c r="AA53" i="10"/>
  <c r="AE53" i="10"/>
  <c r="AI53" i="10"/>
  <c r="U54" i="10"/>
  <c r="E34" i="10"/>
  <c r="D34" i="10" s="1"/>
  <c r="Y54" i="10"/>
  <c r="AC54" i="10"/>
  <c r="AG54" i="10"/>
  <c r="AK54" i="10"/>
  <c r="W55" i="10"/>
  <c r="AA55" i="10"/>
  <c r="AE55" i="10"/>
  <c r="AI55" i="10"/>
  <c r="U56" i="10"/>
  <c r="Y56" i="10"/>
  <c r="AC56" i="10"/>
  <c r="AG56" i="10"/>
  <c r="AK56" i="10"/>
  <c r="K40" i="10"/>
  <c r="E42" i="9"/>
  <c r="E42" i="7"/>
  <c r="D39" i="7"/>
  <c r="G48" i="7" s="1"/>
  <c r="S37" i="5"/>
  <c r="W37" i="5"/>
  <c r="AA37" i="5"/>
  <c r="AE37" i="5"/>
  <c r="S38" i="5"/>
  <c r="W38" i="5"/>
  <c r="AA38" i="5"/>
  <c r="AE38" i="5"/>
  <c r="S39" i="5"/>
  <c r="W39" i="5"/>
  <c r="AA39" i="5"/>
  <c r="AE39" i="5"/>
  <c r="S40" i="5"/>
  <c r="W40" i="5"/>
  <c r="AA40" i="5"/>
  <c r="AE40" i="5"/>
  <c r="S41" i="5"/>
  <c r="W41" i="5"/>
  <c r="AA41" i="5"/>
  <c r="AE41" i="5"/>
  <c r="S42" i="5"/>
  <c r="W42" i="5"/>
  <c r="AA42" i="5"/>
  <c r="AE42" i="5"/>
  <c r="S43" i="5"/>
  <c r="W43" i="5"/>
  <c r="E22" i="5"/>
  <c r="D22" i="5" s="1"/>
  <c r="AE43" i="5"/>
  <c r="S44" i="5"/>
  <c r="W44" i="5"/>
  <c r="AA44" i="5"/>
  <c r="AE44" i="5"/>
  <c r="S45" i="5"/>
  <c r="W45" i="5"/>
  <c r="AA45" i="5"/>
  <c r="AE45" i="5"/>
  <c r="S46" i="5"/>
  <c r="W46" i="5"/>
  <c r="AA46" i="5"/>
  <c r="AE46" i="5"/>
  <c r="S47" i="5"/>
  <c r="W47" i="5"/>
  <c r="AA47" i="5"/>
  <c r="AE47" i="5"/>
  <c r="S48" i="5"/>
  <c r="W48" i="5"/>
  <c r="AA48" i="5"/>
  <c r="AE48" i="5"/>
  <c r="S49" i="5"/>
  <c r="W49" i="5"/>
  <c r="AA49" i="5"/>
  <c r="AE49" i="5"/>
  <c r="S50" i="5"/>
  <c r="W50" i="5"/>
  <c r="AA50" i="5"/>
  <c r="AE50" i="5"/>
  <c r="S51" i="5"/>
  <c r="U37" i="5"/>
  <c r="Y37" i="5"/>
  <c r="AC37" i="5"/>
  <c r="AG37" i="5"/>
  <c r="U38" i="5"/>
  <c r="G33" i="5" s="1"/>
  <c r="Y38" i="5"/>
  <c r="AC38" i="5"/>
  <c r="AG38" i="5"/>
  <c r="U39" i="5"/>
  <c r="Y39" i="5"/>
  <c r="AC39" i="5"/>
  <c r="AG39" i="5"/>
  <c r="U40" i="5"/>
  <c r="Y40" i="5"/>
  <c r="AC40" i="5"/>
  <c r="AG40" i="5"/>
  <c r="U41" i="5"/>
  <c r="Y41" i="5"/>
  <c r="AC41" i="5"/>
  <c r="AG41" i="5"/>
  <c r="U42" i="5"/>
  <c r="Y42" i="5"/>
  <c r="AC42" i="5"/>
  <c r="AG42" i="5"/>
  <c r="U43" i="5"/>
  <c r="Y43" i="5"/>
  <c r="AC43" i="5"/>
  <c r="AG43" i="5"/>
  <c r="U44" i="5"/>
  <c r="Y44" i="5"/>
  <c r="AC44" i="5"/>
  <c r="AG44" i="5"/>
  <c r="U45" i="5"/>
  <c r="Y45" i="5"/>
  <c r="AC45" i="5"/>
  <c r="AG45" i="5"/>
  <c r="U46" i="5"/>
  <c r="Y46" i="5"/>
  <c r="AC46" i="5"/>
  <c r="G27" i="5" s="1"/>
  <c r="AG46" i="5"/>
  <c r="U47" i="5"/>
  <c r="Y47" i="5"/>
  <c r="AC47" i="5"/>
  <c r="AG47" i="5"/>
  <c r="U48" i="5"/>
  <c r="Y48" i="5"/>
  <c r="AC48" i="5"/>
  <c r="AG48" i="5"/>
  <c r="U49" i="5"/>
  <c r="Y49" i="5"/>
  <c r="AC49" i="5"/>
  <c r="AG49" i="5"/>
  <c r="U50" i="5"/>
  <c r="Y50" i="5"/>
  <c r="AC50" i="5"/>
  <c r="AG50" i="5"/>
  <c r="U51" i="5"/>
  <c r="W51" i="5"/>
  <c r="Y51" i="5"/>
  <c r="AA51" i="5"/>
  <c r="AC51" i="5"/>
  <c r="AE51" i="5"/>
  <c r="AG51" i="5"/>
  <c r="V37" i="5"/>
  <c r="X37" i="5"/>
  <c r="Z37" i="5"/>
  <c r="AB37" i="5"/>
  <c r="AD37" i="5"/>
  <c r="AF37" i="5"/>
  <c r="T38" i="5"/>
  <c r="V38" i="5"/>
  <c r="X38" i="5"/>
  <c r="Z38" i="5"/>
  <c r="AB38" i="5"/>
  <c r="AD38" i="5"/>
  <c r="AF38" i="5"/>
  <c r="T39" i="5"/>
  <c r="V39" i="5"/>
  <c r="X39" i="5"/>
  <c r="Z39" i="5"/>
  <c r="AB39" i="5"/>
  <c r="AD39" i="5"/>
  <c r="AF39" i="5"/>
  <c r="T40" i="5"/>
  <c r="V40" i="5"/>
  <c r="X40" i="5"/>
  <c r="Z40" i="5"/>
  <c r="AB40" i="5"/>
  <c r="AD40" i="5"/>
  <c r="AF40" i="5"/>
  <c r="T41" i="5"/>
  <c r="V41" i="5"/>
  <c r="X41" i="5"/>
  <c r="AB41" i="5"/>
  <c r="AD41" i="5"/>
  <c r="AF41" i="5"/>
  <c r="T42" i="5"/>
  <c r="V42" i="5"/>
  <c r="X42" i="5"/>
  <c r="Z42" i="5"/>
  <c r="AD42" i="5"/>
  <c r="AF42" i="5"/>
  <c r="T43" i="5"/>
  <c r="V43" i="5"/>
  <c r="X43" i="5"/>
  <c r="Z43" i="5"/>
  <c r="AB43" i="5"/>
  <c r="AD43" i="5"/>
  <c r="AF43" i="5"/>
  <c r="T44" i="5"/>
  <c r="V44" i="5"/>
  <c r="X44" i="5"/>
  <c r="Z44" i="5"/>
  <c r="AB44" i="5"/>
  <c r="AD44" i="5"/>
  <c r="AF44" i="5"/>
  <c r="T45" i="5"/>
  <c r="V45" i="5"/>
  <c r="X45" i="5"/>
  <c r="Z45" i="5"/>
  <c r="AB45" i="5"/>
  <c r="AD45" i="5"/>
  <c r="AF45" i="5"/>
  <c r="T46" i="5"/>
  <c r="V46" i="5"/>
  <c r="X46" i="5"/>
  <c r="Z46" i="5"/>
  <c r="AB46" i="5"/>
  <c r="AD46" i="5"/>
  <c r="AF46" i="5"/>
  <c r="T47" i="5"/>
  <c r="X47" i="5"/>
  <c r="Z47" i="5"/>
  <c r="AB47" i="5"/>
  <c r="AD47" i="5"/>
  <c r="AF47" i="5"/>
  <c r="T48" i="5"/>
  <c r="V48" i="5"/>
  <c r="X48" i="5"/>
  <c r="Z48" i="5"/>
  <c r="AB48" i="5"/>
  <c r="AD48" i="5"/>
  <c r="AF48" i="5"/>
  <c r="T49" i="5"/>
  <c r="V49" i="5"/>
  <c r="X49" i="5"/>
  <c r="Z49" i="5"/>
  <c r="AB49" i="5"/>
  <c r="AD49" i="5"/>
  <c r="T50" i="5"/>
  <c r="V50" i="5"/>
  <c r="X50" i="5"/>
  <c r="Z50" i="5"/>
  <c r="AB50" i="5"/>
  <c r="AD50" i="5"/>
  <c r="AF50" i="5"/>
  <c r="T51" i="5"/>
  <c r="V51" i="5"/>
  <c r="X51" i="5"/>
  <c r="Z51" i="5"/>
  <c r="AB51" i="5"/>
  <c r="AD51" i="5"/>
  <c r="AF51" i="5"/>
  <c r="S35" i="5"/>
  <c r="H21" i="5"/>
  <c r="H23" i="5"/>
  <c r="H29" i="5"/>
  <c r="E21" i="5"/>
  <c r="D21" i="5" s="1"/>
  <c r="E23" i="5"/>
  <c r="D23" i="5" s="1"/>
  <c r="E29" i="5"/>
  <c r="D29" i="5" s="1"/>
  <c r="E33" i="5"/>
  <c r="D33" i="5" s="1"/>
  <c r="E27" i="5"/>
  <c r="D27" i="5" s="1"/>
  <c r="E31" i="5"/>
  <c r="D31" i="5" s="1"/>
  <c r="AA43" i="5"/>
  <c r="T37" i="5"/>
  <c r="G32" i="5" s="1"/>
  <c r="E32" i="5"/>
  <c r="D32" i="5" s="1"/>
  <c r="E24" i="5"/>
  <c r="D24" i="5" s="1"/>
  <c r="Z41" i="5"/>
  <c r="G24" i="5" s="1"/>
  <c r="AB42" i="5"/>
  <c r="G26" i="5" s="1"/>
  <c r="E26" i="5"/>
  <c r="D26" i="5" s="1"/>
  <c r="E28" i="5"/>
  <c r="D28" i="5" s="1"/>
  <c r="V47" i="5"/>
  <c r="G28" i="5" s="1"/>
  <c r="E30" i="5"/>
  <c r="D30" i="5" s="1"/>
  <c r="AF49" i="5"/>
  <c r="F35" i="5"/>
  <c r="E25" i="5"/>
  <c r="D25" i="5" s="1"/>
  <c r="E34" i="5"/>
  <c r="D34" i="5" s="1"/>
  <c r="G30" i="5" l="1"/>
  <c r="G22" i="5"/>
  <c r="D39" i="10"/>
  <c r="G48" i="10" s="1"/>
  <c r="G21" i="5"/>
  <c r="G31" i="5"/>
  <c r="G23" i="5"/>
  <c r="G29" i="5"/>
  <c r="G25" i="5"/>
  <c r="G34" i="5"/>
  <c r="G36" i="10"/>
  <c r="D39" i="9"/>
  <c r="G48" i="9" s="1"/>
  <c r="G32" i="9"/>
  <c r="G23" i="9"/>
  <c r="G29" i="9"/>
  <c r="G25" i="9"/>
  <c r="G24" i="9"/>
  <c r="G36" i="8"/>
  <c r="G32" i="8"/>
  <c r="G29" i="7"/>
  <c r="G25" i="7"/>
  <c r="G27" i="7"/>
  <c r="G35" i="5"/>
  <c r="G41" i="5" s="1"/>
  <c r="G42" i="5" s="1"/>
  <c r="D35" i="5"/>
  <c r="C38" i="5" s="1"/>
  <c r="G33" i="10"/>
  <c r="G32" i="10"/>
  <c r="G29" i="10"/>
  <c r="G34" i="10"/>
  <c r="G33" i="9"/>
  <c r="G26" i="10"/>
  <c r="G38" i="9"/>
  <c r="G26" i="9"/>
  <c r="G34" i="8"/>
  <c r="G24" i="7"/>
  <c r="G34" i="9"/>
  <c r="G23" i="8"/>
  <c r="G29" i="8"/>
  <c r="G25" i="8"/>
  <c r="G31" i="7"/>
  <c r="G26" i="7"/>
  <c r="G36" i="7"/>
  <c r="G37" i="10"/>
  <c r="G25" i="10"/>
  <c r="G30" i="10"/>
  <c r="G36" i="9"/>
  <c r="G33" i="7"/>
  <c r="G32" i="7"/>
  <c r="G27" i="9"/>
  <c r="G28" i="9"/>
  <c r="G24" i="8"/>
  <c r="G35" i="8"/>
  <c r="G30" i="8"/>
  <c r="G26" i="8"/>
  <c r="G38" i="7"/>
  <c r="G28" i="7"/>
  <c r="G34" i="7"/>
  <c r="C42" i="10"/>
  <c r="H42" i="10" s="1"/>
  <c r="K39" i="10"/>
  <c r="C42" i="9"/>
  <c r="H42" i="9" s="1"/>
  <c r="K39" i="9"/>
  <c r="C42" i="8"/>
  <c r="H42" i="8" s="1"/>
  <c r="C42" i="7"/>
  <c r="H42" i="7" s="1"/>
  <c r="K39" i="7"/>
  <c r="H35" i="5"/>
  <c r="G43" i="5" s="1"/>
  <c r="E38" i="5"/>
  <c r="K36" i="5"/>
  <c r="F38" i="2"/>
  <c r="C38" i="2"/>
  <c r="F37" i="2"/>
  <c r="C37" i="2"/>
  <c r="F36" i="2"/>
  <c r="C36" i="2"/>
  <c r="F35" i="2"/>
  <c r="C35" i="2"/>
  <c r="F34" i="2"/>
  <c r="C34" i="2"/>
  <c r="F33" i="2"/>
  <c r="C33" i="2"/>
  <c r="F32" i="2"/>
  <c r="C32" i="2"/>
  <c r="F31" i="2"/>
  <c r="C31" i="2"/>
  <c r="F30" i="2"/>
  <c r="C30" i="2"/>
  <c r="F29" i="2"/>
  <c r="C29" i="2"/>
  <c r="F28" i="2"/>
  <c r="C28" i="2"/>
  <c r="F27" i="2"/>
  <c r="C27" i="2"/>
  <c r="F26" i="2"/>
  <c r="C26" i="2"/>
  <c r="F25" i="2"/>
  <c r="C25" i="2"/>
  <c r="F24" i="2"/>
  <c r="C24" i="2"/>
  <c r="F23" i="2"/>
  <c r="C23" i="2"/>
  <c r="F22" i="2"/>
  <c r="F39" i="2" s="1"/>
  <c r="D22" i="2"/>
  <c r="C22" i="2"/>
  <c r="AM19" i="2"/>
  <c r="AL19" i="2"/>
  <c r="AM18" i="2"/>
  <c r="AL18" i="2"/>
  <c r="AM17" i="2"/>
  <c r="AL17" i="2"/>
  <c r="AM16" i="2"/>
  <c r="AL16" i="2"/>
  <c r="AM15" i="2"/>
  <c r="AL15" i="2"/>
  <c r="AM14" i="2"/>
  <c r="AL14" i="2"/>
  <c r="AM13" i="2"/>
  <c r="AL13" i="2"/>
  <c r="AM12" i="2"/>
  <c r="AL12" i="2"/>
  <c r="AM11" i="2"/>
  <c r="AL11" i="2"/>
  <c r="AM10" i="2"/>
  <c r="AL10" i="2"/>
  <c r="AM9" i="2"/>
  <c r="AL9" i="2"/>
  <c r="AM8" i="2"/>
  <c r="AL8" i="2"/>
  <c r="AM7" i="2"/>
  <c r="AL7" i="2"/>
  <c r="AM6" i="2"/>
  <c r="AL6" i="2"/>
  <c r="AM5" i="2"/>
  <c r="AL5" i="2"/>
  <c r="AM4" i="2"/>
  <c r="AL4" i="2"/>
  <c r="AM3" i="2"/>
  <c r="AL3" i="2"/>
  <c r="AK38" i="1"/>
  <c r="AJ38" i="1"/>
  <c r="AI38" i="1"/>
  <c r="AH38" i="1"/>
  <c r="AG38" i="1"/>
  <c r="AF38" i="1"/>
  <c r="AE38" i="1"/>
  <c r="AD38" i="1"/>
  <c r="AC38" i="1"/>
  <c r="AB38" i="1"/>
  <c r="AA38" i="1"/>
  <c r="Z38" i="1"/>
  <c r="Y38" i="1"/>
  <c r="X38" i="1"/>
  <c r="W38" i="1"/>
  <c r="V38" i="1"/>
  <c r="U38" i="1"/>
  <c r="H38" i="1"/>
  <c r="H18" i="3" s="1"/>
  <c r="F38" i="1"/>
  <c r="C38" i="1"/>
  <c r="D18" i="3" s="1"/>
  <c r="E18" i="3" s="1"/>
  <c r="AK37" i="1"/>
  <c r="AJ37" i="1"/>
  <c r="AI37" i="1"/>
  <c r="AH37" i="1"/>
  <c r="AG37" i="1"/>
  <c r="AF37" i="1"/>
  <c r="AE37" i="1"/>
  <c r="AD37" i="1"/>
  <c r="AC37" i="1"/>
  <c r="AB37" i="1"/>
  <c r="AA37" i="1"/>
  <c r="Z37" i="1"/>
  <c r="Y37" i="1"/>
  <c r="X37" i="1"/>
  <c r="W37" i="1"/>
  <c r="V37" i="1"/>
  <c r="U37" i="1"/>
  <c r="H37" i="1"/>
  <c r="H17" i="3" s="1"/>
  <c r="F37" i="1"/>
  <c r="C37" i="1"/>
  <c r="D17" i="3" s="1"/>
  <c r="F17" i="3" s="1"/>
  <c r="AK36" i="1"/>
  <c r="AJ36" i="1"/>
  <c r="AI36" i="1"/>
  <c r="AH36" i="1"/>
  <c r="AG36" i="1"/>
  <c r="AF36" i="1"/>
  <c r="AE36" i="1"/>
  <c r="AD36" i="1"/>
  <c r="AC36" i="1"/>
  <c r="AB36" i="1"/>
  <c r="AA36" i="1"/>
  <c r="Z36" i="1"/>
  <c r="Y36" i="1"/>
  <c r="X36" i="1"/>
  <c r="W36" i="1"/>
  <c r="V36" i="1"/>
  <c r="U36" i="1"/>
  <c r="H36" i="1"/>
  <c r="H16" i="3" s="1"/>
  <c r="F36" i="1"/>
  <c r="C36" i="1"/>
  <c r="D16" i="3" s="1"/>
  <c r="AK35" i="1"/>
  <c r="AJ35" i="1"/>
  <c r="AI35" i="1"/>
  <c r="AH35" i="1"/>
  <c r="AG35" i="1"/>
  <c r="AF35" i="1"/>
  <c r="AE35" i="1"/>
  <c r="AD35" i="1"/>
  <c r="AC35" i="1"/>
  <c r="AB35" i="1"/>
  <c r="AA35" i="1"/>
  <c r="Z35" i="1"/>
  <c r="Y35" i="1"/>
  <c r="X35" i="1"/>
  <c r="W35" i="1"/>
  <c r="V35" i="1"/>
  <c r="U35" i="1"/>
  <c r="H35" i="1"/>
  <c r="H15" i="3" s="1"/>
  <c r="F35" i="1"/>
  <c r="C35" i="1"/>
  <c r="D15" i="3" s="1"/>
  <c r="F15" i="3" s="1"/>
  <c r="AK34" i="1"/>
  <c r="AJ34" i="1"/>
  <c r="AI34" i="1"/>
  <c r="AH34" i="1"/>
  <c r="AG34" i="1"/>
  <c r="AF34" i="1"/>
  <c r="AE34" i="1"/>
  <c r="AD34" i="1"/>
  <c r="AC34" i="1"/>
  <c r="AB34" i="1"/>
  <c r="AA34" i="1"/>
  <c r="Z34" i="1"/>
  <c r="Y34" i="1"/>
  <c r="X34" i="1"/>
  <c r="W34" i="1"/>
  <c r="V34" i="1"/>
  <c r="U34" i="1"/>
  <c r="H34" i="1"/>
  <c r="H14" i="3" s="1"/>
  <c r="F34" i="1"/>
  <c r="C34" i="1"/>
  <c r="D14" i="3" s="1"/>
  <c r="E14" i="3" s="1"/>
  <c r="AK33" i="1"/>
  <c r="AJ33" i="1"/>
  <c r="AI33" i="1"/>
  <c r="AH33" i="1"/>
  <c r="AG33" i="1"/>
  <c r="AF33" i="1"/>
  <c r="AE33" i="1"/>
  <c r="AD33" i="1"/>
  <c r="AC33" i="1"/>
  <c r="AB33" i="1"/>
  <c r="AA33" i="1"/>
  <c r="Z33" i="1"/>
  <c r="Y33" i="1"/>
  <c r="X33" i="1"/>
  <c r="W33" i="1"/>
  <c r="V33" i="1"/>
  <c r="U33" i="1"/>
  <c r="H33" i="1"/>
  <c r="H13" i="3" s="1"/>
  <c r="F33" i="1"/>
  <c r="C33" i="1"/>
  <c r="D13" i="3" s="1"/>
  <c r="F13" i="3" s="1"/>
  <c r="AK32" i="1"/>
  <c r="AJ32" i="1"/>
  <c r="AI32" i="1"/>
  <c r="AH32" i="1"/>
  <c r="AG32" i="1"/>
  <c r="AF32" i="1"/>
  <c r="AE32" i="1"/>
  <c r="AD32" i="1"/>
  <c r="AC32" i="1"/>
  <c r="AB32" i="1"/>
  <c r="AA32" i="1"/>
  <c r="Z32" i="1"/>
  <c r="Y32" i="1"/>
  <c r="X32" i="1"/>
  <c r="W32" i="1"/>
  <c r="V32" i="1"/>
  <c r="U32" i="1"/>
  <c r="H32" i="1"/>
  <c r="H12" i="3" s="1"/>
  <c r="F32" i="1"/>
  <c r="C32" i="1"/>
  <c r="D12" i="3" s="1"/>
  <c r="AK31" i="1"/>
  <c r="AJ31" i="1"/>
  <c r="AI31" i="1"/>
  <c r="AH31" i="1"/>
  <c r="AG31" i="1"/>
  <c r="AF31" i="1"/>
  <c r="AE31" i="1"/>
  <c r="AD31" i="1"/>
  <c r="AC31" i="1"/>
  <c r="AB31" i="1"/>
  <c r="AA31" i="1"/>
  <c r="Z31" i="1"/>
  <c r="Y31" i="1"/>
  <c r="X31" i="1"/>
  <c r="W31" i="1"/>
  <c r="V31" i="1"/>
  <c r="U31" i="1"/>
  <c r="H31" i="1"/>
  <c r="H11" i="3" s="1"/>
  <c r="F31" i="1"/>
  <c r="C31" i="1"/>
  <c r="D11" i="3" s="1"/>
  <c r="F11" i="3" s="1"/>
  <c r="AK30" i="1"/>
  <c r="AJ30" i="1"/>
  <c r="AI30" i="1"/>
  <c r="AH30" i="1"/>
  <c r="AG30" i="1"/>
  <c r="AF30" i="1"/>
  <c r="AE30" i="1"/>
  <c r="AD30" i="1"/>
  <c r="AC30" i="1"/>
  <c r="AB30" i="1"/>
  <c r="AA30" i="1"/>
  <c r="Z30" i="1"/>
  <c r="Y30" i="1"/>
  <c r="X30" i="1"/>
  <c r="W30" i="1"/>
  <c r="V30" i="1"/>
  <c r="U30" i="1"/>
  <c r="H30" i="1"/>
  <c r="H10" i="3" s="1"/>
  <c r="F30" i="1"/>
  <c r="C30" i="1"/>
  <c r="D10" i="3" s="1"/>
  <c r="E10" i="3" s="1"/>
  <c r="AK29" i="1"/>
  <c r="AJ29" i="1"/>
  <c r="AI29" i="1"/>
  <c r="AH29" i="1"/>
  <c r="AG29" i="1"/>
  <c r="AF29" i="1"/>
  <c r="AE29" i="1"/>
  <c r="AD29" i="1"/>
  <c r="AC29" i="1"/>
  <c r="AB29" i="1"/>
  <c r="AA29" i="1"/>
  <c r="Z29" i="1"/>
  <c r="Y29" i="1"/>
  <c r="X29" i="1"/>
  <c r="W29" i="1"/>
  <c r="V29" i="1"/>
  <c r="U29" i="1"/>
  <c r="H29" i="1"/>
  <c r="H9" i="3" s="1"/>
  <c r="F29" i="1"/>
  <c r="C29" i="1"/>
  <c r="D9" i="3" s="1"/>
  <c r="F9" i="3" s="1"/>
  <c r="AK28" i="1"/>
  <c r="AJ28" i="1"/>
  <c r="AI28" i="1"/>
  <c r="AH28" i="1"/>
  <c r="AG28" i="1"/>
  <c r="AF28" i="1"/>
  <c r="AE28" i="1"/>
  <c r="AD28" i="1"/>
  <c r="AC28" i="1"/>
  <c r="AB28" i="1"/>
  <c r="AA28" i="1"/>
  <c r="Z28" i="1"/>
  <c r="Y28" i="1"/>
  <c r="X28" i="1"/>
  <c r="W28" i="1"/>
  <c r="V28" i="1"/>
  <c r="U28" i="1"/>
  <c r="H28" i="1"/>
  <c r="H8" i="3" s="1"/>
  <c r="F28" i="1"/>
  <c r="C28" i="1"/>
  <c r="D8" i="3" s="1"/>
  <c r="AK27" i="1"/>
  <c r="AJ27" i="1"/>
  <c r="AI27" i="1"/>
  <c r="AH27" i="1"/>
  <c r="AG27" i="1"/>
  <c r="AF27" i="1"/>
  <c r="AE27" i="1"/>
  <c r="AD27" i="1"/>
  <c r="AC27" i="1"/>
  <c r="AB27" i="1"/>
  <c r="AA27" i="1"/>
  <c r="Z27" i="1"/>
  <c r="Y27" i="1"/>
  <c r="X27" i="1"/>
  <c r="W27" i="1"/>
  <c r="V27" i="1"/>
  <c r="U27" i="1"/>
  <c r="H27" i="1"/>
  <c r="H7" i="3" s="1"/>
  <c r="F27" i="1"/>
  <c r="C27" i="1"/>
  <c r="D7" i="3" s="1"/>
  <c r="F7" i="3" s="1"/>
  <c r="AK26" i="1"/>
  <c r="AJ26" i="1"/>
  <c r="AI26" i="1"/>
  <c r="AH26" i="1"/>
  <c r="AG26" i="1"/>
  <c r="AF26" i="1"/>
  <c r="AE26" i="1"/>
  <c r="AD26" i="1"/>
  <c r="AC26" i="1"/>
  <c r="AB26" i="1"/>
  <c r="AA26" i="1"/>
  <c r="Z26" i="1"/>
  <c r="Y26" i="1"/>
  <c r="X26" i="1"/>
  <c r="W26" i="1"/>
  <c r="V26" i="1"/>
  <c r="U26" i="1"/>
  <c r="H26" i="1"/>
  <c r="H6" i="3" s="1"/>
  <c r="F26" i="1"/>
  <c r="C26" i="1"/>
  <c r="D6" i="3" s="1"/>
  <c r="E6" i="3" s="1"/>
  <c r="AK25" i="1"/>
  <c r="AJ25" i="1"/>
  <c r="AI25" i="1"/>
  <c r="AH25" i="1"/>
  <c r="AG25" i="1"/>
  <c r="AF25" i="1"/>
  <c r="AE25" i="1"/>
  <c r="AD25" i="1"/>
  <c r="AC25" i="1"/>
  <c r="AB25" i="1"/>
  <c r="AA25" i="1"/>
  <c r="Z25" i="1"/>
  <c r="Y25" i="1"/>
  <c r="X25" i="1"/>
  <c r="W25" i="1"/>
  <c r="V25" i="1"/>
  <c r="U25" i="1"/>
  <c r="H25" i="1"/>
  <c r="H5" i="3" s="1"/>
  <c r="F25" i="1"/>
  <c r="C25" i="1"/>
  <c r="D5" i="3" s="1"/>
  <c r="F5" i="3" s="1"/>
  <c r="AK24" i="1"/>
  <c r="AJ24" i="1"/>
  <c r="AI24" i="1"/>
  <c r="AH24" i="1"/>
  <c r="AG24" i="1"/>
  <c r="AF24" i="1"/>
  <c r="AE24" i="1"/>
  <c r="AD24" i="1"/>
  <c r="AC24" i="1"/>
  <c r="AB24" i="1"/>
  <c r="AA24" i="1"/>
  <c r="Z24" i="1"/>
  <c r="Y24" i="1"/>
  <c r="X24" i="1"/>
  <c r="W24" i="1"/>
  <c r="V24" i="1"/>
  <c r="U24" i="1"/>
  <c r="H24" i="1"/>
  <c r="H4" i="3" s="1"/>
  <c r="F24" i="1"/>
  <c r="C24" i="1"/>
  <c r="D4" i="3" s="1"/>
  <c r="AK23" i="1"/>
  <c r="AJ23" i="1"/>
  <c r="AI23" i="1"/>
  <c r="AH23" i="1"/>
  <c r="AG23" i="1"/>
  <c r="AF23" i="1"/>
  <c r="AE23" i="1"/>
  <c r="AD23" i="1"/>
  <c r="AC23" i="1"/>
  <c r="AB23" i="1"/>
  <c r="AA23" i="1"/>
  <c r="Z23" i="1"/>
  <c r="Y23" i="1"/>
  <c r="X23" i="1"/>
  <c r="W23" i="1"/>
  <c r="V23" i="1"/>
  <c r="U23" i="1"/>
  <c r="H23" i="1"/>
  <c r="H3" i="3" s="1"/>
  <c r="F23" i="1"/>
  <c r="C23" i="1"/>
  <c r="D3" i="3" s="1"/>
  <c r="F3" i="3" s="1"/>
  <c r="AK22" i="1"/>
  <c r="AJ22" i="1"/>
  <c r="AI22" i="1"/>
  <c r="AH22" i="1"/>
  <c r="AG22" i="1"/>
  <c r="AF22" i="1"/>
  <c r="AE22" i="1"/>
  <c r="AD22" i="1"/>
  <c r="AC22" i="1"/>
  <c r="AB22" i="1"/>
  <c r="AA22" i="1"/>
  <c r="Z22" i="1"/>
  <c r="Y22" i="1"/>
  <c r="X22" i="1"/>
  <c r="W22" i="1"/>
  <c r="V22" i="1"/>
  <c r="U22" i="1"/>
  <c r="H22" i="1"/>
  <c r="H2" i="3" s="1"/>
  <c r="F22" i="1"/>
  <c r="D22" i="1"/>
  <c r="C22" i="1"/>
  <c r="D2" i="3" s="1"/>
  <c r="AL19" i="1"/>
  <c r="AL18" i="1"/>
  <c r="AL17" i="1"/>
  <c r="AL16" i="1"/>
  <c r="AL15" i="1"/>
  <c r="AL14" i="1"/>
  <c r="AL13" i="1"/>
  <c r="AL12" i="1"/>
  <c r="AL11" i="1"/>
  <c r="AL10" i="1"/>
  <c r="AL9" i="1"/>
  <c r="AL8" i="1"/>
  <c r="AL7" i="1"/>
  <c r="AL6" i="1"/>
  <c r="AL5" i="1"/>
  <c r="AL4" i="1"/>
  <c r="AL3" i="1"/>
  <c r="E42" i="2" l="1"/>
  <c r="J39" i="2"/>
  <c r="G39" i="10"/>
  <c r="G45" i="10" s="1"/>
  <c r="G46" i="10" s="1"/>
  <c r="H38" i="5"/>
  <c r="K35" i="5"/>
  <c r="G39" i="8"/>
  <c r="G45" i="8" s="1"/>
  <c r="G46" i="8" s="1"/>
  <c r="G39" i="7"/>
  <c r="G45" i="7" s="1"/>
  <c r="G46" i="7" s="1"/>
  <c r="G39" i="9"/>
  <c r="G45" i="9" s="1"/>
  <c r="G46" i="9" s="1"/>
  <c r="F39" i="1"/>
  <c r="E42" i="1" s="1"/>
  <c r="H39" i="1"/>
  <c r="H45" i="1" s="1"/>
  <c r="E11" i="3"/>
  <c r="E15" i="3"/>
  <c r="E12" i="3"/>
  <c r="F12" i="3"/>
  <c r="E16" i="3"/>
  <c r="F16" i="3"/>
  <c r="E3" i="3"/>
  <c r="E7" i="3"/>
  <c r="E4" i="3"/>
  <c r="F4" i="3"/>
  <c r="E8" i="3"/>
  <c r="F8" i="3"/>
  <c r="F2" i="3"/>
  <c r="E5" i="3"/>
  <c r="F6" i="3"/>
  <c r="E9" i="3"/>
  <c r="F10" i="3"/>
  <c r="E13" i="3"/>
  <c r="F14" i="3"/>
  <c r="E17" i="3"/>
  <c r="F18" i="3"/>
  <c r="K40" i="1" l="1"/>
  <c r="I16" i="2"/>
  <c r="M12" i="2"/>
  <c r="Q8" i="2"/>
  <c r="D5" i="2"/>
  <c r="L19" i="2"/>
  <c r="C12" i="2"/>
  <c r="K4" i="2"/>
  <c r="G17" i="2"/>
  <c r="K13" i="2"/>
  <c r="R19" i="2"/>
  <c r="I12" i="2"/>
  <c r="Q4" i="2"/>
  <c r="L11" i="2"/>
  <c r="C17" i="2"/>
  <c r="O9" i="2"/>
  <c r="G3" i="2"/>
  <c r="K16" i="2"/>
  <c r="B9" i="2"/>
  <c r="P17" i="2"/>
  <c r="C14" i="2"/>
  <c r="G10" i="2"/>
  <c r="K6" i="2"/>
  <c r="M18" i="2"/>
  <c r="D11" i="2"/>
  <c r="L3" i="2"/>
  <c r="P16" i="2"/>
  <c r="C13" i="2"/>
  <c r="B19" i="2"/>
  <c r="J11" i="2"/>
  <c r="R3" i="2"/>
  <c r="N9" i="2"/>
  <c r="D16" i="2"/>
  <c r="G9" i="2"/>
  <c r="G5" i="2"/>
  <c r="L15" i="2"/>
  <c r="C8" i="2"/>
  <c r="N12" i="2"/>
  <c r="H8" i="2"/>
  <c r="E17" i="2"/>
  <c r="M9" i="2"/>
  <c r="M16" i="2"/>
  <c r="D9" i="2"/>
  <c r="G16" i="2"/>
  <c r="C9" i="2"/>
  <c r="Q18" i="2"/>
  <c r="B16" i="2"/>
  <c r="H3" i="2"/>
  <c r="E9" i="2"/>
  <c r="J18" i="2"/>
  <c r="N4" i="2"/>
  <c r="E14" i="2"/>
  <c r="P18" i="2"/>
  <c r="K5" i="2"/>
  <c r="B12" i="2"/>
  <c r="B4" i="2"/>
  <c r="K15" i="2"/>
  <c r="G7" i="2"/>
  <c r="F16" i="2"/>
  <c r="N8" i="2"/>
  <c r="J19" i="2"/>
  <c r="R11" i="2"/>
  <c r="I4" i="2"/>
  <c r="O13" i="2"/>
  <c r="N6" i="2"/>
  <c r="J9" i="2"/>
  <c r="J4" i="2"/>
  <c r="Q5" i="2"/>
  <c r="D3" i="2"/>
  <c r="K9" i="2"/>
  <c r="G12" i="2"/>
  <c r="R16" i="2"/>
  <c r="F5" i="2"/>
  <c r="D10" i="2"/>
  <c r="H17" i="2"/>
  <c r="L13" i="2"/>
  <c r="P9" i="2"/>
  <c r="C6" i="2"/>
  <c r="N17" i="2"/>
  <c r="E10" i="2"/>
  <c r="F18" i="2"/>
  <c r="J14" i="2"/>
  <c r="N10" i="2"/>
  <c r="G14" i="2"/>
  <c r="O6" i="2"/>
  <c r="H15" i="2"/>
  <c r="R18" i="2"/>
  <c r="I11" i="2"/>
  <c r="E5" i="2"/>
  <c r="H4" i="2"/>
  <c r="M14" i="2"/>
  <c r="D7" i="2"/>
  <c r="Q16" i="2"/>
  <c r="D13" i="2"/>
  <c r="H9" i="2"/>
  <c r="L5" i="2"/>
  <c r="O16" i="2"/>
  <c r="F9" i="2"/>
  <c r="M19" i="2"/>
  <c r="Q15" i="2"/>
  <c r="D12" i="2"/>
  <c r="D17" i="2"/>
  <c r="L9" i="2"/>
  <c r="J13" i="2"/>
  <c r="B18" i="2"/>
  <c r="J10" i="2"/>
  <c r="F4" i="2"/>
  <c r="I3" i="2"/>
  <c r="N13" i="2"/>
  <c r="E6" i="2"/>
  <c r="L14" i="2"/>
  <c r="I5" i="2"/>
  <c r="C19" i="2"/>
  <c r="K11" i="2"/>
  <c r="B6" i="2"/>
  <c r="O14" i="2"/>
  <c r="F7" i="2"/>
  <c r="O8" i="2"/>
  <c r="Q11" i="2"/>
  <c r="P4" i="2"/>
  <c r="L7" i="2"/>
  <c r="F12" i="2"/>
  <c r="R12" i="2"/>
  <c r="N14" i="2"/>
  <c r="M7" i="2"/>
  <c r="I10" i="2"/>
  <c r="H6" i="2"/>
  <c r="O7" i="2"/>
  <c r="G18" i="2"/>
  <c r="O10" i="2"/>
  <c r="F3" i="2"/>
  <c r="G8" i="2"/>
  <c r="I15" i="2"/>
  <c r="E16" i="2"/>
  <c r="D19" i="2"/>
  <c r="G13" i="2"/>
  <c r="F6" i="2"/>
  <c r="N19" i="2"/>
  <c r="E12" i="2"/>
  <c r="M4" i="2"/>
  <c r="H7" i="2"/>
  <c r="R14" i="2"/>
  <c r="F15" i="2"/>
  <c r="F17" i="2"/>
  <c r="H12" i="2"/>
  <c r="H19" i="2"/>
  <c r="J16" i="2"/>
  <c r="G4" i="2"/>
  <c r="C3" i="2"/>
  <c r="H5" i="2"/>
  <c r="L8" i="2"/>
  <c r="F8" i="2"/>
  <c r="Q6" i="2"/>
  <c r="Q3" i="2"/>
  <c r="G11" i="2"/>
  <c r="R6" i="2"/>
  <c r="O11" i="2"/>
  <c r="J12" i="2"/>
  <c r="N15" i="2"/>
  <c r="K12" i="2"/>
  <c r="B17" i="2"/>
  <c r="P14" i="2"/>
  <c r="L16" i="2"/>
  <c r="P3" i="2"/>
  <c r="M17" i="2"/>
  <c r="J15" i="2"/>
  <c r="R7" i="2"/>
  <c r="R13" i="2"/>
  <c r="H16" i="2"/>
  <c r="C18" i="2"/>
  <c r="B3" i="2"/>
  <c r="E15" i="2"/>
  <c r="D8" i="2"/>
  <c r="Q10" i="2"/>
  <c r="B15" i="2"/>
  <c r="J7" i="2"/>
  <c r="B13" i="2"/>
  <c r="O17" i="2"/>
  <c r="F10" i="2"/>
  <c r="P5" i="2"/>
  <c r="F14" i="2"/>
  <c r="E7" i="2"/>
  <c r="R9" i="2"/>
  <c r="P10" i="2"/>
  <c r="G15" i="2"/>
  <c r="K18" i="2"/>
  <c r="J3" i="2"/>
  <c r="M5" i="2"/>
  <c r="O19" i="2"/>
  <c r="I14" i="2"/>
  <c r="R17" i="2"/>
  <c r="O15" i="2"/>
  <c r="O4" i="2"/>
  <c r="M13" i="2"/>
  <c r="K3" i="2"/>
  <c r="H14" i="2"/>
  <c r="R4" i="2"/>
  <c r="L17" i="2"/>
  <c r="C10" i="2"/>
  <c r="B5" i="2"/>
  <c r="B10" i="2"/>
  <c r="F13" i="2"/>
  <c r="Q17" i="2"/>
  <c r="M3" i="2"/>
  <c r="C11" i="2"/>
  <c r="M10" i="2"/>
  <c r="L6" i="2"/>
  <c r="C16" i="2"/>
  <c r="E13" i="2"/>
  <c r="K14" i="2"/>
  <c r="B7" i="2"/>
  <c r="P15" i="2"/>
  <c r="E19" i="2"/>
  <c r="M11" i="2"/>
  <c r="M8" i="2"/>
  <c r="C4" i="2"/>
  <c r="C7" i="2"/>
  <c r="O12" i="2"/>
  <c r="R15" i="2"/>
  <c r="I8" i="2"/>
  <c r="Q14" i="2"/>
  <c r="N18" i="2"/>
  <c r="E11" i="2"/>
  <c r="N7" i="2"/>
  <c r="Q19" i="2"/>
  <c r="D6" i="2"/>
  <c r="P11" i="2"/>
  <c r="R8" i="2"/>
  <c r="I13" i="2"/>
  <c r="Q12" i="2"/>
  <c r="M15" i="2"/>
  <c r="H11" i="2"/>
  <c r="N16" i="2"/>
  <c r="R10" i="2"/>
  <c r="M6" i="2"/>
  <c r="K19" i="2"/>
  <c r="G19" i="2"/>
  <c r="J6" i="2"/>
  <c r="Q7" i="2"/>
  <c r="E8" i="2"/>
  <c r="K7" i="2"/>
  <c r="D14" i="2"/>
  <c r="E18" i="2"/>
  <c r="P19" i="2"/>
  <c r="I9" i="2"/>
  <c r="F19" i="2"/>
  <c r="N11" i="2"/>
  <c r="E4" i="2"/>
  <c r="I6" i="2"/>
  <c r="L12" i="2"/>
  <c r="K10" i="2"/>
  <c r="P7" i="2"/>
  <c r="P8" i="2"/>
  <c r="I18" i="2"/>
  <c r="O18" i="2"/>
  <c r="F11" i="2"/>
  <c r="N3" i="2"/>
  <c r="J5" i="2"/>
  <c r="B14" i="2"/>
  <c r="H13" i="2"/>
  <c r="R5" i="2"/>
  <c r="B8" i="2"/>
  <c r="J17" i="2"/>
  <c r="H18" i="2"/>
  <c r="L4" i="2"/>
  <c r="P6" i="2"/>
  <c r="B11" i="2"/>
  <c r="I19" i="2"/>
  <c r="D15" i="2"/>
  <c r="I7" i="2"/>
  <c r="J8" i="2"/>
  <c r="C15" i="2"/>
  <c r="Q13" i="2"/>
  <c r="I17" i="2"/>
  <c r="Q9" i="2"/>
  <c r="D18" i="2"/>
  <c r="L10" i="2"/>
  <c r="D4" i="2"/>
  <c r="P13" i="2"/>
  <c r="G6" i="2"/>
  <c r="K17" i="2"/>
  <c r="O3" i="2"/>
  <c r="N5" i="2"/>
  <c r="H10" i="2"/>
  <c r="L18" i="2"/>
  <c r="C5" i="2"/>
  <c r="P12" i="2"/>
  <c r="O5" i="2"/>
  <c r="K8" i="2"/>
  <c r="E3" i="2"/>
  <c r="J18" i="1"/>
  <c r="H11" i="1"/>
  <c r="L7" i="1"/>
  <c r="N14" i="1"/>
  <c r="G12" i="1"/>
  <c r="G19" i="1"/>
  <c r="G3" i="1"/>
  <c r="J14" i="1"/>
  <c r="J13" i="1"/>
  <c r="L3" i="1"/>
  <c r="F19" i="1"/>
  <c r="I19" i="1"/>
  <c r="I3" i="1"/>
  <c r="I10" i="1"/>
  <c r="P6" i="1"/>
  <c r="K17" i="1"/>
  <c r="C12" i="1"/>
  <c r="C3" i="1"/>
  <c r="B6" i="1"/>
  <c r="O17" i="1"/>
  <c r="M9" i="1"/>
  <c r="R8" i="1"/>
  <c r="Q13" i="1"/>
  <c r="M15" i="1"/>
  <c r="E17" i="1"/>
  <c r="E12" i="1"/>
  <c r="K16" i="1"/>
  <c r="H12" i="1"/>
  <c r="C18" i="1"/>
  <c r="P17" i="1"/>
  <c r="P14" i="1"/>
  <c r="O7" i="1"/>
  <c r="M12" i="1"/>
  <c r="E14" i="1"/>
  <c r="Q3" i="1"/>
  <c r="F7" i="1"/>
  <c r="R7" i="1"/>
  <c r="M10" i="1"/>
  <c r="P15" i="1"/>
  <c r="N8" i="1"/>
  <c r="B9" i="1"/>
  <c r="J16" i="1"/>
  <c r="H10" i="1"/>
  <c r="G6" i="1"/>
  <c r="G5" i="1"/>
  <c r="H15" i="1"/>
  <c r="F8" i="1"/>
  <c r="D8" i="1"/>
  <c r="L15" i="1"/>
  <c r="L8" i="1"/>
  <c r="I5" i="1"/>
  <c r="I4" i="1"/>
  <c r="K14" i="1"/>
  <c r="L10" i="1"/>
  <c r="C7" i="1"/>
  <c r="P9" i="1"/>
  <c r="O14" i="1"/>
  <c r="M17" i="1"/>
  <c r="J3" i="1"/>
  <c r="E10" i="1"/>
  <c r="Q17" i="1"/>
  <c r="J5" i="1"/>
  <c r="D6" i="1"/>
  <c r="E5" i="1"/>
  <c r="P10" i="1"/>
  <c r="P3" i="1"/>
  <c r="G7" i="1"/>
  <c r="D9" i="1"/>
  <c r="H5" i="1"/>
  <c r="I7" i="1"/>
  <c r="P12" i="1"/>
  <c r="C11" i="1"/>
  <c r="H18" i="1"/>
  <c r="E18" i="1"/>
  <c r="J11" i="1"/>
  <c r="J19" i="1"/>
  <c r="O15" i="1"/>
  <c r="E7" i="1"/>
  <c r="E4" i="1"/>
  <c r="J10" i="1"/>
  <c r="D3" i="1"/>
  <c r="G10" i="1"/>
  <c r="D17" i="1"/>
  <c r="N11" i="1"/>
  <c r="N15" i="1"/>
  <c r="I8" i="1"/>
  <c r="N17" i="1"/>
  <c r="C15" i="1"/>
  <c r="R11" i="1"/>
  <c r="E3" i="1"/>
  <c r="F17" i="1"/>
  <c r="L14" i="1"/>
  <c r="K4" i="1"/>
  <c r="R15" i="1"/>
  <c r="C6" i="1"/>
  <c r="L19" i="1"/>
  <c r="O4" i="1"/>
  <c r="H8" i="1"/>
  <c r="H3" i="1"/>
  <c r="Q14" i="1"/>
  <c r="M3" i="1"/>
  <c r="L9" i="1"/>
  <c r="P5" i="1"/>
  <c r="R13" i="1"/>
  <c r="G15" i="1"/>
  <c r="N12" i="1"/>
  <c r="H17" i="1"/>
  <c r="I15" i="1"/>
  <c r="F3" i="1"/>
  <c r="K9" i="1"/>
  <c r="C4" i="1"/>
  <c r="O18" i="1"/>
  <c r="M16" i="1"/>
  <c r="Q5" i="1"/>
  <c r="D18" i="1"/>
  <c r="K15" i="1"/>
  <c r="C10" i="1"/>
  <c r="F14" i="1"/>
  <c r="J15" i="1"/>
  <c r="R6" i="1"/>
  <c r="M11" i="1"/>
  <c r="B14" i="1"/>
  <c r="N6" i="1"/>
  <c r="L5" i="1"/>
  <c r="G17" i="1"/>
  <c r="P18" i="1"/>
  <c r="B12" i="1"/>
  <c r="H14" i="1"/>
  <c r="H7" i="1"/>
  <c r="G11" i="1"/>
  <c r="R10" i="1"/>
  <c r="P13" i="1"/>
  <c r="I11" i="1"/>
  <c r="R19" i="1"/>
  <c r="J7" i="1"/>
  <c r="D15" i="1"/>
  <c r="B19" i="1"/>
  <c r="J9" i="1"/>
  <c r="M6" i="1"/>
  <c r="B11" i="1"/>
  <c r="B3" i="1"/>
  <c r="N10" i="1"/>
  <c r="L4" i="1"/>
  <c r="Q19" i="1"/>
  <c r="M18" i="1"/>
  <c r="H19" i="1"/>
  <c r="D16" i="1"/>
  <c r="H9" i="1"/>
  <c r="G13" i="1"/>
  <c r="P11" i="1"/>
  <c r="J4" i="1"/>
  <c r="I13" i="1"/>
  <c r="F9" i="1"/>
  <c r="C16" i="1"/>
  <c r="F11" i="1"/>
  <c r="M8" i="1"/>
  <c r="L16" i="1"/>
  <c r="M14" i="1"/>
  <c r="D13" i="1"/>
  <c r="G16" i="1"/>
  <c r="B17" i="1"/>
  <c r="I14" i="1"/>
  <c r="L11" i="1"/>
  <c r="D10" i="1"/>
  <c r="O8" i="1"/>
  <c r="Q11" i="1"/>
  <c r="L12" i="1"/>
  <c r="G9" i="1"/>
  <c r="D19" i="1"/>
  <c r="B5" i="1"/>
  <c r="H13" i="1"/>
  <c r="D5" i="1"/>
  <c r="D4" i="1"/>
  <c r="P4" i="1"/>
  <c r="J12" i="1"/>
  <c r="N9" i="1"/>
  <c r="N13" i="1"/>
  <c r="R17" i="1"/>
  <c r="G8" i="1"/>
  <c r="R9" i="1"/>
  <c r="I6" i="1"/>
  <c r="D14" i="1"/>
  <c r="O9" i="1"/>
  <c r="Q12" i="1"/>
  <c r="L6" i="1"/>
  <c r="F4" i="1"/>
  <c r="Q18" i="1"/>
  <c r="N19" i="1"/>
  <c r="G18" i="1"/>
  <c r="F6" i="1"/>
  <c r="I17" i="1"/>
  <c r="H16" i="1"/>
  <c r="K13" i="1"/>
  <c r="O6" i="1"/>
  <c r="Q9" i="1"/>
  <c r="M7" i="1"/>
  <c r="N7" i="1"/>
  <c r="K19" i="1"/>
  <c r="P8" i="1"/>
  <c r="C5" i="1"/>
  <c r="B8" i="1"/>
  <c r="O12" i="1"/>
  <c r="O3" i="1"/>
  <c r="M4" i="1"/>
  <c r="E6" i="1"/>
  <c r="Q15" i="1"/>
  <c r="N3" i="1"/>
  <c r="B15" i="1"/>
  <c r="R14" i="1"/>
  <c r="B4" i="1"/>
  <c r="G4" i="1"/>
  <c r="B18" i="1"/>
  <c r="D7" i="1"/>
  <c r="J6" i="1"/>
  <c r="I18" i="1"/>
  <c r="K10" i="1"/>
  <c r="C19" i="1"/>
  <c r="O10" i="1"/>
  <c r="E11" i="1"/>
  <c r="Q4" i="1"/>
  <c r="E8" i="1"/>
  <c r="K7" i="1"/>
  <c r="C9" i="1"/>
  <c r="O16" i="1"/>
  <c r="F5" i="1"/>
  <c r="Q10" i="1"/>
  <c r="E13" i="1"/>
  <c r="F12" i="1"/>
  <c r="R4" i="1"/>
  <c r="G14" i="1"/>
  <c r="R18" i="1"/>
  <c r="F15" i="1"/>
  <c r="J8" i="1"/>
  <c r="I12" i="1"/>
  <c r="K5" i="1"/>
  <c r="R16" i="1"/>
  <c r="O5" i="1"/>
  <c r="E19" i="1"/>
  <c r="Q8" i="1"/>
  <c r="E16" i="1"/>
  <c r="F18" i="1"/>
  <c r="F16" i="1"/>
  <c r="F10" i="1"/>
  <c r="R3" i="1"/>
  <c r="H6" i="1"/>
  <c r="R5" i="1"/>
  <c r="M5" i="1"/>
  <c r="L17" i="1"/>
  <c r="J17" i="1"/>
  <c r="B10" i="1"/>
  <c r="I9" i="1"/>
  <c r="C8" i="1"/>
  <c r="F13" i="1"/>
  <c r="L18" i="1"/>
  <c r="K11" i="1"/>
  <c r="C13" i="1"/>
  <c r="O11" i="1"/>
  <c r="Q7" i="1"/>
  <c r="N16" i="1"/>
  <c r="D11" i="1"/>
  <c r="P19" i="1"/>
  <c r="D12" i="1"/>
  <c r="K18" i="1"/>
  <c r="N18" i="1"/>
  <c r="B7" i="1"/>
  <c r="K8" i="1"/>
  <c r="C17" i="1"/>
  <c r="P16" i="1"/>
  <c r="H4" i="1"/>
  <c r="R12" i="1"/>
  <c r="L13" i="1"/>
  <c r="N4" i="1"/>
  <c r="I16" i="1"/>
  <c r="K6" i="1"/>
  <c r="N5" i="1"/>
  <c r="O13" i="1"/>
  <c r="Q16" i="1"/>
  <c r="E9" i="1"/>
  <c r="K12" i="1"/>
  <c r="K3" i="1"/>
  <c r="C14" i="1"/>
  <c r="B16" i="1"/>
  <c r="P7" i="1"/>
  <c r="O19" i="1"/>
  <c r="M13" i="1"/>
  <c r="E15" i="1"/>
  <c r="B13" i="1"/>
  <c r="Q6" i="1"/>
  <c r="M19" i="1"/>
  <c r="X41" i="1" l="1"/>
  <c r="E30" i="1"/>
  <c r="D30" i="1" s="1"/>
  <c r="X50" i="1"/>
  <c r="AA41" i="1"/>
  <c r="AK44" i="1"/>
  <c r="U52" i="1"/>
  <c r="AF47" i="1"/>
  <c r="AF55" i="1"/>
  <c r="AF40" i="1"/>
  <c r="AF48" i="1"/>
  <c r="AF56" i="1"/>
  <c r="AG40" i="1"/>
  <c r="Y44" i="1"/>
  <c r="AG50" i="1"/>
  <c r="E23" i="2"/>
  <c r="D23" i="2" s="1"/>
  <c r="AJ43" i="1"/>
  <c r="AJ47" i="1"/>
  <c r="AJ51" i="1"/>
  <c r="AJ55" i="1"/>
  <c r="AJ40" i="1"/>
  <c r="AJ44" i="1"/>
  <c r="AJ48" i="1"/>
  <c r="AJ52" i="1"/>
  <c r="AJ56" i="1"/>
  <c r="G38" i="1" s="1"/>
  <c r="G18" i="3" s="1"/>
  <c r="E38" i="1"/>
  <c r="D38" i="1" s="1"/>
  <c r="E31" i="2"/>
  <c r="D31" i="2" s="1"/>
  <c r="AA40" i="1"/>
  <c r="AK43" i="1"/>
  <c r="U50" i="1"/>
  <c r="E38" i="2"/>
  <c r="D38" i="2" s="1"/>
  <c r="E28" i="2"/>
  <c r="D28" i="2" s="1"/>
  <c r="X43" i="1"/>
  <c r="X51" i="1"/>
  <c r="X44" i="1"/>
  <c r="X52" i="1"/>
  <c r="Y42" i="1"/>
  <c r="AG46" i="1"/>
  <c r="AI53" i="1"/>
  <c r="AF41" i="1"/>
  <c r="AF49" i="1"/>
  <c r="AF42" i="1"/>
  <c r="AF50" i="1"/>
  <c r="E24" i="2"/>
  <c r="D24" i="2" s="1"/>
  <c r="AE41" i="1"/>
  <c r="AA45" i="1"/>
  <c r="AC52" i="1"/>
  <c r="AH40" i="1"/>
  <c r="AH44" i="1"/>
  <c r="AH48" i="1"/>
  <c r="AH52" i="1"/>
  <c r="G32" i="1" s="1"/>
  <c r="G12" i="3" s="1"/>
  <c r="E32" i="1"/>
  <c r="D32" i="1" s="1"/>
  <c r="AH56" i="1"/>
  <c r="AH41" i="1"/>
  <c r="AH45" i="1"/>
  <c r="AH49" i="1"/>
  <c r="AH53" i="1"/>
  <c r="Y41" i="1"/>
  <c r="AI44" i="1"/>
  <c r="AI51" i="1"/>
  <c r="U45" i="1"/>
  <c r="AG47" i="1"/>
  <c r="AC49" i="1"/>
  <c r="Y51" i="1"/>
  <c r="U53" i="1"/>
  <c r="E33" i="1"/>
  <c r="D33" i="1" s="1"/>
  <c r="AI54" i="1"/>
  <c r="AE56" i="1"/>
  <c r="V42" i="1"/>
  <c r="V46" i="1"/>
  <c r="V50" i="1"/>
  <c r="V54" i="1"/>
  <c r="V43" i="1"/>
  <c r="V47" i="1"/>
  <c r="V51" i="1"/>
  <c r="V55" i="1"/>
  <c r="U40" i="1"/>
  <c r="AI41" i="1"/>
  <c r="AE43" i="1"/>
  <c r="AI45" i="1"/>
  <c r="AA49" i="1"/>
  <c r="AK52" i="1"/>
  <c r="AC56" i="1"/>
  <c r="AD40" i="1"/>
  <c r="AD44" i="1"/>
  <c r="AD48" i="1"/>
  <c r="AD52" i="1"/>
  <c r="AD56" i="1"/>
  <c r="AD41" i="1"/>
  <c r="E28" i="1"/>
  <c r="D28" i="1" s="1"/>
  <c r="AD45" i="1"/>
  <c r="G28" i="1" s="1"/>
  <c r="G8" i="3" s="1"/>
  <c r="AD49" i="1"/>
  <c r="AD53" i="1"/>
  <c r="W41" i="1"/>
  <c r="G35" i="1" s="1"/>
  <c r="G15" i="3" s="1"/>
  <c r="E35" i="1"/>
  <c r="D35" i="1" s="1"/>
  <c r="AK42" i="1"/>
  <c r="AG44" i="1"/>
  <c r="U48" i="1"/>
  <c r="AE51" i="1"/>
  <c r="W55" i="1"/>
  <c r="X49" i="1"/>
  <c r="X42" i="1"/>
  <c r="E37" i="2"/>
  <c r="D37" i="2" s="1"/>
  <c r="X45" i="1"/>
  <c r="X53" i="1"/>
  <c r="X46" i="1"/>
  <c r="X54" i="1"/>
  <c r="E34" i="2"/>
  <c r="D34" i="2" s="1"/>
  <c r="W43" i="1"/>
  <c r="AC48" i="1"/>
  <c r="AE55" i="1"/>
  <c r="AF43" i="1"/>
  <c r="AF51" i="1"/>
  <c r="AF44" i="1"/>
  <c r="AF52" i="1"/>
  <c r="AC42" i="1"/>
  <c r="W47" i="1"/>
  <c r="Y54" i="1"/>
  <c r="AJ41" i="1"/>
  <c r="AJ45" i="1"/>
  <c r="AJ49" i="1"/>
  <c r="AJ53" i="1"/>
  <c r="AJ42" i="1"/>
  <c r="AJ46" i="1"/>
  <c r="AJ50" i="1"/>
  <c r="AJ54" i="1"/>
  <c r="E26" i="2"/>
  <c r="D26" i="2" s="1"/>
  <c r="W42" i="1"/>
  <c r="E24" i="1"/>
  <c r="D24" i="1" s="1"/>
  <c r="AC46" i="1"/>
  <c r="G24" i="1" s="1"/>
  <c r="G4" i="3" s="1"/>
  <c r="AE53" i="1"/>
  <c r="AK45" i="1"/>
  <c r="X47" i="1"/>
  <c r="X55" i="1"/>
  <c r="X40" i="1"/>
  <c r="X48" i="1"/>
  <c r="X56" i="1"/>
  <c r="AC40" i="1"/>
  <c r="U44" i="1"/>
  <c r="Y50" i="1"/>
  <c r="AF45" i="1"/>
  <c r="AF53" i="1"/>
  <c r="AF46" i="1"/>
  <c r="AF54" i="1"/>
  <c r="AA43" i="1"/>
  <c r="AK48" i="1"/>
  <c r="U56" i="1"/>
  <c r="AH42" i="1"/>
  <c r="AH46" i="1"/>
  <c r="AH50" i="1"/>
  <c r="AH54" i="1"/>
  <c r="AH43" i="1"/>
  <c r="AH47" i="1"/>
  <c r="AH51" i="1"/>
  <c r="AH55" i="1"/>
  <c r="U43" i="1"/>
  <c r="Y48" i="1"/>
  <c r="G25" i="1" s="1"/>
  <c r="G5" i="3" s="1"/>
  <c r="E25" i="1"/>
  <c r="D25" i="1" s="1"/>
  <c r="AA55" i="1"/>
  <c r="AI46" i="1"/>
  <c r="AE48" i="1"/>
  <c r="AA50" i="1"/>
  <c r="W52" i="1"/>
  <c r="AK53" i="1"/>
  <c r="AG55" i="1"/>
  <c r="V40" i="1"/>
  <c r="E34" i="1"/>
  <c r="D34" i="1" s="1"/>
  <c r="V44" i="1"/>
  <c r="V48" i="1"/>
  <c r="V52" i="1"/>
  <c r="V56" i="1"/>
  <c r="V41" i="1"/>
  <c r="V45" i="1"/>
  <c r="V49" i="1"/>
  <c r="V53" i="1"/>
  <c r="AK40" i="1"/>
  <c r="AG42" i="1"/>
  <c r="AC44" i="1"/>
  <c r="AE47" i="1"/>
  <c r="W51" i="1"/>
  <c r="AG54" i="1"/>
  <c r="AD42" i="1"/>
  <c r="AD46" i="1"/>
  <c r="AD50" i="1"/>
  <c r="AD54" i="1"/>
  <c r="AD43" i="1"/>
  <c r="AD47" i="1"/>
  <c r="AD51" i="1"/>
  <c r="AD55" i="1"/>
  <c r="Y40" i="1"/>
  <c r="U42" i="1"/>
  <c r="AI43" i="1"/>
  <c r="Y46" i="1"/>
  <c r="AI49" i="1"/>
  <c r="AA53" i="1"/>
  <c r="AK56" i="1"/>
  <c r="E33" i="2"/>
  <c r="D33" i="2" s="1"/>
  <c r="AB41" i="1"/>
  <c r="AB43" i="1"/>
  <c r="AB45" i="1"/>
  <c r="AB47" i="1"/>
  <c r="AB49" i="1"/>
  <c r="AB51" i="1"/>
  <c r="AB53" i="1"/>
  <c r="AB55" i="1"/>
  <c r="AB40" i="1"/>
  <c r="AB42" i="1"/>
  <c r="E26" i="1"/>
  <c r="D26" i="1" s="1"/>
  <c r="AB44" i="1"/>
  <c r="G26" i="1" s="1"/>
  <c r="G6" i="3" s="1"/>
  <c r="AB46" i="1"/>
  <c r="AB48" i="1"/>
  <c r="AB50" i="1"/>
  <c r="AB52" i="1"/>
  <c r="AB54" i="1"/>
  <c r="AB56" i="1"/>
  <c r="E29" i="2"/>
  <c r="D29" i="2" s="1"/>
  <c r="AG41" i="1"/>
  <c r="AC43" i="1"/>
  <c r="AE45" i="1"/>
  <c r="W49" i="1"/>
  <c r="AG52" i="1"/>
  <c r="Y56" i="1"/>
  <c r="AC45" i="1"/>
  <c r="Y47" i="1"/>
  <c r="U49" i="1"/>
  <c r="AI50" i="1"/>
  <c r="AE52" i="1"/>
  <c r="AA54" i="1"/>
  <c r="G34" i="1" s="1"/>
  <c r="G14" i="3" s="1"/>
  <c r="W56" i="1"/>
  <c r="AE40" i="1"/>
  <c r="AC41" i="1"/>
  <c r="AA42" i="1"/>
  <c r="Y43" i="1"/>
  <c r="W44" i="1"/>
  <c r="G30" i="1" s="1"/>
  <c r="G10" i="3" s="1"/>
  <c r="W45" i="1"/>
  <c r="AK46" i="1"/>
  <c r="AG48" i="1"/>
  <c r="AC50" i="1"/>
  <c r="Y52" i="1"/>
  <c r="U54" i="1"/>
  <c r="AI55" i="1"/>
  <c r="E30" i="2"/>
  <c r="D30" i="2" s="1"/>
  <c r="Y45" i="1"/>
  <c r="W46" i="1"/>
  <c r="U47" i="1"/>
  <c r="AK47" i="1"/>
  <c r="AI48" i="1"/>
  <c r="AG49" i="1"/>
  <c r="AE50" i="1"/>
  <c r="AC51" i="1"/>
  <c r="AA52" i="1"/>
  <c r="Y53" i="1"/>
  <c r="W54" i="1"/>
  <c r="U55" i="1"/>
  <c r="AK55" i="1"/>
  <c r="AI56" i="1"/>
  <c r="Z40" i="1"/>
  <c r="Z42" i="1"/>
  <c r="Z44" i="1"/>
  <c r="Z46" i="1"/>
  <c r="Z48" i="1"/>
  <c r="Z50" i="1"/>
  <c r="Z52" i="1"/>
  <c r="Z54" i="1"/>
  <c r="Z56" i="1"/>
  <c r="Z41" i="1"/>
  <c r="Z43" i="1"/>
  <c r="Z45" i="1"/>
  <c r="E27" i="1"/>
  <c r="D27" i="1" s="1"/>
  <c r="Z47" i="1"/>
  <c r="G27" i="1" s="1"/>
  <c r="G7" i="3" s="1"/>
  <c r="Z49" i="1"/>
  <c r="Z51" i="1"/>
  <c r="Z53" i="1"/>
  <c r="Z55" i="1"/>
  <c r="E27" i="2"/>
  <c r="D27" i="2" s="1"/>
  <c r="AI40" i="1"/>
  <c r="AE42" i="1"/>
  <c r="AA44" i="1"/>
  <c r="AA47" i="1"/>
  <c r="AK50" i="1"/>
  <c r="AC54" i="1"/>
  <c r="AA46" i="1"/>
  <c r="W48" i="1"/>
  <c r="AK49" i="1"/>
  <c r="AG51" i="1"/>
  <c r="AC53" i="1"/>
  <c r="Y55" i="1"/>
  <c r="E35" i="2"/>
  <c r="D35" i="2" s="1"/>
  <c r="E32" i="2"/>
  <c r="D32" i="2" s="1"/>
  <c r="W40" i="1"/>
  <c r="U41" i="1"/>
  <c r="AK41" i="1"/>
  <c r="E36" i="1"/>
  <c r="D36" i="1" s="1"/>
  <c r="AI42" i="1"/>
  <c r="E31" i="1"/>
  <c r="D31" i="1" s="1"/>
  <c r="AG43" i="1"/>
  <c r="G31" i="1" s="1"/>
  <c r="G11" i="3" s="1"/>
  <c r="AE44" i="1"/>
  <c r="U46" i="1"/>
  <c r="AI47" i="1"/>
  <c r="AE49" i="1"/>
  <c r="G29" i="1" s="1"/>
  <c r="G9" i="3" s="1"/>
  <c r="E29" i="1"/>
  <c r="D29" i="1" s="1"/>
  <c r="E23" i="1"/>
  <c r="D23" i="1" s="1"/>
  <c r="AA51" i="1"/>
  <c r="G23" i="1" s="1"/>
  <c r="W53" i="1"/>
  <c r="E37" i="1"/>
  <c r="D37" i="1" s="1"/>
  <c r="AK54" i="1"/>
  <c r="G37" i="1" s="1"/>
  <c r="G17" i="3" s="1"/>
  <c r="AG56" i="1"/>
  <c r="AG45" i="1"/>
  <c r="AE46" i="1"/>
  <c r="AC47" i="1"/>
  <c r="AA48" i="1"/>
  <c r="Y49" i="1"/>
  <c r="W50" i="1"/>
  <c r="U51" i="1"/>
  <c r="AK51" i="1"/>
  <c r="AI52" i="1"/>
  <c r="AG53" i="1"/>
  <c r="AE54" i="1"/>
  <c r="AC55" i="1"/>
  <c r="AA56" i="1"/>
  <c r="E36" i="2"/>
  <c r="D36" i="2" s="1"/>
  <c r="E25" i="2"/>
  <c r="D25" i="2" s="1"/>
  <c r="D39" i="1" l="1"/>
  <c r="G33" i="1"/>
  <c r="G13" i="3" s="1"/>
  <c r="G3" i="3"/>
  <c r="G36" i="1"/>
  <c r="G16" i="3" s="1"/>
  <c r="C42" i="1"/>
  <c r="H42" i="1" s="1"/>
  <c r="K39" i="1"/>
  <c r="D39" i="2"/>
  <c r="C42" i="2" l="1"/>
  <c r="H42" i="2" s="1"/>
  <c r="J38" i="2"/>
  <c r="G39" i="1"/>
  <c r="G45" i="1" s="1"/>
  <c r="G46" i="1" s="1"/>
</calcChain>
</file>

<file path=xl/sharedStrings.xml><?xml version="1.0" encoding="utf-8"?>
<sst xmlns="http://schemas.openxmlformats.org/spreadsheetml/2006/main" count="859" uniqueCount="92">
  <si>
    <t>times</t>
  </si>
  <si>
    <t>distance</t>
  </si>
  <si>
    <t>distance (abs)</t>
  </si>
  <si>
    <t>weights</t>
  </si>
  <si>
    <t>time factor</t>
  </si>
  <si>
    <t>Ride Number</t>
  </si>
  <si>
    <t>Ride number</t>
  </si>
  <si>
    <t>ride number</t>
  </si>
  <si>
    <t>Solution</t>
  </si>
  <si>
    <t>name</t>
  </si>
  <si>
    <t>Distance Matrix (in walking minutes)</t>
  </si>
  <si>
    <t>Time Matrix (waiting in mins.)</t>
  </si>
  <si>
    <t>time of the day</t>
  </si>
  <si>
    <t xml:space="preserve">average wait time </t>
  </si>
  <si>
    <t>Indian Jones</t>
  </si>
  <si>
    <t>Jungle Cruise</t>
  </si>
  <si>
    <t>Tiki room</t>
  </si>
  <si>
    <t>Splash Mtn</t>
  </si>
  <si>
    <t>Alice in Wonderland</t>
  </si>
  <si>
    <t>Dumbo</t>
  </si>
  <si>
    <t>Small World</t>
  </si>
  <si>
    <t>Mad Tea</t>
  </si>
  <si>
    <t>Matterhorn</t>
  </si>
  <si>
    <t>Peter Pan</t>
  </si>
  <si>
    <t>Thunder Mtn</t>
  </si>
  <si>
    <t>Toon Spin</t>
  </si>
  <si>
    <t>Haunted Mansion</t>
  </si>
  <si>
    <t>Pirates</t>
  </si>
  <si>
    <t>Buzz Lightyear</t>
  </si>
  <si>
    <t>Space Mtn</t>
  </si>
  <si>
    <t>Star Tours</t>
  </si>
  <si>
    <t>walking</t>
  </si>
  <si>
    <t>waiting</t>
  </si>
  <si>
    <t>Line</t>
  </si>
  <si>
    <t>Line Group (Path ID)</t>
  </si>
  <si>
    <t>Order of Points</t>
  </si>
  <si>
    <t>attraction</t>
  </si>
  <si>
    <t>lat</t>
  </si>
  <si>
    <t>long</t>
  </si>
  <si>
    <t>Indiana Jones</t>
  </si>
  <si>
    <t>Ride List</t>
  </si>
  <si>
    <t>Distance Matrix (in meters)</t>
  </si>
  <si>
    <t>Walking Distance</t>
  </si>
  <si>
    <t>Wait Time</t>
  </si>
  <si>
    <t>https://www.parkgeni.us/disney-world/magic-kingdom/astro-orbiter/wait-times/2018-12-18</t>
  </si>
  <si>
    <t>https://www.parkgeni.us/disney-world/magic-kingdom/big-thunder-mountain-railroad/wait-times/2018-12-18</t>
  </si>
  <si>
    <t>https://www.parkgeni.us/disney-world/magic-kingdom/buzz-lightyears-space-ranger-spin/wait-times/2018-12-18</t>
  </si>
  <si>
    <t>https://www.parkgeni.us/disney-world/magic-kingdom/dumbo-the-flying-elephant/wait-times/2018-12-18</t>
  </si>
  <si>
    <t>https://www.parkgeni.us/disney-world/magic-kingdom/haunted-mansion/wait-times/2018-12-18</t>
  </si>
  <si>
    <t>https://www.parkgeni.us/disney-world/magic-kingdom/its-a-small-world/wait-times/2018-12-18</t>
  </si>
  <si>
    <t>https://www.parkgeni.us/disney-world/magic-kingdom/jungle-cruise/wait-times/2018-12-18</t>
  </si>
  <si>
    <t>https://www.parkgeni.us/disney-world/magic-kingdom/monsters-inc-laugh-floor/wait-times/2018-12-18</t>
  </si>
  <si>
    <t>https://www.parkgeni.us/disney-world/magic-kingdom/peter-pans-flight/wait-times/2018-12-18</t>
  </si>
  <si>
    <t>https://www.parkgeni.us/disney-world/magic-kingdom/pirates-of-the-caribbean/wait-times/2018-12-18</t>
  </si>
  <si>
    <t>https://www.parkgeni.us/disney-world/magic-kingdom/seven-dwarfs-mine-train/wait-times/2018-12-18</t>
  </si>
  <si>
    <t>https://www.parkgeni.us/disney-world/magic-kingdom/space-mountain/wait-times/2018-12-18</t>
  </si>
  <si>
    <t>https://www.parkgeni.us/disney-world/magic-kingdom/splash-mountain/wait-times/2018-12-18</t>
  </si>
  <si>
    <t>https://www.parkgeni.us/disney-world/magic-kingdom/the-many-adventures-of-winnie-the-pooh/wait-times/2018-12-18</t>
  </si>
  <si>
    <t>https://www.parkgeni.us/disney-world/magic-kingdom/tomorrowland-speedway/wait-times/2018-12-18</t>
  </si>
  <si>
    <t>distance (m)</t>
  </si>
  <si>
    <t>wait time (min)</t>
  </si>
  <si>
    <t>distance (norm)</t>
  </si>
  <si>
    <t>distance % of total</t>
  </si>
  <si>
    <t>waitTimes (norm)</t>
  </si>
  <si>
    <t>dist convt. Ft</t>
  </si>
  <si>
    <t>dist convt mi</t>
  </si>
  <si>
    <t>time convt hrs</t>
  </si>
  <si>
    <t>% walking (3-6)</t>
  </si>
  <si>
    <t>% waiting (3-6)</t>
  </si>
  <si>
    <t>astro-orbiter</t>
  </si>
  <si>
    <t>big-thunder-mountain-railroad</t>
  </si>
  <si>
    <t>buzz-lightyears-space-ranger-spin</t>
  </si>
  <si>
    <t>dumbo-the-flying-elephant</t>
  </si>
  <si>
    <t>haunted-mansion</t>
  </si>
  <si>
    <t>its-a-small-world</t>
  </si>
  <si>
    <t>jungle-cruise</t>
  </si>
  <si>
    <t>monsters-inc-laugh-floor</t>
  </si>
  <si>
    <t>peter-pans-flight</t>
  </si>
  <si>
    <t>pirates-of-the-caribbean</t>
  </si>
  <si>
    <t>seven-dwarfs-mine-train</t>
  </si>
  <si>
    <t>space-mountain</t>
  </si>
  <si>
    <t>splash-mountain</t>
  </si>
  <si>
    <t>the-many-adventures-of-winnie-the-pooh</t>
  </si>
  <si>
    <t>tomorrowland-speedway</t>
  </si>
  <si>
    <t>Lat</t>
  </si>
  <si>
    <t>Long</t>
  </si>
  <si>
    <t>Scenario1</t>
  </si>
  <si>
    <t>Scenario2</t>
  </si>
  <si>
    <t>Scenario3</t>
  </si>
  <si>
    <t>Scenario4</t>
  </si>
  <si>
    <t>DL</t>
  </si>
  <si>
    <t>MK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</si>
</sst>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00"/>
    <numFmt numFmtId="165" formatCode="0.000"/>
    <numFmt numFmtId="166" formatCode="0.0000"/>
  </numFmts>
  <fonts count="11">
    <font>
      <sz val="11"/>
      <color theme="1"/>
      <name val="MS Office Symbol Regular"/>
      <family val="2"/>
    </font>
    <font>
      <b/>
      <sz val="11"/>
      <color theme="1"/>
      <name val="MS Office Symbol Regular"/>
    </font>
    <font>
      <b/>
      <sz val="11"/>
      <color theme="1"/>
      <name val="MS Office Symbol Regular"/>
      <family val="2"/>
    </font>
    <font>
      <b/>
      <sz val="18"/>
      <color theme="1"/>
      <name val="MS Office Symbol Regular"/>
      <family val="2"/>
    </font>
    <font>
      <sz val="11"/>
      <color rgb="FF0070C0"/>
      <name val="MS Office Symbol Regular"/>
    </font>
    <font>
      <b/>
      <sz val="11"/>
      <color rgb="FF0070C0"/>
      <name val="MS Office Symbol Regular"/>
    </font>
    <font>
      <b/>
      <sz val="11"/>
      <color rgb="FF00B050"/>
      <name val="MS Office Symbol Regular"/>
    </font>
    <font>
      <sz val="11"/>
      <color rgb="FF00B050"/>
      <name val="MS Office Symbol Regular"/>
    </font>
    <font>
      <sz val="11"/>
      <name val="MS Office Symbol Regular"/>
    </font>
    <font>
      <b/>
      <sz val="11"/>
      <name val="MS Office Symbol Regular"/>
    </font>
    <font>
      <sz val="11"/>
      <color rgb="FF00B050"/>
      <name val="MS Office Symbol Regular"/>
      <family val="2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5" tint="0.39997558519241921"/>
        <bgColor indexed="64"/>
      </patternFill>
    </fill>
  </fills>
  <borders count="3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66">
    <xf numFmtId="0" fontId="0" fillId="0" borderId="0" xfId="0"/>
    <xf numFmtId="0" fontId="0" fillId="0" borderId="2" xfId="0" applyBorder="1"/>
    <xf numFmtId="0" fontId="0" fillId="2" borderId="0" xfId="0" applyFill="1" applyBorder="1"/>
    <xf numFmtId="0" fontId="0" fillId="3" borderId="1" xfId="0" applyFill="1" applyBorder="1"/>
    <xf numFmtId="0" fontId="0" fillId="5" borderId="0" xfId="0" applyFill="1" applyBorder="1"/>
    <xf numFmtId="0" fontId="0" fillId="4" borderId="0" xfId="0" applyFill="1" applyBorder="1"/>
    <xf numFmtId="0" fontId="0" fillId="3" borderId="0" xfId="0" applyFill="1" applyBorder="1"/>
    <xf numFmtId="0" fontId="0" fillId="0" borderId="0" xfId="0" applyFill="1" applyBorder="1"/>
    <xf numFmtId="0" fontId="0" fillId="0" borderId="0" xfId="0" applyBorder="1"/>
    <xf numFmtId="0" fontId="1" fillId="0" borderId="4" xfId="0" applyFont="1" applyBorder="1" applyAlignment="1">
      <alignment wrapText="1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4" borderId="9" xfId="0" applyFill="1" applyBorder="1"/>
    <xf numFmtId="0" fontId="0" fillId="0" borderId="8" xfId="0" applyBorder="1"/>
    <xf numFmtId="0" fontId="0" fillId="4" borderId="10" xfId="0" applyFill="1" applyBorder="1"/>
    <xf numFmtId="0" fontId="0" fillId="0" borderId="11" xfId="0" applyBorder="1"/>
    <xf numFmtId="0" fontId="0" fillId="0" borderId="12" xfId="0" applyBorder="1"/>
    <xf numFmtId="0" fontId="0" fillId="3" borderId="13" xfId="0" applyFill="1" applyBorder="1"/>
    <xf numFmtId="0" fontId="0" fillId="2" borderId="1" xfId="0" applyFill="1" applyBorder="1"/>
    <xf numFmtId="0" fontId="0" fillId="0" borderId="15" xfId="0" applyBorder="1"/>
    <xf numFmtId="0" fontId="0" fillId="0" borderId="16" xfId="0" applyBorder="1"/>
    <xf numFmtId="0" fontId="0" fillId="2" borderId="14" xfId="0" applyFill="1" applyBorder="1"/>
    <xf numFmtId="0" fontId="2" fillId="0" borderId="0" xfId="0" applyFont="1" applyAlignment="1">
      <alignment vertical="center" wrapText="1"/>
    </xf>
    <xf numFmtId="164" fontId="0" fillId="0" borderId="0" xfId="0" applyNumberFormat="1"/>
    <xf numFmtId="0" fontId="0" fillId="0" borderId="18" xfId="0" applyBorder="1"/>
    <xf numFmtId="0" fontId="0" fillId="0" borderId="19" xfId="0" applyBorder="1"/>
    <xf numFmtId="2" fontId="1" fillId="0" borderId="14" xfId="0" applyNumberFormat="1" applyFont="1" applyBorder="1"/>
    <xf numFmtId="2" fontId="0" fillId="0" borderId="14" xfId="0" applyNumberFormat="1" applyBorder="1"/>
    <xf numFmtId="2" fontId="0" fillId="0" borderId="15" xfId="0" applyNumberFormat="1" applyBorder="1"/>
    <xf numFmtId="2" fontId="0" fillId="0" borderId="0" xfId="0" applyNumberFormat="1" applyBorder="1"/>
    <xf numFmtId="2" fontId="1" fillId="0" borderId="0" xfId="0" applyNumberFormat="1" applyFont="1" applyBorder="1"/>
    <xf numFmtId="2" fontId="0" fillId="0" borderId="2" xfId="0" applyNumberFormat="1" applyBorder="1"/>
    <xf numFmtId="2" fontId="0" fillId="0" borderId="1" xfId="0" applyNumberFormat="1" applyBorder="1"/>
    <xf numFmtId="2" fontId="1" fillId="0" borderId="16" xfId="0" applyNumberFormat="1" applyFont="1" applyBorder="1"/>
    <xf numFmtId="166" fontId="0" fillId="0" borderId="14" xfId="0" applyNumberFormat="1" applyBorder="1"/>
    <xf numFmtId="166" fontId="0" fillId="0" borderId="0" xfId="0" applyNumberFormat="1" applyBorder="1"/>
    <xf numFmtId="166" fontId="0" fillId="0" borderId="1" xfId="0" applyNumberFormat="1" applyBorder="1"/>
    <xf numFmtId="2" fontId="0" fillId="0" borderId="0" xfId="0" applyNumberFormat="1"/>
    <xf numFmtId="1" fontId="0" fillId="0" borderId="2" xfId="0" applyNumberFormat="1" applyBorder="1"/>
    <xf numFmtId="0" fontId="2" fillId="7" borderId="20" xfId="0" applyFont="1" applyFill="1" applyBorder="1" applyAlignment="1">
      <alignment wrapText="1"/>
    </xf>
    <xf numFmtId="0" fontId="0" fillId="0" borderId="23" xfId="0" applyBorder="1"/>
    <xf numFmtId="0" fontId="0" fillId="3" borderId="18" xfId="0" applyFill="1" applyBorder="1"/>
    <xf numFmtId="0" fontId="0" fillId="3" borderId="19" xfId="0" applyFill="1" applyBorder="1"/>
    <xf numFmtId="0" fontId="1" fillId="0" borderId="8" xfId="0" applyFont="1" applyBorder="1"/>
    <xf numFmtId="0" fontId="0" fillId="6" borderId="0" xfId="0" applyFill="1" applyBorder="1"/>
    <xf numFmtId="166" fontId="0" fillId="0" borderId="11" xfId="0" applyNumberFormat="1" applyBorder="1"/>
    <xf numFmtId="0" fontId="0" fillId="2" borderId="24" xfId="0" applyFill="1" applyBorder="1"/>
    <xf numFmtId="0" fontId="3" fillId="0" borderId="0" xfId="0" applyFont="1" applyAlignment="1">
      <alignment vertical="center"/>
    </xf>
    <xf numFmtId="0" fontId="0" fillId="4" borderId="23" xfId="0" applyFill="1" applyBorder="1"/>
    <xf numFmtId="0" fontId="0" fillId="3" borderId="17" xfId="0" applyFill="1" applyBorder="1"/>
    <xf numFmtId="0" fontId="4" fillId="0" borderId="18" xfId="0" applyFont="1" applyBorder="1"/>
    <xf numFmtId="0" fontId="5" fillId="0" borderId="4" xfId="0" applyFont="1" applyBorder="1" applyAlignment="1">
      <alignment wrapText="1"/>
    </xf>
    <xf numFmtId="0" fontId="4" fillId="0" borderId="5" xfId="0" applyFont="1" applyBorder="1"/>
    <xf numFmtId="0" fontId="4" fillId="3" borderId="1" xfId="0" applyFont="1" applyFill="1" applyBorder="1"/>
    <xf numFmtId="0" fontId="4" fillId="3" borderId="13" xfId="0" applyFont="1" applyFill="1" applyBorder="1"/>
    <xf numFmtId="0" fontId="4" fillId="0" borderId="7" xfId="0" applyFont="1" applyBorder="1"/>
    <xf numFmtId="0" fontId="4" fillId="3" borderId="0" xfId="0" applyFont="1" applyFill="1" applyBorder="1"/>
    <xf numFmtId="0" fontId="4" fillId="4" borderId="0" xfId="0" applyFont="1" applyFill="1" applyBorder="1"/>
    <xf numFmtId="0" fontId="4" fillId="4" borderId="9" xfId="0" applyFont="1" applyFill="1" applyBorder="1"/>
    <xf numFmtId="0" fontId="4" fillId="4" borderId="10" xfId="0" applyFont="1" applyFill="1" applyBorder="1"/>
    <xf numFmtId="0" fontId="4" fillId="0" borderId="0" xfId="0" applyFont="1" applyBorder="1"/>
    <xf numFmtId="0" fontId="4" fillId="0" borderId="8" xfId="0" applyFont="1" applyBorder="1"/>
    <xf numFmtId="0" fontId="4" fillId="0" borderId="0" xfId="0" applyFont="1" applyFill="1" applyBorder="1"/>
    <xf numFmtId="0" fontId="4" fillId="0" borderId="11" xfId="0" applyFont="1" applyBorder="1"/>
    <xf numFmtId="0" fontId="4" fillId="0" borderId="12" xfId="0" applyFont="1" applyBorder="1"/>
    <xf numFmtId="0" fontId="4" fillId="0" borderId="0" xfId="0" applyFont="1"/>
    <xf numFmtId="0" fontId="5" fillId="0" borderId="17" xfId="0" applyFont="1" applyBorder="1" applyAlignment="1">
      <alignment wrapText="1"/>
    </xf>
    <xf numFmtId="2" fontId="4" fillId="0" borderId="0" xfId="0" applyNumberFormat="1" applyFont="1"/>
    <xf numFmtId="0" fontId="4" fillId="3" borderId="17" xfId="0" applyFont="1" applyFill="1" applyBorder="1"/>
    <xf numFmtId="0" fontId="4" fillId="3" borderId="18" xfId="0" applyFont="1" applyFill="1" applyBorder="1"/>
    <xf numFmtId="0" fontId="4" fillId="6" borderId="0" xfId="0" applyFont="1" applyFill="1" applyBorder="1"/>
    <xf numFmtId="165" fontId="6" fillId="0" borderId="14" xfId="0" applyNumberFormat="1" applyFont="1" applyBorder="1"/>
    <xf numFmtId="165" fontId="7" fillId="0" borderId="14" xfId="0" applyNumberFormat="1" applyFont="1" applyBorder="1"/>
    <xf numFmtId="165" fontId="7" fillId="0" borderId="0" xfId="0" applyNumberFormat="1" applyFont="1" applyBorder="1"/>
    <xf numFmtId="165" fontId="6" fillId="0" borderId="0" xfId="0" applyNumberFormat="1" applyFont="1" applyBorder="1"/>
    <xf numFmtId="165" fontId="7" fillId="0" borderId="1" xfId="0" applyNumberFormat="1" applyFont="1" applyBorder="1"/>
    <xf numFmtId="165" fontId="6" fillId="0" borderId="1" xfId="0" applyNumberFormat="1" applyFont="1" applyBorder="1"/>
    <xf numFmtId="0" fontId="8" fillId="0" borderId="0" xfId="0" applyFont="1" applyBorder="1"/>
    <xf numFmtId="0" fontId="8" fillId="0" borderId="8" xfId="0" applyFont="1" applyBorder="1"/>
    <xf numFmtId="0" fontId="8" fillId="0" borderId="11" xfId="0" applyFont="1" applyBorder="1"/>
    <xf numFmtId="0" fontId="8" fillId="0" borderId="12" xfId="0" applyFont="1" applyBorder="1"/>
    <xf numFmtId="0" fontId="8" fillId="0" borderId="0" xfId="0" applyFont="1"/>
    <xf numFmtId="2" fontId="8" fillId="0" borderId="0" xfId="0" applyNumberFormat="1" applyFont="1" applyBorder="1"/>
    <xf numFmtId="0" fontId="8" fillId="0" borderId="15" xfId="0" applyFont="1" applyBorder="1"/>
    <xf numFmtId="0" fontId="8" fillId="0" borderId="2" xfId="0" applyFont="1" applyBorder="1"/>
    <xf numFmtId="0" fontId="8" fillId="0" borderId="16" xfId="0" applyFont="1" applyBorder="1"/>
    <xf numFmtId="2" fontId="9" fillId="0" borderId="0" xfId="0" applyNumberFormat="1" applyFont="1" applyBorder="1"/>
    <xf numFmtId="0" fontId="9" fillId="0" borderId="8" xfId="0" applyFont="1" applyBorder="1"/>
    <xf numFmtId="0" fontId="8" fillId="2" borderId="0" xfId="0" applyFont="1" applyFill="1" applyBorder="1"/>
    <xf numFmtId="0" fontId="8" fillId="2" borderId="14" xfId="0" applyFont="1" applyFill="1" applyBorder="1"/>
    <xf numFmtId="0" fontId="8" fillId="2" borderId="1" xfId="0" applyFont="1" applyFill="1" applyBorder="1"/>
    <xf numFmtId="2" fontId="8" fillId="0" borderId="14" xfId="0" applyNumberFormat="1" applyFont="1" applyBorder="1"/>
    <xf numFmtId="2" fontId="8" fillId="0" borderId="1" xfId="0" applyNumberFormat="1" applyFont="1" applyBorder="1"/>
    <xf numFmtId="166" fontId="8" fillId="0" borderId="0" xfId="0" applyNumberFormat="1" applyFont="1" applyBorder="1"/>
    <xf numFmtId="166" fontId="8" fillId="0" borderId="14" xfId="0" applyNumberFormat="1" applyFont="1" applyBorder="1"/>
    <xf numFmtId="166" fontId="8" fillId="0" borderId="1" xfId="0" applyNumberFormat="1" applyFont="1" applyBorder="1"/>
    <xf numFmtId="166" fontId="8" fillId="0" borderId="11" xfId="0" applyNumberFormat="1" applyFont="1" applyBorder="1"/>
    <xf numFmtId="0" fontId="8" fillId="2" borderId="24" xfId="0" applyFont="1" applyFill="1" applyBorder="1"/>
    <xf numFmtId="0" fontId="4" fillId="3" borderId="19" xfId="0" applyFont="1" applyFill="1" applyBorder="1"/>
    <xf numFmtId="0" fontId="4" fillId="0" borderId="17" xfId="0" applyFont="1" applyBorder="1"/>
    <xf numFmtId="165" fontId="7" fillId="0" borderId="25" xfId="0" applyNumberFormat="1" applyFont="1" applyBorder="1"/>
    <xf numFmtId="165" fontId="6" fillId="0" borderId="25" xfId="0" applyNumberFormat="1" applyFont="1" applyBorder="1"/>
    <xf numFmtId="0" fontId="8" fillId="0" borderId="0" xfId="0" applyNumberFormat="1" applyFont="1" applyBorder="1"/>
    <xf numFmtId="0" fontId="8" fillId="0" borderId="8" xfId="0" applyNumberFormat="1" applyFont="1" applyBorder="1"/>
    <xf numFmtId="2" fontId="8" fillId="0" borderId="11" xfId="0" applyNumberFormat="1" applyFont="1" applyBorder="1"/>
    <xf numFmtId="2" fontId="9" fillId="0" borderId="0" xfId="0" applyNumberFormat="1" applyFont="1"/>
    <xf numFmtId="0" fontId="9" fillId="0" borderId="0" xfId="0" applyFont="1"/>
    <xf numFmtId="166" fontId="8" fillId="0" borderId="0" xfId="0" applyNumberFormat="1" applyFont="1"/>
    <xf numFmtId="0" fontId="8" fillId="3" borderId="11" xfId="0" applyFont="1" applyFill="1" applyBorder="1"/>
    <xf numFmtId="0" fontId="8" fillId="3" borderId="12" xfId="0" applyFont="1" applyFill="1" applyBorder="1"/>
    <xf numFmtId="0" fontId="9" fillId="0" borderId="0" xfId="0" applyFont="1" applyBorder="1"/>
    <xf numFmtId="0" fontId="9" fillId="0" borderId="12" xfId="0" applyFont="1" applyBorder="1"/>
    <xf numFmtId="0" fontId="8" fillId="2" borderId="3" xfId="0" applyFont="1" applyFill="1" applyBorder="1"/>
    <xf numFmtId="0" fontId="4" fillId="3" borderId="1" xfId="0" applyFont="1" applyFill="1" applyBorder="1" applyAlignment="1">
      <alignment horizontal="left" wrapText="1"/>
    </xf>
    <xf numFmtId="0" fontId="4" fillId="3" borderId="13" xfId="0" applyFont="1" applyFill="1" applyBorder="1" applyAlignment="1">
      <alignment horizontal="left" wrapText="1"/>
    </xf>
    <xf numFmtId="0" fontId="4" fillId="0" borderId="18" xfId="0" applyFont="1" applyBorder="1" applyAlignment="1">
      <alignment horizontal="left"/>
    </xf>
    <xf numFmtId="0" fontId="5" fillId="0" borderId="4" xfId="0" applyFont="1" applyBorder="1" applyAlignment="1">
      <alignment horizontal="left" wrapText="1"/>
    </xf>
    <xf numFmtId="0" fontId="4" fillId="0" borderId="5" xfId="0" applyFont="1" applyBorder="1" applyAlignment="1">
      <alignment horizontal="left"/>
    </xf>
    <xf numFmtId="0" fontId="4" fillId="3" borderId="21" xfId="0" applyFont="1" applyFill="1" applyBorder="1" applyAlignment="1">
      <alignment horizontal="left"/>
    </xf>
    <xf numFmtId="0" fontId="4" fillId="3" borderId="22" xfId="0" applyFont="1" applyFill="1" applyBorder="1" applyAlignment="1">
      <alignment horizontal="left"/>
    </xf>
    <xf numFmtId="0" fontId="4" fillId="0" borderId="4" xfId="0" applyFont="1" applyBorder="1" applyAlignment="1">
      <alignment horizontal="left"/>
    </xf>
    <xf numFmtId="0" fontId="4" fillId="3" borderId="0" xfId="0" applyFont="1" applyFill="1" applyBorder="1" applyAlignment="1">
      <alignment horizontal="left"/>
    </xf>
    <xf numFmtId="0" fontId="5" fillId="7" borderId="20" xfId="0" applyFont="1" applyFill="1" applyBorder="1" applyAlignment="1">
      <alignment horizontal="left" wrapText="1"/>
    </xf>
    <xf numFmtId="0" fontId="4" fillId="4" borderId="9" xfId="0" applyFont="1" applyFill="1" applyBorder="1" applyAlignment="1">
      <alignment horizontal="left"/>
    </xf>
    <xf numFmtId="0" fontId="5" fillId="0" borderId="17" xfId="0" applyFont="1" applyBorder="1" applyAlignment="1">
      <alignment horizontal="left" wrapText="1"/>
    </xf>
    <xf numFmtId="2" fontId="4" fillId="0" borderId="11" xfId="0" applyNumberFormat="1" applyFont="1" applyBorder="1" applyAlignment="1">
      <alignment horizontal="left"/>
    </xf>
    <xf numFmtId="2" fontId="4" fillId="0" borderId="12" xfId="0" applyNumberFormat="1" applyFont="1" applyBorder="1" applyAlignment="1">
      <alignment horizontal="left"/>
    </xf>
    <xf numFmtId="0" fontId="4" fillId="0" borderId="11" xfId="0" applyFont="1" applyBorder="1" applyAlignment="1">
      <alignment horizontal="left"/>
    </xf>
    <xf numFmtId="0" fontId="4" fillId="0" borderId="12" xfId="0" applyFont="1" applyBorder="1" applyAlignment="1">
      <alignment horizontal="left"/>
    </xf>
    <xf numFmtId="0" fontId="4" fillId="0" borderId="0" xfId="0" applyNumberFormat="1" applyFont="1" applyBorder="1" applyAlignment="1">
      <alignment horizontal="left"/>
    </xf>
    <xf numFmtId="0" fontId="4" fillId="0" borderId="8" xfId="0" applyNumberFormat="1" applyFont="1" applyBorder="1" applyAlignment="1">
      <alignment horizontal="left"/>
    </xf>
    <xf numFmtId="0" fontId="4" fillId="4" borderId="10" xfId="0" applyFont="1" applyFill="1" applyBorder="1" applyAlignment="1">
      <alignment horizontal="left"/>
    </xf>
    <xf numFmtId="0" fontId="4" fillId="0" borderId="0" xfId="0" applyFont="1" applyAlignment="1">
      <alignment horizontal="left"/>
    </xf>
    <xf numFmtId="0" fontId="4" fillId="6" borderId="0" xfId="0" applyFont="1" applyFill="1" applyAlignment="1">
      <alignment horizontal="left"/>
    </xf>
    <xf numFmtId="0" fontId="4" fillId="3" borderId="5" xfId="0" applyFont="1" applyFill="1" applyBorder="1"/>
    <xf numFmtId="0" fontId="0" fillId="0" borderId="26" xfId="0" applyBorder="1"/>
    <xf numFmtId="0" fontId="0" fillId="0" borderId="14" xfId="0" applyBorder="1"/>
    <xf numFmtId="1" fontId="0" fillId="0" borderId="15" xfId="0" applyNumberFormat="1" applyBorder="1"/>
    <xf numFmtId="0" fontId="0" fillId="0" borderId="27" xfId="0" applyBorder="1"/>
    <xf numFmtId="1" fontId="0" fillId="0" borderId="14" xfId="0" applyNumberFormat="1" applyBorder="1"/>
    <xf numFmtId="1" fontId="0" fillId="0" borderId="0" xfId="0" applyNumberFormat="1" applyBorder="1"/>
    <xf numFmtId="0" fontId="2" fillId="7" borderId="0" xfId="0" applyFont="1" applyFill="1" applyBorder="1" applyAlignment="1">
      <alignment wrapText="1"/>
    </xf>
    <xf numFmtId="0" fontId="4" fillId="3" borderId="6" xfId="0" applyFont="1" applyFill="1" applyBorder="1"/>
    <xf numFmtId="1" fontId="0" fillId="0" borderId="11" xfId="0" applyNumberFormat="1" applyBorder="1"/>
    <xf numFmtId="0" fontId="4" fillId="3" borderId="4" xfId="0" applyFont="1" applyFill="1" applyBorder="1"/>
    <xf numFmtId="0" fontId="0" fillId="0" borderId="28" xfId="0" applyBorder="1"/>
    <xf numFmtId="1" fontId="0" fillId="0" borderId="29" xfId="0" applyNumberFormat="1" applyBorder="1"/>
    <xf numFmtId="0" fontId="4" fillId="3" borderId="21" xfId="0" applyFont="1" applyFill="1" applyBorder="1"/>
    <xf numFmtId="0" fontId="4" fillId="3" borderId="22" xfId="0" applyFont="1" applyFill="1" applyBorder="1"/>
    <xf numFmtId="0" fontId="7" fillId="0" borderId="0" xfId="0" applyFont="1" applyBorder="1"/>
    <xf numFmtId="0" fontId="7" fillId="0" borderId="8" xfId="0" applyFont="1" applyBorder="1"/>
    <xf numFmtId="0" fontId="7" fillId="0" borderId="11" xfId="0" applyFont="1" applyBorder="1"/>
    <xf numFmtId="0" fontId="7" fillId="0" borderId="12" xfId="0" applyFont="1" applyBorder="1"/>
    <xf numFmtId="164" fontId="10" fillId="0" borderId="27" xfId="0" applyNumberFormat="1" applyFont="1" applyBorder="1"/>
    <xf numFmtId="0" fontId="10" fillId="0" borderId="8" xfId="0" applyFont="1" applyBorder="1"/>
    <xf numFmtId="0" fontId="8" fillId="2" borderId="11" xfId="0" applyFont="1" applyFill="1" applyBorder="1"/>
    <xf numFmtId="0" fontId="0" fillId="0" borderId="30" xfId="0" applyBorder="1"/>
    <xf numFmtId="164" fontId="10" fillId="0" borderId="30" xfId="0" applyNumberFormat="1" applyFont="1" applyBorder="1"/>
    <xf numFmtId="0" fontId="10" fillId="0" borderId="12" xfId="0" applyFont="1" applyBorder="1"/>
    <xf numFmtId="0" fontId="0" fillId="0" borderId="31" xfId="0" applyBorder="1"/>
    <xf numFmtId="0" fontId="0" fillId="0" borderId="32" xfId="0" applyBorder="1"/>
    <xf numFmtId="164" fontId="10" fillId="0" borderId="33" xfId="0" applyNumberFormat="1" applyFont="1" applyBorder="1"/>
    <xf numFmtId="164" fontId="10" fillId="0" borderId="34" xfId="0" applyNumberFormat="1" applyFont="1" applyBorder="1"/>
    <xf numFmtId="0" fontId="10" fillId="0" borderId="0" xfId="0" applyFont="1"/>
    <xf numFmtId="0" fontId="0" fillId="8" borderId="0" xfId="0" applyFill="1" applyAlignment="1"/>
  </cellXfs>
  <cellStyles count="1">
    <cellStyle name="Normal" xfId="0" builtinId="0"/>
  </cellStyles>
  <dxfs count="6"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Wait</a:t>
            </a:r>
            <a:r>
              <a:rPr lang="en-US" baseline="0"/>
              <a:t> Times by Hour</a:t>
            </a:r>
            <a:endParaRPr lang="en-US"/>
          </a:p>
        </c:rich>
      </c:tx>
      <c:layout>
        <c:manualLayout>
          <c:xMode val="edge"/>
          <c:yMode val="edge"/>
          <c:x val="0.45038747140300461"/>
          <c:y val="3.605087825560266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DL!$A$22:$A$38</c:f>
              <c:numCache>
                <c:formatCode>General</c:formatCode>
                <c:ptCount val="17"/>
                <c:pt idx="0">
                  <c:v>8</c:v>
                </c:pt>
                <c:pt idx="1">
                  <c:v>9</c:v>
                </c:pt>
                <c:pt idx="2">
                  <c:v>10</c:v>
                </c:pt>
                <c:pt idx="3">
                  <c:v>11</c:v>
                </c:pt>
                <c:pt idx="4">
                  <c:v>12</c:v>
                </c:pt>
                <c:pt idx="5">
                  <c:v>13</c:v>
                </c:pt>
                <c:pt idx="6">
                  <c:v>14</c:v>
                </c:pt>
                <c:pt idx="7">
                  <c:v>15</c:v>
                </c:pt>
                <c:pt idx="8">
                  <c:v>16</c:v>
                </c:pt>
                <c:pt idx="9">
                  <c:v>17</c:v>
                </c:pt>
                <c:pt idx="10">
                  <c:v>18</c:v>
                </c:pt>
                <c:pt idx="11">
                  <c:v>19</c:v>
                </c:pt>
                <c:pt idx="12">
                  <c:v>20</c:v>
                </c:pt>
                <c:pt idx="13">
                  <c:v>21</c:v>
                </c:pt>
                <c:pt idx="14">
                  <c:v>22</c:v>
                </c:pt>
                <c:pt idx="15">
                  <c:v>23</c:v>
                </c:pt>
                <c:pt idx="16">
                  <c:v>24</c:v>
                </c:pt>
              </c:numCache>
            </c:numRef>
          </c:xVal>
          <c:yVal>
            <c:numRef>
              <c:f>DL!$H$22:$H$38</c:f>
              <c:numCache>
                <c:formatCode>General</c:formatCode>
                <c:ptCount val="17"/>
                <c:pt idx="0">
                  <c:v>5</c:v>
                </c:pt>
                <c:pt idx="1">
                  <c:v>5</c:v>
                </c:pt>
                <c:pt idx="2">
                  <c:v>15</c:v>
                </c:pt>
                <c:pt idx="3">
                  <c:v>40</c:v>
                </c:pt>
                <c:pt idx="4">
                  <c:v>15</c:v>
                </c:pt>
                <c:pt idx="5">
                  <c:v>30.000000000000004</c:v>
                </c:pt>
                <c:pt idx="6">
                  <c:v>45</c:v>
                </c:pt>
                <c:pt idx="7">
                  <c:v>40</c:v>
                </c:pt>
                <c:pt idx="8">
                  <c:v>60</c:v>
                </c:pt>
                <c:pt idx="9">
                  <c:v>35</c:v>
                </c:pt>
                <c:pt idx="10">
                  <c:v>25</c:v>
                </c:pt>
                <c:pt idx="11">
                  <c:v>60</c:v>
                </c:pt>
                <c:pt idx="12">
                  <c:v>15</c:v>
                </c:pt>
                <c:pt idx="13">
                  <c:v>10</c:v>
                </c:pt>
                <c:pt idx="14">
                  <c:v>15</c:v>
                </c:pt>
                <c:pt idx="15">
                  <c:v>20</c:v>
                </c:pt>
                <c:pt idx="16">
                  <c:v>29.999999999999996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1B-44AB-AFB4-829FC0E521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0441311"/>
        <c:axId val="196873903"/>
      </c:scatterChart>
      <c:valAx>
        <c:axId val="310441311"/>
        <c:scaling>
          <c:orientation val="minMax"/>
          <c:max val="24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873903"/>
        <c:crosses val="autoZero"/>
        <c:crossBetween val="midCat"/>
      </c:valAx>
      <c:valAx>
        <c:axId val="1968739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04413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DLFastPass!$A$22:$A$38</c:f>
              <c:numCache>
                <c:formatCode>General</c:formatCode>
                <c:ptCount val="17"/>
                <c:pt idx="0">
                  <c:v>8</c:v>
                </c:pt>
                <c:pt idx="1">
                  <c:v>9</c:v>
                </c:pt>
                <c:pt idx="2">
                  <c:v>10</c:v>
                </c:pt>
                <c:pt idx="3">
                  <c:v>11</c:v>
                </c:pt>
                <c:pt idx="4">
                  <c:v>12</c:v>
                </c:pt>
                <c:pt idx="5">
                  <c:v>13</c:v>
                </c:pt>
                <c:pt idx="6">
                  <c:v>14</c:v>
                </c:pt>
                <c:pt idx="7">
                  <c:v>15</c:v>
                </c:pt>
                <c:pt idx="8">
                  <c:v>16</c:v>
                </c:pt>
                <c:pt idx="9">
                  <c:v>17</c:v>
                </c:pt>
                <c:pt idx="10">
                  <c:v>18</c:v>
                </c:pt>
                <c:pt idx="11">
                  <c:v>19</c:v>
                </c:pt>
                <c:pt idx="12">
                  <c:v>20</c:v>
                </c:pt>
                <c:pt idx="13">
                  <c:v>21</c:v>
                </c:pt>
                <c:pt idx="14">
                  <c:v>22</c:v>
                </c:pt>
                <c:pt idx="15">
                  <c:v>23</c:v>
                </c:pt>
                <c:pt idx="16">
                  <c:v>24</c:v>
                </c:pt>
              </c:numCache>
            </c:numRef>
          </c:xVal>
          <c:yVal>
            <c:numRef>
              <c:f>DLFastPass!$F$22:$F$38</c:f>
              <c:numCache>
                <c:formatCode>General</c:formatCode>
                <c:ptCount val="17"/>
                <c:pt idx="0">
                  <c:v>2.5</c:v>
                </c:pt>
                <c:pt idx="1">
                  <c:v>7.5</c:v>
                </c:pt>
                <c:pt idx="2">
                  <c:v>12.5</c:v>
                </c:pt>
                <c:pt idx="3">
                  <c:v>15</c:v>
                </c:pt>
                <c:pt idx="4">
                  <c:v>12.5</c:v>
                </c:pt>
                <c:pt idx="5">
                  <c:v>15</c:v>
                </c:pt>
                <c:pt idx="6">
                  <c:v>17.5</c:v>
                </c:pt>
                <c:pt idx="7">
                  <c:v>40</c:v>
                </c:pt>
                <c:pt idx="8">
                  <c:v>20</c:v>
                </c:pt>
                <c:pt idx="9">
                  <c:v>40</c:v>
                </c:pt>
                <c:pt idx="10">
                  <c:v>17.5</c:v>
                </c:pt>
                <c:pt idx="11">
                  <c:v>12.5</c:v>
                </c:pt>
                <c:pt idx="12">
                  <c:v>15</c:v>
                </c:pt>
                <c:pt idx="13">
                  <c:v>12.5</c:v>
                </c:pt>
                <c:pt idx="14">
                  <c:v>5</c:v>
                </c:pt>
                <c:pt idx="15">
                  <c:v>10</c:v>
                </c:pt>
                <c:pt idx="16">
                  <c:v>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383-4F0C-8569-B1D73B6866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9087551"/>
        <c:axId val="196877791"/>
      </c:scatterChart>
      <c:valAx>
        <c:axId val="299087551"/>
        <c:scaling>
          <c:orientation val="minMax"/>
          <c:max val="24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877791"/>
        <c:crosses val="autoZero"/>
        <c:crossBetween val="midCat"/>
      </c:valAx>
      <c:valAx>
        <c:axId val="1968777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908755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Wait</a:t>
            </a:r>
            <a:r>
              <a:rPr lang="en-US" baseline="0"/>
              <a:t> Times by Hour</a:t>
            </a:r>
            <a:endParaRPr lang="en-US"/>
          </a:p>
        </c:rich>
      </c:tx>
      <c:layout>
        <c:manualLayout>
          <c:xMode val="edge"/>
          <c:yMode val="edge"/>
          <c:x val="0.45038747140300461"/>
          <c:y val="3.605087825560266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8170951522625934E-2"/>
          <c:y val="0.13062656641604012"/>
          <c:w val="0.92062422920026565"/>
          <c:h val="0.79853544622711636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'Scenario1-BestPath'!$A$22:$A$38</c:f>
              <c:numCache>
                <c:formatCode>General</c:formatCode>
                <c:ptCount val="17"/>
                <c:pt idx="0">
                  <c:v>8</c:v>
                </c:pt>
                <c:pt idx="1">
                  <c:v>9</c:v>
                </c:pt>
                <c:pt idx="2">
                  <c:v>10</c:v>
                </c:pt>
                <c:pt idx="3">
                  <c:v>11</c:v>
                </c:pt>
                <c:pt idx="4">
                  <c:v>12</c:v>
                </c:pt>
                <c:pt idx="5">
                  <c:v>13</c:v>
                </c:pt>
                <c:pt idx="6">
                  <c:v>14</c:v>
                </c:pt>
                <c:pt idx="7">
                  <c:v>15</c:v>
                </c:pt>
                <c:pt idx="8">
                  <c:v>16</c:v>
                </c:pt>
                <c:pt idx="9">
                  <c:v>17</c:v>
                </c:pt>
                <c:pt idx="10">
                  <c:v>18</c:v>
                </c:pt>
                <c:pt idx="11">
                  <c:v>19</c:v>
                </c:pt>
                <c:pt idx="12">
                  <c:v>20</c:v>
                </c:pt>
                <c:pt idx="13">
                  <c:v>21</c:v>
                </c:pt>
                <c:pt idx="14">
                  <c:v>22</c:v>
                </c:pt>
                <c:pt idx="15">
                  <c:v>23</c:v>
                </c:pt>
                <c:pt idx="16">
                  <c:v>24</c:v>
                </c:pt>
              </c:numCache>
            </c:numRef>
          </c:xVal>
          <c:yVal>
            <c:numRef>
              <c:f>'Scenario1-BestPath'!$H$22:$H$38</c:f>
              <c:numCache>
                <c:formatCode>General</c:formatCode>
                <c:ptCount val="17"/>
                <c:pt idx="0">
                  <c:v>5</c:v>
                </c:pt>
                <c:pt idx="1">
                  <c:v>10</c:v>
                </c:pt>
                <c:pt idx="2">
                  <c:v>10</c:v>
                </c:pt>
                <c:pt idx="3">
                  <c:v>15.000000000000002</c:v>
                </c:pt>
                <c:pt idx="4">
                  <c:v>25</c:v>
                </c:pt>
                <c:pt idx="5">
                  <c:v>15</c:v>
                </c:pt>
                <c:pt idx="6">
                  <c:v>40</c:v>
                </c:pt>
                <c:pt idx="7">
                  <c:v>45</c:v>
                </c:pt>
                <c:pt idx="8">
                  <c:v>75</c:v>
                </c:pt>
                <c:pt idx="9">
                  <c:v>40</c:v>
                </c:pt>
                <c:pt idx="10">
                  <c:v>25</c:v>
                </c:pt>
                <c:pt idx="11">
                  <c:v>10</c:v>
                </c:pt>
                <c:pt idx="12">
                  <c:v>45</c:v>
                </c:pt>
                <c:pt idx="13">
                  <c:v>10</c:v>
                </c:pt>
                <c:pt idx="14">
                  <c:v>5</c:v>
                </c:pt>
                <c:pt idx="15">
                  <c:v>10.000000000000002</c:v>
                </c:pt>
                <c:pt idx="16">
                  <c:v>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478-44F8-9F04-BA8FCE0F8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0441311"/>
        <c:axId val="196873903"/>
      </c:scatterChart>
      <c:valAx>
        <c:axId val="310441311"/>
        <c:scaling>
          <c:orientation val="minMax"/>
          <c:max val="24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873903"/>
        <c:crosses val="autoZero"/>
        <c:crossBetween val="midCat"/>
      </c:valAx>
      <c:valAx>
        <c:axId val="1968739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04413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Wait</a:t>
            </a:r>
            <a:r>
              <a:rPr lang="en-US" baseline="0"/>
              <a:t> Times by Hour</a:t>
            </a:r>
            <a:endParaRPr lang="en-US"/>
          </a:p>
        </c:rich>
      </c:tx>
      <c:layout>
        <c:manualLayout>
          <c:xMode val="edge"/>
          <c:yMode val="edge"/>
          <c:x val="0.45038747140300461"/>
          <c:y val="3.605087825560266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'Scenario2-MinWalk'!$A$22:$A$38</c:f>
              <c:numCache>
                <c:formatCode>General</c:formatCode>
                <c:ptCount val="17"/>
                <c:pt idx="0">
                  <c:v>8</c:v>
                </c:pt>
                <c:pt idx="1">
                  <c:v>9</c:v>
                </c:pt>
                <c:pt idx="2">
                  <c:v>10</c:v>
                </c:pt>
                <c:pt idx="3">
                  <c:v>11</c:v>
                </c:pt>
                <c:pt idx="4">
                  <c:v>12</c:v>
                </c:pt>
                <c:pt idx="5">
                  <c:v>13</c:v>
                </c:pt>
                <c:pt idx="6">
                  <c:v>14</c:v>
                </c:pt>
                <c:pt idx="7">
                  <c:v>15</c:v>
                </c:pt>
                <c:pt idx="8">
                  <c:v>16</c:v>
                </c:pt>
                <c:pt idx="9">
                  <c:v>17</c:v>
                </c:pt>
                <c:pt idx="10">
                  <c:v>18</c:v>
                </c:pt>
                <c:pt idx="11">
                  <c:v>19</c:v>
                </c:pt>
                <c:pt idx="12">
                  <c:v>20</c:v>
                </c:pt>
                <c:pt idx="13">
                  <c:v>21</c:v>
                </c:pt>
                <c:pt idx="14">
                  <c:v>22</c:v>
                </c:pt>
                <c:pt idx="15">
                  <c:v>23</c:v>
                </c:pt>
                <c:pt idx="16">
                  <c:v>24</c:v>
                </c:pt>
              </c:numCache>
            </c:numRef>
          </c:xVal>
          <c:yVal>
            <c:numRef>
              <c:f>'Scenario2-MinWalk'!$H$22:$H$38</c:f>
              <c:numCache>
                <c:formatCode>General</c:formatCode>
                <c:ptCount val="17"/>
                <c:pt idx="0">
                  <c:v>14.999999999999998</c:v>
                </c:pt>
                <c:pt idx="1">
                  <c:v>20</c:v>
                </c:pt>
                <c:pt idx="2">
                  <c:v>25</c:v>
                </c:pt>
                <c:pt idx="3">
                  <c:v>20</c:v>
                </c:pt>
                <c:pt idx="4">
                  <c:v>40</c:v>
                </c:pt>
                <c:pt idx="5">
                  <c:v>15</c:v>
                </c:pt>
                <c:pt idx="6">
                  <c:v>35</c:v>
                </c:pt>
                <c:pt idx="7">
                  <c:v>20</c:v>
                </c:pt>
                <c:pt idx="8">
                  <c:v>30.000000000000004</c:v>
                </c:pt>
                <c:pt idx="9">
                  <c:v>40</c:v>
                </c:pt>
                <c:pt idx="10">
                  <c:v>35</c:v>
                </c:pt>
                <c:pt idx="11">
                  <c:v>50</c:v>
                </c:pt>
                <c:pt idx="12">
                  <c:v>20</c:v>
                </c:pt>
                <c:pt idx="13">
                  <c:v>10</c:v>
                </c:pt>
                <c:pt idx="14">
                  <c:v>35</c:v>
                </c:pt>
                <c:pt idx="15">
                  <c:v>5</c:v>
                </c:pt>
                <c:pt idx="16">
                  <c:v>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7C2-4374-A6D4-60588D3E18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0441311"/>
        <c:axId val="196873903"/>
      </c:scatterChart>
      <c:valAx>
        <c:axId val="310441311"/>
        <c:scaling>
          <c:orientation val="minMax"/>
          <c:max val="24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873903"/>
        <c:crosses val="autoZero"/>
        <c:crossBetween val="midCat"/>
      </c:valAx>
      <c:valAx>
        <c:axId val="1968739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04413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Wait</a:t>
            </a:r>
            <a:r>
              <a:rPr lang="en-US" baseline="0"/>
              <a:t> Times by Hour</a:t>
            </a:r>
            <a:endParaRPr lang="en-US"/>
          </a:p>
        </c:rich>
      </c:tx>
      <c:layout>
        <c:manualLayout>
          <c:xMode val="edge"/>
          <c:yMode val="edge"/>
          <c:x val="0.45038747140300461"/>
          <c:y val="3.605087825560266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'Scenario3-MinWait'!$A$22:$A$38</c:f>
              <c:numCache>
                <c:formatCode>General</c:formatCode>
                <c:ptCount val="17"/>
                <c:pt idx="0">
                  <c:v>8</c:v>
                </c:pt>
                <c:pt idx="1">
                  <c:v>9</c:v>
                </c:pt>
                <c:pt idx="2">
                  <c:v>10</c:v>
                </c:pt>
                <c:pt idx="3">
                  <c:v>11</c:v>
                </c:pt>
                <c:pt idx="4">
                  <c:v>12</c:v>
                </c:pt>
                <c:pt idx="5">
                  <c:v>13</c:v>
                </c:pt>
                <c:pt idx="6">
                  <c:v>14</c:v>
                </c:pt>
                <c:pt idx="7">
                  <c:v>15</c:v>
                </c:pt>
                <c:pt idx="8">
                  <c:v>16</c:v>
                </c:pt>
                <c:pt idx="9">
                  <c:v>17</c:v>
                </c:pt>
                <c:pt idx="10">
                  <c:v>18</c:v>
                </c:pt>
                <c:pt idx="11">
                  <c:v>19</c:v>
                </c:pt>
                <c:pt idx="12">
                  <c:v>20</c:v>
                </c:pt>
                <c:pt idx="13">
                  <c:v>21</c:v>
                </c:pt>
                <c:pt idx="14">
                  <c:v>22</c:v>
                </c:pt>
                <c:pt idx="15">
                  <c:v>23</c:v>
                </c:pt>
                <c:pt idx="16">
                  <c:v>24</c:v>
                </c:pt>
              </c:numCache>
            </c:numRef>
          </c:xVal>
          <c:yVal>
            <c:numRef>
              <c:f>'Scenario3-MinWait'!$H$22:$H$38</c:f>
              <c:numCache>
                <c:formatCode>General</c:formatCode>
                <c:ptCount val="17"/>
                <c:pt idx="0">
                  <c:v>5</c:v>
                </c:pt>
                <c:pt idx="1">
                  <c:v>5</c:v>
                </c:pt>
                <c:pt idx="2">
                  <c:v>10.000000000000002</c:v>
                </c:pt>
                <c:pt idx="3">
                  <c:v>20</c:v>
                </c:pt>
                <c:pt idx="4">
                  <c:v>35</c:v>
                </c:pt>
                <c:pt idx="5">
                  <c:v>15</c:v>
                </c:pt>
                <c:pt idx="6">
                  <c:v>55</c:v>
                </c:pt>
                <c:pt idx="7">
                  <c:v>40</c:v>
                </c:pt>
                <c:pt idx="8">
                  <c:v>10</c:v>
                </c:pt>
                <c:pt idx="9">
                  <c:v>40</c:v>
                </c:pt>
                <c:pt idx="10">
                  <c:v>35</c:v>
                </c:pt>
                <c:pt idx="11">
                  <c:v>20</c:v>
                </c:pt>
                <c:pt idx="12">
                  <c:v>10</c:v>
                </c:pt>
                <c:pt idx="13">
                  <c:v>10</c:v>
                </c:pt>
                <c:pt idx="14">
                  <c:v>5</c:v>
                </c:pt>
                <c:pt idx="15">
                  <c:v>10</c:v>
                </c:pt>
                <c:pt idx="16">
                  <c:v>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D63-436D-8F46-954219D9AE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0441311"/>
        <c:axId val="196873903"/>
      </c:scatterChart>
      <c:valAx>
        <c:axId val="310441311"/>
        <c:scaling>
          <c:orientation val="minMax"/>
          <c:max val="24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873903"/>
        <c:crosses val="autoZero"/>
        <c:crossBetween val="midCat"/>
      </c:valAx>
      <c:valAx>
        <c:axId val="1968739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04413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Wait</a:t>
            </a:r>
            <a:r>
              <a:rPr lang="en-US" baseline="0"/>
              <a:t> Times by Hour</a:t>
            </a:r>
            <a:endParaRPr lang="en-US"/>
          </a:p>
        </c:rich>
      </c:tx>
      <c:layout>
        <c:manualLayout>
          <c:xMode val="edge"/>
          <c:yMode val="edge"/>
          <c:x val="0.45038747140300461"/>
          <c:y val="3.605087825560266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'Scenario4-Min35'!$A$22:$A$38</c:f>
              <c:numCache>
                <c:formatCode>General</c:formatCode>
                <c:ptCount val="17"/>
                <c:pt idx="0">
                  <c:v>8</c:v>
                </c:pt>
                <c:pt idx="1">
                  <c:v>9</c:v>
                </c:pt>
                <c:pt idx="2">
                  <c:v>10</c:v>
                </c:pt>
                <c:pt idx="3">
                  <c:v>11</c:v>
                </c:pt>
                <c:pt idx="4">
                  <c:v>12</c:v>
                </c:pt>
                <c:pt idx="5">
                  <c:v>13</c:v>
                </c:pt>
                <c:pt idx="6">
                  <c:v>14</c:v>
                </c:pt>
                <c:pt idx="7">
                  <c:v>15</c:v>
                </c:pt>
                <c:pt idx="8">
                  <c:v>16</c:v>
                </c:pt>
                <c:pt idx="9">
                  <c:v>17</c:v>
                </c:pt>
                <c:pt idx="10">
                  <c:v>18</c:v>
                </c:pt>
                <c:pt idx="11">
                  <c:v>19</c:v>
                </c:pt>
                <c:pt idx="12">
                  <c:v>20</c:v>
                </c:pt>
                <c:pt idx="13">
                  <c:v>21</c:v>
                </c:pt>
                <c:pt idx="14">
                  <c:v>22</c:v>
                </c:pt>
                <c:pt idx="15">
                  <c:v>23</c:v>
                </c:pt>
                <c:pt idx="16">
                  <c:v>24</c:v>
                </c:pt>
              </c:numCache>
            </c:numRef>
          </c:xVal>
          <c:yVal>
            <c:numRef>
              <c:f>'Scenario4-Min35'!$H$22:$H$38</c:f>
              <c:numCache>
                <c:formatCode>General</c:formatCode>
                <c:ptCount val="17"/>
                <c:pt idx="0">
                  <c:v>35</c:v>
                </c:pt>
                <c:pt idx="1">
                  <c:v>5</c:v>
                </c:pt>
                <c:pt idx="2">
                  <c:v>15</c:v>
                </c:pt>
                <c:pt idx="3">
                  <c:v>20</c:v>
                </c:pt>
                <c:pt idx="4">
                  <c:v>15</c:v>
                </c:pt>
                <c:pt idx="5">
                  <c:v>30.000000000000004</c:v>
                </c:pt>
                <c:pt idx="6">
                  <c:v>35</c:v>
                </c:pt>
                <c:pt idx="7">
                  <c:v>25</c:v>
                </c:pt>
                <c:pt idx="8">
                  <c:v>10</c:v>
                </c:pt>
                <c:pt idx="9">
                  <c:v>30</c:v>
                </c:pt>
                <c:pt idx="10">
                  <c:v>35</c:v>
                </c:pt>
                <c:pt idx="11">
                  <c:v>20</c:v>
                </c:pt>
                <c:pt idx="12">
                  <c:v>35</c:v>
                </c:pt>
                <c:pt idx="13">
                  <c:v>25</c:v>
                </c:pt>
                <c:pt idx="14">
                  <c:v>15</c:v>
                </c:pt>
                <c:pt idx="15">
                  <c:v>20</c:v>
                </c:pt>
                <c:pt idx="16">
                  <c:v>29.999999999999996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96A-4504-AEF8-4DE72B55E2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0441311"/>
        <c:axId val="196873903"/>
      </c:scatterChart>
      <c:valAx>
        <c:axId val="310441311"/>
        <c:scaling>
          <c:orientation val="minMax"/>
          <c:max val="24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873903"/>
        <c:crosses val="autoZero"/>
        <c:crossBetween val="midCat"/>
      </c:valAx>
      <c:valAx>
        <c:axId val="1968739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04413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Wait</a:t>
            </a:r>
            <a:r>
              <a:rPr lang="en-US" baseline="0"/>
              <a:t> Times by Hour</a:t>
            </a:r>
            <a:endParaRPr lang="en-US"/>
          </a:p>
        </c:rich>
      </c:tx>
      <c:layout>
        <c:manualLayout>
          <c:xMode val="edge"/>
          <c:yMode val="edge"/>
          <c:x val="0.45038747140300461"/>
          <c:y val="3.605087825560266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MK!$A$20:$A$34</c:f>
              <c:numCache>
                <c:formatCode>General</c:formatCode>
                <c:ptCount val="15"/>
                <c:pt idx="0">
                  <c:v>8</c:v>
                </c:pt>
                <c:pt idx="1">
                  <c:v>9</c:v>
                </c:pt>
                <c:pt idx="2">
                  <c:v>10</c:v>
                </c:pt>
                <c:pt idx="3">
                  <c:v>11</c:v>
                </c:pt>
                <c:pt idx="4">
                  <c:v>12</c:v>
                </c:pt>
                <c:pt idx="5">
                  <c:v>13</c:v>
                </c:pt>
                <c:pt idx="6">
                  <c:v>14</c:v>
                </c:pt>
                <c:pt idx="7">
                  <c:v>15</c:v>
                </c:pt>
                <c:pt idx="8">
                  <c:v>16</c:v>
                </c:pt>
                <c:pt idx="9">
                  <c:v>17</c:v>
                </c:pt>
                <c:pt idx="10">
                  <c:v>18</c:v>
                </c:pt>
                <c:pt idx="11">
                  <c:v>19</c:v>
                </c:pt>
                <c:pt idx="12">
                  <c:v>20</c:v>
                </c:pt>
                <c:pt idx="13">
                  <c:v>21</c:v>
                </c:pt>
                <c:pt idx="14">
                  <c:v>22</c:v>
                </c:pt>
              </c:numCache>
            </c:numRef>
          </c:xVal>
          <c:yVal>
            <c:numRef>
              <c:f>MK!$H$20:$H$34</c:f>
              <c:numCache>
                <c:formatCode>General</c:formatCode>
                <c:ptCount val="15"/>
                <c:pt idx="0">
                  <c:v>5</c:v>
                </c:pt>
                <c:pt idx="1">
                  <c:v>10</c:v>
                </c:pt>
                <c:pt idx="2">
                  <c:v>50</c:v>
                </c:pt>
                <c:pt idx="3">
                  <c:v>45</c:v>
                </c:pt>
                <c:pt idx="4">
                  <c:v>10</c:v>
                </c:pt>
                <c:pt idx="5">
                  <c:v>35</c:v>
                </c:pt>
                <c:pt idx="6">
                  <c:v>15</c:v>
                </c:pt>
                <c:pt idx="7">
                  <c:v>45</c:v>
                </c:pt>
                <c:pt idx="8">
                  <c:v>50</c:v>
                </c:pt>
                <c:pt idx="9">
                  <c:v>25</c:v>
                </c:pt>
                <c:pt idx="10">
                  <c:v>50</c:v>
                </c:pt>
                <c:pt idx="11">
                  <c:v>15</c:v>
                </c:pt>
                <c:pt idx="12">
                  <c:v>35</c:v>
                </c:pt>
                <c:pt idx="13">
                  <c:v>35</c:v>
                </c:pt>
                <c:pt idx="14">
                  <c:v>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4D-4E24-A5A9-A6ACA41DEA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0441311"/>
        <c:axId val="196873903"/>
      </c:scatterChart>
      <c:valAx>
        <c:axId val="310441311"/>
        <c:scaling>
          <c:orientation val="minMax"/>
          <c:max val="24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873903"/>
        <c:crosses val="autoZero"/>
        <c:crossBetween val="midCat"/>
      </c:valAx>
      <c:valAx>
        <c:axId val="1968739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04413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Wait</a:t>
            </a:r>
            <a:r>
              <a:rPr lang="en-US" baseline="0"/>
              <a:t> Times by Hour</a:t>
            </a:r>
            <a:endParaRPr lang="en-US"/>
          </a:p>
        </c:rich>
      </c:tx>
      <c:layout>
        <c:manualLayout>
          <c:xMode val="edge"/>
          <c:yMode val="edge"/>
          <c:x val="0.45038747140300461"/>
          <c:y val="3.605087825560266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MK!$A$20:$A$34</c:f>
              <c:numCache>
                <c:formatCode>General</c:formatCode>
                <c:ptCount val="15"/>
                <c:pt idx="0">
                  <c:v>8</c:v>
                </c:pt>
                <c:pt idx="1">
                  <c:v>9</c:v>
                </c:pt>
                <c:pt idx="2">
                  <c:v>10</c:v>
                </c:pt>
                <c:pt idx="3">
                  <c:v>11</c:v>
                </c:pt>
                <c:pt idx="4">
                  <c:v>12</c:v>
                </c:pt>
                <c:pt idx="5">
                  <c:v>13</c:v>
                </c:pt>
                <c:pt idx="6">
                  <c:v>14</c:v>
                </c:pt>
                <c:pt idx="7">
                  <c:v>15</c:v>
                </c:pt>
                <c:pt idx="8">
                  <c:v>16</c:v>
                </c:pt>
                <c:pt idx="9">
                  <c:v>17</c:v>
                </c:pt>
                <c:pt idx="10">
                  <c:v>18</c:v>
                </c:pt>
                <c:pt idx="11">
                  <c:v>19</c:v>
                </c:pt>
                <c:pt idx="12">
                  <c:v>20</c:v>
                </c:pt>
                <c:pt idx="13">
                  <c:v>21</c:v>
                </c:pt>
                <c:pt idx="14">
                  <c:v>22</c:v>
                </c:pt>
              </c:numCache>
            </c:numRef>
          </c:xVal>
          <c:yVal>
            <c:numRef>
              <c:f>MK!$H$20:$H$34</c:f>
              <c:numCache>
                <c:formatCode>General</c:formatCode>
                <c:ptCount val="15"/>
                <c:pt idx="0">
                  <c:v>5</c:v>
                </c:pt>
                <c:pt idx="1">
                  <c:v>10</c:v>
                </c:pt>
                <c:pt idx="2">
                  <c:v>50</c:v>
                </c:pt>
                <c:pt idx="3">
                  <c:v>45</c:v>
                </c:pt>
                <c:pt idx="4">
                  <c:v>10</c:v>
                </c:pt>
                <c:pt idx="5">
                  <c:v>35</c:v>
                </c:pt>
                <c:pt idx="6">
                  <c:v>15</c:v>
                </c:pt>
                <c:pt idx="7">
                  <c:v>45</c:v>
                </c:pt>
                <c:pt idx="8">
                  <c:v>50</c:v>
                </c:pt>
                <c:pt idx="9">
                  <c:v>25</c:v>
                </c:pt>
                <c:pt idx="10">
                  <c:v>50</c:v>
                </c:pt>
                <c:pt idx="11">
                  <c:v>15</c:v>
                </c:pt>
                <c:pt idx="12">
                  <c:v>35</c:v>
                </c:pt>
                <c:pt idx="13">
                  <c:v>35</c:v>
                </c:pt>
                <c:pt idx="14">
                  <c:v>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6D6-400B-AC51-4B06B7D1DF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0441311"/>
        <c:axId val="196873903"/>
      </c:scatterChart>
      <c:valAx>
        <c:axId val="310441311"/>
        <c:scaling>
          <c:orientation val="minMax"/>
          <c:max val="24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873903"/>
        <c:crosses val="autoZero"/>
        <c:crossBetween val="midCat"/>
      </c:valAx>
      <c:valAx>
        <c:axId val="1968739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04413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Wait</a:t>
            </a:r>
            <a:r>
              <a:rPr lang="en-US" baseline="0"/>
              <a:t> Times by Hour</a:t>
            </a:r>
            <a:endParaRPr lang="en-US"/>
          </a:p>
        </c:rich>
      </c:tx>
      <c:layout>
        <c:manualLayout>
          <c:xMode val="edge"/>
          <c:yMode val="edge"/>
          <c:x val="0.45038747140300461"/>
          <c:y val="3.605087825560266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MK!$A$20:$A$34</c:f>
              <c:numCache>
                <c:formatCode>General</c:formatCode>
                <c:ptCount val="15"/>
                <c:pt idx="0">
                  <c:v>8</c:v>
                </c:pt>
                <c:pt idx="1">
                  <c:v>9</c:v>
                </c:pt>
                <c:pt idx="2">
                  <c:v>10</c:v>
                </c:pt>
                <c:pt idx="3">
                  <c:v>11</c:v>
                </c:pt>
                <c:pt idx="4">
                  <c:v>12</c:v>
                </c:pt>
                <c:pt idx="5">
                  <c:v>13</c:v>
                </c:pt>
                <c:pt idx="6">
                  <c:v>14</c:v>
                </c:pt>
                <c:pt idx="7">
                  <c:v>15</c:v>
                </c:pt>
                <c:pt idx="8">
                  <c:v>16</c:v>
                </c:pt>
                <c:pt idx="9">
                  <c:v>17</c:v>
                </c:pt>
                <c:pt idx="10">
                  <c:v>18</c:v>
                </c:pt>
                <c:pt idx="11">
                  <c:v>19</c:v>
                </c:pt>
                <c:pt idx="12">
                  <c:v>20</c:v>
                </c:pt>
                <c:pt idx="13">
                  <c:v>21</c:v>
                </c:pt>
                <c:pt idx="14">
                  <c:v>22</c:v>
                </c:pt>
              </c:numCache>
            </c:numRef>
          </c:xVal>
          <c:yVal>
            <c:numRef>
              <c:f>MK!$H$20:$H$34</c:f>
              <c:numCache>
                <c:formatCode>General</c:formatCode>
                <c:ptCount val="15"/>
                <c:pt idx="0">
                  <c:v>5</c:v>
                </c:pt>
                <c:pt idx="1">
                  <c:v>10</c:v>
                </c:pt>
                <c:pt idx="2">
                  <c:v>50</c:v>
                </c:pt>
                <c:pt idx="3">
                  <c:v>45</c:v>
                </c:pt>
                <c:pt idx="4">
                  <c:v>10</c:v>
                </c:pt>
                <c:pt idx="5">
                  <c:v>35</c:v>
                </c:pt>
                <c:pt idx="6">
                  <c:v>15</c:v>
                </c:pt>
                <c:pt idx="7">
                  <c:v>45</c:v>
                </c:pt>
                <c:pt idx="8">
                  <c:v>50</c:v>
                </c:pt>
                <c:pt idx="9">
                  <c:v>25</c:v>
                </c:pt>
                <c:pt idx="10">
                  <c:v>50</c:v>
                </c:pt>
                <c:pt idx="11">
                  <c:v>15</c:v>
                </c:pt>
                <c:pt idx="12">
                  <c:v>35</c:v>
                </c:pt>
                <c:pt idx="13">
                  <c:v>35</c:v>
                </c:pt>
                <c:pt idx="14">
                  <c:v>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3E-415F-B25F-B01CD17593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0441311"/>
        <c:axId val="196873903"/>
      </c:scatterChart>
      <c:valAx>
        <c:axId val="310441311"/>
        <c:scaling>
          <c:orientation val="minMax"/>
          <c:max val="24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873903"/>
        <c:crosses val="autoZero"/>
        <c:crossBetween val="midCat"/>
      </c:valAx>
      <c:valAx>
        <c:axId val="1968739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04413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Wait</a:t>
            </a:r>
            <a:r>
              <a:rPr lang="en-US" baseline="0"/>
              <a:t> Times by Hour</a:t>
            </a:r>
            <a:endParaRPr lang="en-US"/>
          </a:p>
        </c:rich>
      </c:tx>
      <c:layout>
        <c:manualLayout>
          <c:xMode val="edge"/>
          <c:yMode val="edge"/>
          <c:x val="0.45038747140300461"/>
          <c:y val="3.605087825560266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MK!$A$20:$A$34</c:f>
              <c:numCache>
                <c:formatCode>General</c:formatCode>
                <c:ptCount val="15"/>
                <c:pt idx="0">
                  <c:v>8</c:v>
                </c:pt>
                <c:pt idx="1">
                  <c:v>9</c:v>
                </c:pt>
                <c:pt idx="2">
                  <c:v>10</c:v>
                </c:pt>
                <c:pt idx="3">
                  <c:v>11</c:v>
                </c:pt>
                <c:pt idx="4">
                  <c:v>12</c:v>
                </c:pt>
                <c:pt idx="5">
                  <c:v>13</c:v>
                </c:pt>
                <c:pt idx="6">
                  <c:v>14</c:v>
                </c:pt>
                <c:pt idx="7">
                  <c:v>15</c:v>
                </c:pt>
                <c:pt idx="8">
                  <c:v>16</c:v>
                </c:pt>
                <c:pt idx="9">
                  <c:v>17</c:v>
                </c:pt>
                <c:pt idx="10">
                  <c:v>18</c:v>
                </c:pt>
                <c:pt idx="11">
                  <c:v>19</c:v>
                </c:pt>
                <c:pt idx="12">
                  <c:v>20</c:v>
                </c:pt>
                <c:pt idx="13">
                  <c:v>21</c:v>
                </c:pt>
                <c:pt idx="14">
                  <c:v>22</c:v>
                </c:pt>
              </c:numCache>
            </c:numRef>
          </c:xVal>
          <c:yVal>
            <c:numRef>
              <c:f>MK!$H$20:$H$34</c:f>
              <c:numCache>
                <c:formatCode>General</c:formatCode>
                <c:ptCount val="15"/>
                <c:pt idx="0">
                  <c:v>5</c:v>
                </c:pt>
                <c:pt idx="1">
                  <c:v>10</c:v>
                </c:pt>
                <c:pt idx="2">
                  <c:v>50</c:v>
                </c:pt>
                <c:pt idx="3">
                  <c:v>45</c:v>
                </c:pt>
                <c:pt idx="4">
                  <c:v>10</c:v>
                </c:pt>
                <c:pt idx="5">
                  <c:v>35</c:v>
                </c:pt>
                <c:pt idx="6">
                  <c:v>15</c:v>
                </c:pt>
                <c:pt idx="7">
                  <c:v>45</c:v>
                </c:pt>
                <c:pt idx="8">
                  <c:v>50</c:v>
                </c:pt>
                <c:pt idx="9">
                  <c:v>25</c:v>
                </c:pt>
                <c:pt idx="10">
                  <c:v>50</c:v>
                </c:pt>
                <c:pt idx="11">
                  <c:v>15</c:v>
                </c:pt>
                <c:pt idx="12">
                  <c:v>35</c:v>
                </c:pt>
                <c:pt idx="13">
                  <c:v>35</c:v>
                </c:pt>
                <c:pt idx="14">
                  <c:v>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A5A-4C34-B591-B3F5ABB3B8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0441311"/>
        <c:axId val="196873903"/>
      </c:scatterChart>
      <c:valAx>
        <c:axId val="310441311"/>
        <c:scaling>
          <c:orientation val="minMax"/>
          <c:max val="24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873903"/>
        <c:crosses val="autoZero"/>
        <c:crossBetween val="midCat"/>
      </c:valAx>
      <c:valAx>
        <c:axId val="1968739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04413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Wait</a:t>
            </a:r>
            <a:r>
              <a:rPr lang="en-US" baseline="0"/>
              <a:t> Times by Hour</a:t>
            </a:r>
            <a:endParaRPr lang="en-US"/>
          </a:p>
        </c:rich>
      </c:tx>
      <c:layout>
        <c:manualLayout>
          <c:xMode val="edge"/>
          <c:yMode val="edge"/>
          <c:x val="0.45038747140300461"/>
          <c:y val="3.605087825560266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MK!$A$20:$A$34</c:f>
              <c:numCache>
                <c:formatCode>General</c:formatCode>
                <c:ptCount val="15"/>
                <c:pt idx="0">
                  <c:v>8</c:v>
                </c:pt>
                <c:pt idx="1">
                  <c:v>9</c:v>
                </c:pt>
                <c:pt idx="2">
                  <c:v>10</c:v>
                </c:pt>
                <c:pt idx="3">
                  <c:v>11</c:v>
                </c:pt>
                <c:pt idx="4">
                  <c:v>12</c:v>
                </c:pt>
                <c:pt idx="5">
                  <c:v>13</c:v>
                </c:pt>
                <c:pt idx="6">
                  <c:v>14</c:v>
                </c:pt>
                <c:pt idx="7">
                  <c:v>15</c:v>
                </c:pt>
                <c:pt idx="8">
                  <c:v>16</c:v>
                </c:pt>
                <c:pt idx="9">
                  <c:v>17</c:v>
                </c:pt>
                <c:pt idx="10">
                  <c:v>18</c:v>
                </c:pt>
                <c:pt idx="11">
                  <c:v>19</c:v>
                </c:pt>
                <c:pt idx="12">
                  <c:v>20</c:v>
                </c:pt>
                <c:pt idx="13">
                  <c:v>21</c:v>
                </c:pt>
                <c:pt idx="14">
                  <c:v>22</c:v>
                </c:pt>
              </c:numCache>
            </c:numRef>
          </c:xVal>
          <c:yVal>
            <c:numRef>
              <c:f>MK!$H$20:$H$34</c:f>
              <c:numCache>
                <c:formatCode>General</c:formatCode>
                <c:ptCount val="15"/>
                <c:pt idx="0">
                  <c:v>5</c:v>
                </c:pt>
                <c:pt idx="1">
                  <c:v>10</c:v>
                </c:pt>
                <c:pt idx="2">
                  <c:v>50</c:v>
                </c:pt>
                <c:pt idx="3">
                  <c:v>45</c:v>
                </c:pt>
                <c:pt idx="4">
                  <c:v>10</c:v>
                </c:pt>
                <c:pt idx="5">
                  <c:v>35</c:v>
                </c:pt>
                <c:pt idx="6">
                  <c:v>15</c:v>
                </c:pt>
                <c:pt idx="7">
                  <c:v>45</c:v>
                </c:pt>
                <c:pt idx="8">
                  <c:v>50</c:v>
                </c:pt>
                <c:pt idx="9">
                  <c:v>25</c:v>
                </c:pt>
                <c:pt idx="10">
                  <c:v>50</c:v>
                </c:pt>
                <c:pt idx="11">
                  <c:v>15</c:v>
                </c:pt>
                <c:pt idx="12">
                  <c:v>35</c:v>
                </c:pt>
                <c:pt idx="13">
                  <c:v>35</c:v>
                </c:pt>
                <c:pt idx="14">
                  <c:v>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DF-4CC6-BC7A-01E2457567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0441311"/>
        <c:axId val="196873903"/>
      </c:scatterChart>
      <c:valAx>
        <c:axId val="310441311"/>
        <c:scaling>
          <c:orientation val="minMax"/>
          <c:max val="24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873903"/>
        <c:crosses val="autoZero"/>
        <c:crossBetween val="midCat"/>
      </c:valAx>
      <c:valAx>
        <c:axId val="1968739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04413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9525</xdr:colOff>
      <xdr:row>42</xdr:row>
      <xdr:rowOff>95250</xdr:rowOff>
    </xdr:from>
    <xdr:to>
      <xdr:col>19</xdr:col>
      <xdr:colOff>866775</xdr:colOff>
      <xdr:row>63</xdr:row>
      <xdr:rowOff>85725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03FACC2-8BB9-46AB-831F-736F6FBB4C4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71438</xdr:colOff>
      <xdr:row>19</xdr:row>
      <xdr:rowOff>76199</xdr:rowOff>
    </xdr:from>
    <xdr:to>
      <xdr:col>18</xdr:col>
      <xdr:colOff>1247776</xdr:colOff>
      <xdr:row>41</xdr:row>
      <xdr:rowOff>180974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10635F3-3107-49DE-AC24-2823404BC24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9525</xdr:colOff>
      <xdr:row>26</xdr:row>
      <xdr:rowOff>152400</xdr:rowOff>
    </xdr:from>
    <xdr:to>
      <xdr:col>19</xdr:col>
      <xdr:colOff>904875</xdr:colOff>
      <xdr:row>47</xdr:row>
      <xdr:rowOff>123825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940CAE8-8B86-4F6D-A022-DDAACEA0EC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638174</xdr:colOff>
      <xdr:row>24</xdr:row>
      <xdr:rowOff>123825</xdr:rowOff>
    </xdr:from>
    <xdr:to>
      <xdr:col>9</xdr:col>
      <xdr:colOff>114299</xdr:colOff>
      <xdr:row>45</xdr:row>
      <xdr:rowOff>95250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67C525B-3947-4266-8B83-57EB0327DFF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252411</xdr:colOff>
      <xdr:row>40</xdr:row>
      <xdr:rowOff>104775</xdr:rowOff>
    </xdr:from>
    <xdr:to>
      <xdr:col>19</xdr:col>
      <xdr:colOff>38100</xdr:colOff>
      <xdr:row>61</xdr:row>
      <xdr:rowOff>85725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5EDAC35-A19A-475D-B6FC-5FEC26CF1F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157162</xdr:colOff>
      <xdr:row>25</xdr:row>
      <xdr:rowOff>133350</xdr:rowOff>
    </xdr:from>
    <xdr:to>
      <xdr:col>18</xdr:col>
      <xdr:colOff>1228726</xdr:colOff>
      <xdr:row>46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3D5E844-7D5C-40DC-9551-2C6291AA961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280986</xdr:colOff>
      <xdr:row>34</xdr:row>
      <xdr:rowOff>9525</xdr:rowOff>
    </xdr:from>
    <xdr:to>
      <xdr:col>20</xdr:col>
      <xdr:colOff>47625</xdr:colOff>
      <xdr:row>49</xdr:row>
      <xdr:rowOff>19050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855FEC8-FC08-4D59-AB36-12EF71EDB8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128586</xdr:colOff>
      <xdr:row>18</xdr:row>
      <xdr:rowOff>219075</xdr:rowOff>
    </xdr:from>
    <xdr:to>
      <xdr:col>16</xdr:col>
      <xdr:colOff>2781300</xdr:colOff>
      <xdr:row>33</xdr:row>
      <xdr:rowOff>28575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DA83CE7-D014-428A-BA39-4FD89387B7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109536</xdr:colOff>
      <xdr:row>18</xdr:row>
      <xdr:rowOff>9525</xdr:rowOff>
    </xdr:from>
    <xdr:to>
      <xdr:col>16</xdr:col>
      <xdr:colOff>2762250</xdr:colOff>
      <xdr:row>31</xdr:row>
      <xdr:rowOff>228600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9E16E9A-A5A9-4B34-B569-3FFED51B965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109536</xdr:colOff>
      <xdr:row>18</xdr:row>
      <xdr:rowOff>9525</xdr:rowOff>
    </xdr:from>
    <xdr:to>
      <xdr:col>16</xdr:col>
      <xdr:colOff>2762250</xdr:colOff>
      <xdr:row>31</xdr:row>
      <xdr:rowOff>228600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38860CD-3976-4B8D-A25C-1A85BFAA827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128586</xdr:colOff>
      <xdr:row>22</xdr:row>
      <xdr:rowOff>57150</xdr:rowOff>
    </xdr:from>
    <xdr:to>
      <xdr:col>17</xdr:col>
      <xdr:colOff>457200</xdr:colOff>
      <xdr:row>40</xdr:row>
      <xdr:rowOff>47625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938C418-52FC-4ED5-B02C-AC23923F72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D9DB32-774C-49D6-BC1A-1508F2A7A4B8}">
  <sheetPr codeName="Sheet2"/>
  <dimension ref="A1:AL56"/>
  <sheetViews>
    <sheetView workbookViewId="0"/>
  </sheetViews>
  <sheetFormatPr defaultRowHeight="14.25"/>
  <cols>
    <col min="1" max="1" width="11.625" bestFit="1" customWidth="1"/>
    <col min="2" max="2" width="14.75" bestFit="1" customWidth="1"/>
    <col min="3" max="3" width="16.875" customWidth="1"/>
    <col min="4" max="4" width="12.5" bestFit="1" customWidth="1"/>
    <col min="5" max="5" width="7.75" bestFit="1" customWidth="1"/>
    <col min="6" max="6" width="8.375" bestFit="1" customWidth="1"/>
    <col min="7" max="7" width="7.375" bestFit="1" customWidth="1"/>
    <col min="8" max="8" width="8" customWidth="1"/>
    <col min="9" max="11" width="6.75" customWidth="1"/>
    <col min="12" max="12" width="9.375" bestFit="1" customWidth="1"/>
    <col min="13" max="13" width="11.5" bestFit="1" customWidth="1"/>
    <col min="14" max="18" width="6.75" customWidth="1"/>
    <col min="19" max="19" width="17.25" bestFit="1" customWidth="1"/>
    <col min="20" max="20" width="18.25" customWidth="1"/>
    <col min="21" max="21" width="12.75" bestFit="1" customWidth="1"/>
    <col min="22" max="37" width="5.5" customWidth="1"/>
    <col min="38" max="39" width="15.75" bestFit="1" customWidth="1"/>
  </cols>
  <sheetData>
    <row r="1" spans="1:38" ht="48.75" customHeight="1" thickBot="1">
      <c r="A1" s="67" t="s">
        <v>41</v>
      </c>
      <c r="B1" s="51" t="s">
        <v>5</v>
      </c>
      <c r="C1" s="25"/>
      <c r="D1" s="25"/>
      <c r="E1" s="25"/>
      <c r="F1" s="25"/>
      <c r="G1" s="25"/>
      <c r="H1" s="25"/>
      <c r="I1" s="25"/>
      <c r="J1" s="25"/>
      <c r="K1" s="25"/>
      <c r="L1" s="25"/>
      <c r="M1" s="25"/>
      <c r="N1" s="25"/>
      <c r="O1" s="25"/>
      <c r="P1" s="25"/>
      <c r="Q1" s="25"/>
      <c r="R1" s="26"/>
      <c r="S1" s="52" t="s">
        <v>40</v>
      </c>
      <c r="T1" s="52" t="s">
        <v>11</v>
      </c>
      <c r="U1" s="53" t="s">
        <v>6</v>
      </c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1"/>
    </row>
    <row r="2" spans="1:38">
      <c r="A2" s="56" t="s">
        <v>5</v>
      </c>
      <c r="B2" s="54">
        <v>1</v>
      </c>
      <c r="C2" s="54">
        <v>2</v>
      </c>
      <c r="D2" s="54">
        <v>3</v>
      </c>
      <c r="E2" s="54">
        <v>4</v>
      </c>
      <c r="F2" s="54">
        <v>5</v>
      </c>
      <c r="G2" s="54">
        <v>6</v>
      </c>
      <c r="H2" s="54">
        <v>7</v>
      </c>
      <c r="I2" s="54">
        <v>8</v>
      </c>
      <c r="J2" s="54">
        <v>9</v>
      </c>
      <c r="K2" s="54">
        <v>10</v>
      </c>
      <c r="L2" s="54">
        <v>11</v>
      </c>
      <c r="M2" s="54">
        <v>12</v>
      </c>
      <c r="N2" s="54">
        <v>13</v>
      </c>
      <c r="O2" s="54">
        <v>14</v>
      </c>
      <c r="P2" s="54">
        <v>15</v>
      </c>
      <c r="Q2" s="54">
        <v>16</v>
      </c>
      <c r="R2" s="55">
        <v>17</v>
      </c>
      <c r="T2" s="56" t="s">
        <v>12</v>
      </c>
      <c r="U2" s="54">
        <v>1</v>
      </c>
      <c r="V2" s="54">
        <v>2</v>
      </c>
      <c r="W2" s="54">
        <v>3</v>
      </c>
      <c r="X2" s="54">
        <v>4</v>
      </c>
      <c r="Y2" s="54">
        <v>5</v>
      </c>
      <c r="Z2" s="54">
        <v>6</v>
      </c>
      <c r="AA2" s="54">
        <v>7</v>
      </c>
      <c r="AB2" s="54">
        <v>8</v>
      </c>
      <c r="AC2" s="54">
        <v>9</v>
      </c>
      <c r="AD2" s="54">
        <v>10</v>
      </c>
      <c r="AE2" s="54">
        <v>11</v>
      </c>
      <c r="AF2" s="54">
        <v>12</v>
      </c>
      <c r="AG2" s="54">
        <v>13</v>
      </c>
      <c r="AH2" s="54">
        <v>14</v>
      </c>
      <c r="AI2" s="54">
        <v>15</v>
      </c>
      <c r="AJ2" s="54">
        <v>16</v>
      </c>
      <c r="AK2" s="55">
        <v>17</v>
      </c>
      <c r="AL2" s="57" t="s">
        <v>13</v>
      </c>
    </row>
    <row r="3" spans="1:38" ht="15">
      <c r="A3" s="59">
        <v>1</v>
      </c>
      <c r="B3" s="72">
        <f>(getDistance(coord!C1,coord!D1,coord!$C$1,coord!$D$1)*1000)/$B$20</f>
        <v>0</v>
      </c>
      <c r="C3" s="73">
        <f>(getDistance(coord!C1,coord!D1,coord!$C$2,coord!$D$2)*1000)/$C$20</f>
        <v>9.7939859857844019E-3</v>
      </c>
      <c r="D3" s="73">
        <f>(getDistance(coord!$C1,coord!$D1,coord!$C$3,coord!$D$3)*1000)/$D$20</f>
        <v>2.2698884083943889E-2</v>
      </c>
      <c r="E3" s="73">
        <f>(getDistance(coord!$C1,coord!$D1,coord!$C$4,coord!$D$4)*1000)/$E$20</f>
        <v>4.1041595442076105E-2</v>
      </c>
      <c r="F3" s="73">
        <f>(getDistance(coord!$C1,coord!$D1,coord!$C$5,coord!$D$5)*1000)/$F$20</f>
        <v>8.9692706304415254E-2</v>
      </c>
      <c r="G3" s="73">
        <f>(getDistance(coord!$C1,coord!$D1,coord!$C$6,coord!$D$6)*1000)/$G$20</f>
        <v>8.6451824708535505E-2</v>
      </c>
      <c r="H3" s="73">
        <f>(getDistance(coord!$C1,coord!$D1,coord!$C$7,coord!$D$7)*1000)/$H$20</f>
        <v>8.9811228695136011E-2</v>
      </c>
      <c r="I3" s="73">
        <f>(getDistance(coord!$C1,coord!$D1,coord!$C$8,coord!$D$8)*1000)/$I$20</f>
        <v>9.1240820893187149E-2</v>
      </c>
      <c r="J3" s="73">
        <f>(getDistance(coord!$C1,coord!$D1,coord!$C$9,coord!$D$9)*1000)/$J$20</f>
        <v>8.7047462622908689E-2</v>
      </c>
      <c r="K3" s="73">
        <f>(getDistance(coord!$C1,coord!$D1,coord!$C$10,coord!$D$10)*1000)/$K$20</f>
        <v>8.0740347669411905E-2</v>
      </c>
      <c r="L3" s="73">
        <f>(getDistance(coord!$C1,coord!$D1,coord!$C$11,coord!$D$11)*1000)/$L$20</f>
        <v>5.5422256969853041E-2</v>
      </c>
      <c r="M3" s="73">
        <f>(getDistance(coord!$C1,coord!$D1,coord!$C$12,coord!$D$12)*1000)/$M$20</f>
        <v>8.5548369994808526E-2</v>
      </c>
      <c r="N3" s="73">
        <f>(getDistance(coord!$C1,coord!$D1,coord!$C$13,coord!$D$13)*1000)/$N$20</f>
        <v>3.1776523621703266E-2</v>
      </c>
      <c r="O3" s="73">
        <f>(getDistance(coord!$C1,coord!$D1,coord!$C$14,coord!$D$14)*1000)/$O$20</f>
        <v>1.0336778634729865E-2</v>
      </c>
      <c r="P3" s="73">
        <f>(getDistance(coord!$C1,coord!$D1,coord!$C$15,coord!$D$15)*1000)/$P$20</f>
        <v>6.8833375128825133E-2</v>
      </c>
      <c r="Q3" s="73">
        <f>(getDistance(coord!$C1,coord!$D1,coord!$C$16,coord!$D$16)*1000)/$Q$20</f>
        <v>6.1611762184374974E-2</v>
      </c>
      <c r="R3" s="73">
        <f>(getDistance(coord!$C1,coord!$D1,coord!$C$17,coord!$D$17)*1000)/$R$20</f>
        <v>6.3560494570447018E-2</v>
      </c>
      <c r="S3" s="58" t="s">
        <v>39</v>
      </c>
      <c r="T3" s="59">
        <v>8</v>
      </c>
      <c r="U3" s="61">
        <v>1.3793103448275862E-2</v>
      </c>
      <c r="V3" s="61">
        <v>1.9607843137254902E-2</v>
      </c>
      <c r="W3" s="61">
        <v>6.0606060606060608E-2</v>
      </c>
      <c r="X3" s="61">
        <v>9.5238095238095247E-3</v>
      </c>
      <c r="Y3" s="61">
        <v>2.6315789473684209E-2</v>
      </c>
      <c r="Z3" s="61">
        <v>1.3192612137203167E-2</v>
      </c>
      <c r="AA3" s="61">
        <v>2.1739130434782608E-2</v>
      </c>
      <c r="AB3" s="61">
        <v>1.8181818181818181E-2</v>
      </c>
      <c r="AC3" s="61">
        <v>8.0000000000000002E-3</v>
      </c>
      <c r="AD3" s="61">
        <v>4.9295774647887321E-2</v>
      </c>
      <c r="AE3" s="61">
        <v>1.2048192771084338E-2</v>
      </c>
      <c r="AF3" s="61">
        <v>1.1764705882352941E-2</v>
      </c>
      <c r="AG3" s="61">
        <v>1.2345679012345678E-2</v>
      </c>
      <c r="AH3" s="61">
        <v>1.3157894736842105E-2</v>
      </c>
      <c r="AI3" s="61">
        <v>1.3513513513513514E-2</v>
      </c>
      <c r="AJ3" s="61">
        <v>1.8292682926829267E-2</v>
      </c>
      <c r="AK3" s="62">
        <v>9.1743119266055051E-3</v>
      </c>
      <c r="AL3" s="82">
        <f>AVERAGE(U3:AK3)</f>
        <v>1.9444289550608812E-2</v>
      </c>
    </row>
    <row r="4" spans="1:38" ht="15">
      <c r="A4" s="59">
        <v>2</v>
      </c>
      <c r="B4" s="74">
        <f>(getDistance(coord!C2,coord!D2,coord!$C$1,coord!$D$1)*1000)/$B$20</f>
        <v>9.2469745750658385E-3</v>
      </c>
      <c r="C4" s="75">
        <f>(getDistance(coord!C2,coord!D2,coord!$C$2,coord!$D$2)*1000)/$C$20</f>
        <v>0</v>
      </c>
      <c r="D4" s="74">
        <f>(getDistance(coord!$C2,coord!$D2,coord!$C$3,coord!$D$3)*1000)/$D$20</f>
        <v>1.3406673571440857E-2</v>
      </c>
      <c r="E4" s="74">
        <f>(getDistance(coord!$C2,coord!$D2,coord!$C$4,coord!$D$4)*1000)/$E$20</f>
        <v>4.6106558172381198E-2</v>
      </c>
      <c r="F4" s="74">
        <f>(getDistance(coord!$C2,coord!$D2,coord!$C$5,coord!$D$5)*1000)/$F$20</f>
        <v>8.1067478863828216E-2</v>
      </c>
      <c r="G4" s="74">
        <f>(getDistance(coord!$C2,coord!$D2,coord!$C$6,coord!$D$6)*1000)/$G$20</f>
        <v>8.0175462212965953E-2</v>
      </c>
      <c r="H4" s="74">
        <f>(getDistance(coord!$C2,coord!$D2,coord!$C$7,coord!$D$7)*1000)/$H$20</f>
        <v>8.468635184258988E-2</v>
      </c>
      <c r="I4" s="74">
        <f>(getDistance(coord!$C2,coord!$D2,coord!$C$8,coord!$D$8)*1000)/$I$20</f>
        <v>8.3290509632205356E-2</v>
      </c>
      <c r="J4" s="74">
        <f>(getDistance(coord!$C2,coord!$D2,coord!$C$9,coord!$D$9)*1000)/$J$20</f>
        <v>7.7949945055034039E-2</v>
      </c>
      <c r="K4" s="74">
        <f>(getDistance(coord!$C2,coord!$D2,coord!$C$10,coord!$D$10)*1000)/$K$20</f>
        <v>7.2766203954019684E-2</v>
      </c>
      <c r="L4" s="74">
        <f>(getDistance(coord!$C2,coord!$D2,coord!$C$11,coord!$D$11)*1000)/$L$20</f>
        <v>5.4633200319977884E-2</v>
      </c>
      <c r="M4" s="74">
        <f>(getDistance(coord!$C2,coord!$D2,coord!$C$12,coord!$D$12)*1000)/$M$20</f>
        <v>8.1881962218171789E-2</v>
      </c>
      <c r="N4" s="74">
        <f>(getDistance(coord!$C2,coord!$D2,coord!$C$13,coord!$D$13)*1000)/$N$20</f>
        <v>3.8078436406743466E-2</v>
      </c>
      <c r="O4" s="74">
        <f>(getDistance(coord!$C2,coord!$D2,coord!$C$14,coord!$D$14)*1000)/$O$20</f>
        <v>1.8726762682311E-2</v>
      </c>
      <c r="P4" s="74">
        <f>(getDistance(coord!$C2,coord!$D2,coord!$C$15,coord!$D$15)*1000)/$P$20</f>
        <v>5.8687830639966236E-2</v>
      </c>
      <c r="Q4" s="74">
        <f>(getDistance(coord!$C2,coord!$D2,coord!$C$16,coord!$D$16)*1000)/$Q$20</f>
        <v>5.4144568419983552E-2</v>
      </c>
      <c r="R4" s="74">
        <f>(getDistance(coord!$C2,coord!$D2,coord!$C$17,coord!$D$17)*1000)/$R$20</f>
        <v>5.3842463364049263E-2</v>
      </c>
      <c r="S4" s="58" t="s">
        <v>15</v>
      </c>
      <c r="T4" s="59">
        <v>9</v>
      </c>
      <c r="U4" s="61">
        <v>3.4482758620689655E-2</v>
      </c>
      <c r="V4" s="61">
        <v>1.9607843137254902E-2</v>
      </c>
      <c r="W4" s="61">
        <v>6.0606060606060608E-2</v>
      </c>
      <c r="X4" s="61">
        <v>9.5238095238095247E-3</v>
      </c>
      <c r="Y4" s="61">
        <v>4.3859649122807015E-2</v>
      </c>
      <c r="Z4" s="61">
        <v>1.3192612137203167E-2</v>
      </c>
      <c r="AA4" s="61">
        <v>2.1739130434782608E-2</v>
      </c>
      <c r="AB4" s="61">
        <v>1.8181818181818181E-2</v>
      </c>
      <c r="AC4" s="61">
        <v>1.6E-2</v>
      </c>
      <c r="AD4" s="61">
        <v>5.6338028169014086E-2</v>
      </c>
      <c r="AE4" s="61">
        <v>2.4096385542168676E-2</v>
      </c>
      <c r="AF4" s="61">
        <v>2.3529411764705882E-2</v>
      </c>
      <c r="AG4" s="61">
        <v>2.4691358024691357E-2</v>
      </c>
      <c r="AH4" s="61">
        <v>3.9473684210526314E-2</v>
      </c>
      <c r="AI4" s="61">
        <v>4.0540540540540543E-2</v>
      </c>
      <c r="AJ4" s="61">
        <v>2.4390243902439025E-2</v>
      </c>
      <c r="AK4" s="62">
        <v>3.669724770642202E-2</v>
      </c>
      <c r="AL4" s="82">
        <f t="shared" ref="AL4:AL19" si="0">AVERAGE(U4:AK4)</f>
        <v>2.982062244852551E-2</v>
      </c>
    </row>
    <row r="5" spans="1:38" ht="15">
      <c r="A5" s="59">
        <v>3</v>
      </c>
      <c r="B5" s="74">
        <f>(getDistance(coord!C3,coord!D3,coord!$C$1,coord!$D$1)*1000)/$B$20</f>
        <v>1.9643791909343934E-2</v>
      </c>
      <c r="C5" s="74">
        <f>(getDistance(coord!C3,coord!D3,coord!$C$2,coord!$D$2)*1000)/$C$20</f>
        <v>1.2288579056995987E-2</v>
      </c>
      <c r="D5" s="75">
        <f>(getDistance(coord!$C3,coord!$D3,coord!$C$3,coord!$D$3)*1000)/$D$20</f>
        <v>0</v>
      </c>
      <c r="E5" s="74">
        <f>(getDistance(coord!$C3,coord!$D3,coord!$C$4,coord!$D$4)*1000)/$E$20</f>
        <v>4.9239744032680575E-2</v>
      </c>
      <c r="F5" s="74">
        <f>(getDistance(coord!$C3,coord!$D3,coord!$C$5,coord!$D$5)*1000)/$F$20</f>
        <v>6.7114307356976877E-2</v>
      </c>
      <c r="G5" s="74">
        <f>(getDistance(coord!$C3,coord!$D3,coord!$C$6,coord!$D$6)*1000)/$G$20</f>
        <v>6.7600548215057135E-2</v>
      </c>
      <c r="H5" s="74">
        <f>(getDistance(coord!$C3,coord!$D3,coord!$C$7,coord!$D$7)*1000)/$H$20</f>
        <v>7.5382023485248112E-2</v>
      </c>
      <c r="I5" s="74">
        <f>(getDistance(coord!$C3,coord!$D3,coord!$C$8,coord!$D$8)*1000)/$I$20</f>
        <v>6.9817238172495161E-2</v>
      </c>
      <c r="J5" s="74">
        <f>(getDistance(coord!$C3,coord!$D3,coord!$C$9,coord!$D$9)*1000)/$J$20</f>
        <v>6.4957190869945655E-2</v>
      </c>
      <c r="K5" s="74">
        <f>(getDistance(coord!$C3,coord!$D3,coord!$C$10,coord!$D$10)*1000)/$K$20</f>
        <v>5.8381558747137567E-2</v>
      </c>
      <c r="L5" s="74">
        <f>(getDistance(coord!$C3,coord!$D3,coord!$C$11,coord!$D$11)*1000)/$L$20</f>
        <v>4.7923791064915143E-2</v>
      </c>
      <c r="M5" s="74">
        <f>(getDistance(coord!$C3,coord!$D3,coord!$C$12,coord!$D$12)*1000)/$M$20</f>
        <v>7.4297179559466797E-2</v>
      </c>
      <c r="N5" s="74">
        <f>(getDistance(coord!$C3,coord!$D3,coord!$C$13,coord!$D$13)*1000)/$N$20</f>
        <v>4.3084773468247912E-2</v>
      </c>
      <c r="O5" s="74">
        <f>(getDistance(coord!$C3,coord!$D3,coord!$C$14,coord!$D$14)*1000)/$O$20</f>
        <v>2.7735254089680056E-2</v>
      </c>
      <c r="P5" s="74">
        <f>(getDistance(coord!$C3,coord!$D3,coord!$C$15,coord!$D$15)*1000)/$P$20</f>
        <v>4.7574861205438287E-2</v>
      </c>
      <c r="Q5" s="74">
        <f>(getDistance(coord!$C3,coord!$D3,coord!$C$16,coord!$D$16)*1000)/$Q$20</f>
        <v>4.891291394410003E-2</v>
      </c>
      <c r="R5" s="74">
        <f>(getDistance(coord!$C3,coord!$D3,coord!$C$17,coord!$D$17)*1000)/$R$20</f>
        <v>4.4698705395085934E-2</v>
      </c>
      <c r="S5" s="58" t="s">
        <v>16</v>
      </c>
      <c r="T5" s="59">
        <v>10</v>
      </c>
      <c r="U5" s="61">
        <v>4.8275862068965517E-2</v>
      </c>
      <c r="V5" s="61">
        <v>3.9215686274509803E-2</v>
      </c>
      <c r="W5" s="61">
        <v>6.0606060606060608E-2</v>
      </c>
      <c r="X5" s="61">
        <v>1.9047619047619049E-2</v>
      </c>
      <c r="Y5" s="61">
        <v>6.1403508771929821E-2</v>
      </c>
      <c r="Z5" s="61">
        <v>2.6385224274406333E-2</v>
      </c>
      <c r="AA5" s="61">
        <v>4.3478260869565216E-2</v>
      </c>
      <c r="AB5" s="61">
        <v>3.6363636363636362E-2</v>
      </c>
      <c r="AC5" s="61">
        <v>2.4E-2</v>
      </c>
      <c r="AD5" s="61">
        <v>6.3380281690140844E-2</v>
      </c>
      <c r="AE5" s="61">
        <v>3.614457831325301E-2</v>
      </c>
      <c r="AF5" s="61">
        <v>3.5294117647058823E-2</v>
      </c>
      <c r="AG5" s="61">
        <v>3.7037037037037035E-2</v>
      </c>
      <c r="AH5" s="61">
        <v>6.5789473684210523E-2</v>
      </c>
      <c r="AI5" s="61">
        <v>6.7567567567567571E-2</v>
      </c>
      <c r="AJ5" s="61">
        <v>3.048780487804878E-2</v>
      </c>
      <c r="AK5" s="62">
        <v>6.4220183486238536E-2</v>
      </c>
      <c r="AL5" s="82">
        <f t="shared" si="0"/>
        <v>4.4629229563543996E-2</v>
      </c>
    </row>
    <row r="6" spans="1:38" ht="15">
      <c r="A6" s="59">
        <v>4</v>
      </c>
      <c r="B6" s="74">
        <f>(getDistance(coord!C4,coord!D4,coord!$C$1,coord!$D$1)*1000)/$B$20</f>
        <v>6.3479240244314714E-2</v>
      </c>
      <c r="C6" s="74">
        <f>(getDistance(coord!C4,coord!D4,coord!$C$2,coord!$D$2)*1000)/$C$20</f>
        <v>7.5531829384877472E-2</v>
      </c>
      <c r="D6" s="74">
        <f>(getDistance(coord!$C4,coord!$D4,coord!$C$3,coord!$D$3)*1000)/$D$20</f>
        <v>8.800400841849014E-2</v>
      </c>
      <c r="E6" s="75">
        <f>(getDistance(coord!$C4,coord!$D4,coord!$C$4,coord!$D$4)*1000)/$E$20</f>
        <v>0</v>
      </c>
      <c r="F6" s="74">
        <f>(getDistance(coord!$C4,coord!$D4,coord!$C$5,coord!$D$5)*1000)/$F$20</f>
        <v>0.13532669589065421</v>
      </c>
      <c r="G6" s="74">
        <f>(getDistance(coord!$C4,coord!$D4,coord!$C$6,coord!$D$6)*1000)/$G$20</f>
        <v>0.11768627586774991</v>
      </c>
      <c r="H6" s="74">
        <f>(getDistance(coord!$C4,coord!$D4,coord!$C$7,coord!$D$7)*1000)/$H$20</f>
        <v>0.11144001891511569</v>
      </c>
      <c r="I6" s="74">
        <f>(getDistance(coord!$C4,coord!$D4,coord!$C$8,coord!$D$8)*1000)/$I$20</f>
        <v>0.13205624405448768</v>
      </c>
      <c r="J6" s="74">
        <f>(getDistance(coord!$C4,coord!$D4,coord!$C$9,coord!$D$9)*1000)/$J$20</f>
        <v>0.13633197020169702</v>
      </c>
      <c r="K6" s="74">
        <f>(getDistance(coord!$C4,coord!$D4,coord!$C$10,coord!$D$10)*1000)/$K$20</f>
        <v>0.12509114644578523</v>
      </c>
      <c r="L6" s="74">
        <f>(getDistance(coord!$C4,coord!$D4,coord!$C$11,coord!$D$11)*1000)/$L$20</f>
        <v>6.6478851750094006E-2</v>
      </c>
      <c r="M6" s="74">
        <f>(getDistance(coord!$C4,coord!$D4,coord!$C$12,coord!$D$12)*1000)/$M$20</f>
        <v>9.7873585979555255E-2</v>
      </c>
      <c r="N6" s="74">
        <f>(getDistance(coord!$C4,coord!$D4,coord!$C$13,coord!$D$13)*1000)/$N$20</f>
        <v>1.6348341587255268E-2</v>
      </c>
      <c r="O6" s="74">
        <f>(getDistance(coord!$C4,coord!$D4,coord!$C$14,coord!$D$14)*1000)/$O$20</f>
        <v>4.9557575034467172E-2</v>
      </c>
      <c r="P6" s="74">
        <f>(getDistance(coord!$C4,coord!$D4,coord!$C$15,coord!$D$15)*1000)/$P$20</f>
        <v>0.1294425679412515</v>
      </c>
      <c r="Q6" s="74">
        <f>(getDistance(coord!$C4,coord!$D4,coord!$C$16,coord!$D$16)*1000)/$Q$20</f>
        <v>0.11186301713772151</v>
      </c>
      <c r="R6" s="74">
        <f>(getDistance(coord!$C4,coord!$D4,coord!$C$17,coord!$D$17)*1000)/$R$20</f>
        <v>0.12383620205405937</v>
      </c>
      <c r="S6" s="58" t="s">
        <v>17</v>
      </c>
      <c r="T6" s="59">
        <v>11</v>
      </c>
      <c r="U6" s="61">
        <v>5.5172413793103448E-2</v>
      </c>
      <c r="V6" s="61">
        <v>5.8823529411764705E-2</v>
      </c>
      <c r="W6" s="61">
        <v>6.0606060606060608E-2</v>
      </c>
      <c r="X6" s="61">
        <v>2.8571428571428571E-2</v>
      </c>
      <c r="Y6" s="61">
        <v>7.0175438596491224E-2</v>
      </c>
      <c r="Z6" s="61">
        <v>3.9577836411609502E-2</v>
      </c>
      <c r="AA6" s="61">
        <v>6.5217391304347824E-2</v>
      </c>
      <c r="AB6" s="61">
        <v>3.6363636363636362E-2</v>
      </c>
      <c r="AC6" s="61">
        <v>3.2000000000000001E-2</v>
      </c>
      <c r="AD6" s="61">
        <v>6.3380281690140844E-2</v>
      </c>
      <c r="AE6" s="61">
        <v>4.8192771084337352E-2</v>
      </c>
      <c r="AF6" s="61">
        <v>4.7058823529411764E-2</v>
      </c>
      <c r="AG6" s="61">
        <v>6.1728395061728392E-2</v>
      </c>
      <c r="AH6" s="61">
        <v>7.8947368421052627E-2</v>
      </c>
      <c r="AI6" s="61">
        <v>8.1081081081081086E-2</v>
      </c>
      <c r="AJ6" s="61">
        <v>3.6585365853658534E-2</v>
      </c>
      <c r="AK6" s="62">
        <v>9.1743119266055051E-2</v>
      </c>
      <c r="AL6" s="82">
        <f t="shared" si="0"/>
        <v>5.6189702414465192E-2</v>
      </c>
    </row>
    <row r="7" spans="1:38" ht="15">
      <c r="A7" s="59">
        <v>5</v>
      </c>
      <c r="B7" s="74">
        <f>(getDistance(coord!C5,coord!D5,coord!$C$1,coord!$D$1)*1000)/$B$20</f>
        <v>7.4513747663746827E-2</v>
      </c>
      <c r="C7" s="74">
        <f>(getDistance(coord!C5,coord!D5,coord!$C$2,coord!$D$2)*1000)/$C$20</f>
        <v>7.1332223275925158E-2</v>
      </c>
      <c r="D7" s="74">
        <f>(getDistance(coord!$C5,coord!$D5,coord!$C$3,coord!$D$3)*1000)/$D$20</f>
        <v>6.4427840249098367E-2</v>
      </c>
      <c r="E7" s="74">
        <f>(getDistance(coord!$C5,coord!$D5,coord!$C$4,coord!$D$4)*1000)/$E$20</f>
        <v>7.2686753478064511E-2</v>
      </c>
      <c r="F7" s="75">
        <f>(getDistance(coord!$C5,coord!$D5,coord!$C$5,coord!$D$5)*1000)/$F$20</f>
        <v>0</v>
      </c>
      <c r="G7" s="74">
        <f>(getDistance(coord!$C5,coord!$D5,coord!$C$6,coord!$D$6)*1000)/$G$20</f>
        <v>2.0764064813478561E-2</v>
      </c>
      <c r="H7" s="74">
        <f>(getDistance(coord!$C5,coord!$D5,coord!$C$7,coord!$D$7)*1000)/$H$20</f>
        <v>3.1073475364880684E-2</v>
      </c>
      <c r="I7" s="74">
        <f>(getDistance(coord!$C5,coord!$D5,coord!$C$8,coord!$D$8)*1000)/$I$20</f>
        <v>6.6997057360049812E-3</v>
      </c>
      <c r="J7" s="74">
        <f>(getDistance(coord!$C5,coord!$D5,coord!$C$9,coord!$D$9)*1000)/$J$20</f>
        <v>1.3639234596297669E-2</v>
      </c>
      <c r="K7" s="74">
        <f>(getDistance(coord!$C5,coord!$D5,coord!$C$10,coord!$D$10)*1000)/$K$20</f>
        <v>1.7651267526811714E-2</v>
      </c>
      <c r="L7" s="74">
        <f>(getDistance(coord!$C5,coord!$D5,coord!$C$11,coord!$D$11)*1000)/$L$20</f>
        <v>5.3560851603546879E-2</v>
      </c>
      <c r="M7" s="74">
        <f>(getDistance(coord!$C5,coord!$D5,coord!$C$12,coord!$D$12)*1000)/$M$20</f>
        <v>3.9018607255554762E-2</v>
      </c>
      <c r="N7" s="74">
        <f>(getDistance(coord!$C5,coord!$D5,coord!$C$13,coord!$D$13)*1000)/$N$20</f>
        <v>7.5467560403881626E-2</v>
      </c>
      <c r="O7" s="74">
        <f>(getDistance(coord!$C5,coord!$D5,coord!$C$14,coord!$D$14)*1000)/$O$20</f>
        <v>7.6258866569330716E-2</v>
      </c>
      <c r="P7" s="74">
        <f>(getDistance(coord!$C5,coord!$D5,coord!$C$15,coord!$D$15)*1000)/$P$20</f>
        <v>3.7959046248182332E-2</v>
      </c>
      <c r="Q7" s="74">
        <f>(getDistance(coord!$C5,coord!$D5,coord!$C$16,coord!$D$16)*1000)/$Q$20</f>
        <v>5.0538031267408988E-2</v>
      </c>
      <c r="R7" s="74">
        <f>(getDistance(coord!$C5,coord!$D5,coord!$C$17,coord!$D$17)*1000)/$R$20</f>
        <v>4.4755301363570019E-2</v>
      </c>
      <c r="S7" s="58" t="s">
        <v>18</v>
      </c>
      <c r="T7" s="59">
        <v>12</v>
      </c>
      <c r="U7" s="61">
        <v>6.2068965517241378E-2</v>
      </c>
      <c r="V7" s="61">
        <v>5.8823529411764705E-2</v>
      </c>
      <c r="W7" s="61">
        <v>6.0606060606060608E-2</v>
      </c>
      <c r="X7" s="61">
        <v>4.7619047619047616E-2</v>
      </c>
      <c r="Y7" s="61">
        <v>7.0175438596491224E-2</v>
      </c>
      <c r="Z7" s="61">
        <v>6.3324538258575203E-2</v>
      </c>
      <c r="AA7" s="61">
        <v>6.5217391304347824E-2</v>
      </c>
      <c r="AB7" s="61">
        <v>5.4545454545454543E-2</v>
      </c>
      <c r="AC7" s="61">
        <v>0.04</v>
      </c>
      <c r="AD7" s="61">
        <v>6.3380281690140844E-2</v>
      </c>
      <c r="AE7" s="61">
        <v>6.0240963855421686E-2</v>
      </c>
      <c r="AF7" s="61">
        <v>5.8823529411764705E-2</v>
      </c>
      <c r="AG7" s="61">
        <v>8.6419753086419748E-2</v>
      </c>
      <c r="AH7" s="61">
        <v>9.2105263157894732E-2</v>
      </c>
      <c r="AI7" s="61">
        <v>8.1081081081081086E-2</v>
      </c>
      <c r="AJ7" s="61">
        <v>4.2682926829268296E-2</v>
      </c>
      <c r="AK7" s="62">
        <v>9.1743119266055051E-2</v>
      </c>
      <c r="AL7" s="82">
        <f t="shared" si="0"/>
        <v>6.4638667308060546E-2</v>
      </c>
    </row>
    <row r="8" spans="1:38" ht="15">
      <c r="A8" s="59">
        <v>6</v>
      </c>
      <c r="B8" s="74">
        <f>(getDistance(coord!C6,coord!D6,coord!$C$1,coord!$D$1)*1000)/$B$20</f>
        <v>7.5503956165217129E-2</v>
      </c>
      <c r="C8" s="74">
        <f>(getDistance(coord!C6,coord!D6,coord!$C$2,coord!$D$2)*1000)/$C$20</f>
        <v>7.416462936716553E-2</v>
      </c>
      <c r="D8" s="74">
        <f>(getDistance(coord!$C6,coord!$D6,coord!$C$3,coord!$D$3)*1000)/$D$20</f>
        <v>6.8222078018574397E-2</v>
      </c>
      <c r="E8" s="74">
        <f>(getDistance(coord!$C6,coord!$D6,coord!$C$4,coord!$D$4)*1000)/$E$20</f>
        <v>6.6452890858092556E-2</v>
      </c>
      <c r="F8" s="74">
        <f>(getDistance(coord!$C6,coord!$D6,coord!$C$5,coord!$D$5)*1000)/$F$20</f>
        <v>2.1828738636758608E-2</v>
      </c>
      <c r="G8" s="75">
        <f>(getDistance(coord!$C6,coord!$D6,coord!$C$6,coord!$D$6)*1000)/$G$20</f>
        <v>0</v>
      </c>
      <c r="H8" s="74">
        <f>(getDistance(coord!$C6,coord!$D6,coord!$C$7,coord!$D$7)*1000)/$H$20</f>
        <v>2.9162206687823905E-2</v>
      </c>
      <c r="I8" s="74">
        <f>(getDistance(coord!$C6,coord!$D6,coord!$C$8,coord!$D$8)*1000)/$I$20</f>
        <v>1.6717233691112079E-2</v>
      </c>
      <c r="J8" s="74">
        <f>(getDistance(coord!$C6,coord!$D6,coord!$C$9,coord!$D$9)*1000)/$J$20</f>
        <v>3.4169011585670317E-2</v>
      </c>
      <c r="K8" s="74">
        <f>(getDistance(coord!$C6,coord!$D6,coord!$C$10,coord!$D$10)*1000)/$K$20</f>
        <v>1.8268829617316084E-2</v>
      </c>
      <c r="L8" s="74">
        <f>(getDistance(coord!$C6,coord!$D6,coord!$C$11,coord!$D$11)*1000)/$L$20</f>
        <v>4.1130588610241409E-2</v>
      </c>
      <c r="M8" s="74">
        <f>(getDistance(coord!$C6,coord!$D6,coord!$C$12,coord!$D$12)*1000)/$M$20</f>
        <v>3.3737409043053328E-2</v>
      </c>
      <c r="N8" s="74">
        <f>(getDistance(coord!$C6,coord!$D6,coord!$C$13,coord!$D$13)*1000)/$N$20</f>
        <v>7.0816044670883788E-2</v>
      </c>
      <c r="O8" s="74">
        <f>(getDistance(coord!$C6,coord!$D6,coord!$C$14,coord!$D$14)*1000)/$O$20</f>
        <v>7.5641428358044008E-2</v>
      </c>
      <c r="P8" s="74">
        <f>(getDistance(coord!$C6,coord!$D6,coord!$C$15,coord!$D$15)*1000)/$P$20</f>
        <v>5.5210243961729924E-2</v>
      </c>
      <c r="Q8" s="74">
        <f>(getDistance(coord!$C6,coord!$D6,coord!$C$16,coord!$D$16)*1000)/$Q$20</f>
        <v>6.4157895195982612E-2</v>
      </c>
      <c r="R8" s="74">
        <f>(getDistance(coord!$C6,coord!$D6,coord!$C$17,coord!$D$17)*1000)/$R$20</f>
        <v>6.067538526253205E-2</v>
      </c>
      <c r="S8" s="58" t="s">
        <v>19</v>
      </c>
      <c r="T8" s="59">
        <v>13</v>
      </c>
      <c r="U8" s="63">
        <v>7.586206896551724E-2</v>
      </c>
      <c r="V8" s="63">
        <v>7.8431372549019607E-2</v>
      </c>
      <c r="W8" s="61">
        <v>6.0606060606060608E-2</v>
      </c>
      <c r="X8" s="61">
        <v>6.6666666666666666E-2</v>
      </c>
      <c r="Y8" s="61">
        <v>7.0175438596491224E-2</v>
      </c>
      <c r="Z8" s="61">
        <v>7.9155672823219003E-2</v>
      </c>
      <c r="AA8" s="61">
        <v>8.6956521739130432E-2</v>
      </c>
      <c r="AB8" s="61">
        <v>5.4545454545454543E-2</v>
      </c>
      <c r="AC8" s="61">
        <v>5.6000000000000001E-2</v>
      </c>
      <c r="AD8" s="61">
        <v>6.3380281690140844E-2</v>
      </c>
      <c r="AE8" s="61">
        <v>7.2289156626506021E-2</v>
      </c>
      <c r="AF8" s="61">
        <v>7.0588235294117646E-2</v>
      </c>
      <c r="AG8" s="61">
        <v>9.8765432098765427E-2</v>
      </c>
      <c r="AH8" s="61">
        <v>9.2105263157894732E-2</v>
      </c>
      <c r="AI8" s="61">
        <v>8.1081081081081086E-2</v>
      </c>
      <c r="AJ8" s="61">
        <v>5.4878048780487805E-2</v>
      </c>
      <c r="AK8" s="62">
        <v>9.1743119266055051E-2</v>
      </c>
      <c r="AL8" s="82">
        <f t="shared" si="0"/>
        <v>7.3719404381565184E-2</v>
      </c>
    </row>
    <row r="9" spans="1:38" ht="15">
      <c r="A9" s="59">
        <v>7</v>
      </c>
      <c r="B9" s="74">
        <f>(getDistance(coord!C7,coord!D7,coord!$C$1,coord!$D$1)*1000)/$B$20</f>
        <v>0.11024602044878865</v>
      </c>
      <c r="C9" s="74">
        <f>(getDistance(coord!C7,coord!D7,coord!$C$2,coord!$D$2)*1000)/$C$20</f>
        <v>0.11010461508476854</v>
      </c>
      <c r="D9" s="74">
        <f>(getDistance(coord!$C7,coord!$D7,coord!$C$3,coord!$D$3)*1000)/$D$20</f>
        <v>0.10692499951284801</v>
      </c>
      <c r="E9" s="74">
        <f>(getDistance(coord!$C7,coord!$D7,coord!$C$4,coord!$D$4)*1000)/$E$20</f>
        <v>8.8443511207543263E-2</v>
      </c>
      <c r="F9" s="74">
        <f>(getDistance(coord!$C7,coord!$D7,coord!$C$5,coord!$D$5)*1000)/$F$20</f>
        <v>4.5913757294255543E-2</v>
      </c>
      <c r="G9" s="74">
        <f>(getDistance(coord!$C7,coord!$D7,coord!$C$6,coord!$D$6)*1000)/$G$20</f>
        <v>4.0988037398308211E-2</v>
      </c>
      <c r="H9" s="75">
        <f>(getDistance(coord!$C7,coord!$D7,coord!$C$7,coord!$D$7)*1000)/$H$20</f>
        <v>0</v>
      </c>
      <c r="I9" s="74">
        <f>(getDistance(coord!$C7,coord!$D7,coord!$C$8,coord!$D$8)*1000)/$I$20</f>
        <v>3.8743657867997619E-2</v>
      </c>
      <c r="J9" s="74">
        <f>(getDistance(coord!$C7,coord!$D7,coord!$C$9,coord!$D$9)*1000)/$J$20</f>
        <v>4.9244496620776908E-2</v>
      </c>
      <c r="K9" s="74">
        <f>(getDistance(coord!$C7,coord!$D7,coord!$C$10,coord!$D$10)*1000)/$K$20</f>
        <v>5.9262873544274626E-2</v>
      </c>
      <c r="L9" s="74">
        <f>(getDistance(coord!$C7,coord!$D7,coord!$C$11,coord!$D$11)*1000)/$L$20</f>
        <v>7.6742677255341979E-2</v>
      </c>
      <c r="M9" s="74">
        <f>(getDistance(coord!$C7,coord!$D7,coord!$C$12,coord!$D$12)*1000)/$M$20</f>
        <v>1.4538514946681543E-2</v>
      </c>
      <c r="N9" s="74">
        <f>(getDistance(coord!$C7,coord!$D7,coord!$C$13,coord!$D$13)*1000)/$N$20</f>
        <v>9.6802630564305797E-2</v>
      </c>
      <c r="O9" s="74">
        <f>(getDistance(coord!$C7,coord!$D7,coord!$C$14,coord!$D$14)*1000)/$O$20</f>
        <v>0.10771118170244345</v>
      </c>
      <c r="P9" s="74">
        <f>(getDistance(coord!$C7,coord!$D7,coord!$C$15,coord!$D$15)*1000)/$P$20</f>
        <v>7.7887990092287598E-2</v>
      </c>
      <c r="Q9" s="74">
        <f>(getDistance(coord!$C7,coord!$D7,coord!$C$16,coord!$D$16)*1000)/$Q$20</f>
        <v>7.7230351239655826E-2</v>
      </c>
      <c r="R9" s="74">
        <f>(getDistance(coord!$C7,coord!$D7,coord!$C$17,coord!$D$17)*1000)/$R$20</f>
        <v>8.2165573782386259E-2</v>
      </c>
      <c r="S9" s="58" t="s">
        <v>20</v>
      </c>
      <c r="T9" s="59">
        <v>14</v>
      </c>
      <c r="U9" s="63">
        <v>7.586206896551724E-2</v>
      </c>
      <c r="V9" s="63">
        <v>7.8431372549019607E-2</v>
      </c>
      <c r="W9" s="61">
        <v>6.0606060606060608E-2</v>
      </c>
      <c r="X9" s="61">
        <v>8.5714285714285715E-2</v>
      </c>
      <c r="Y9" s="61">
        <v>7.0175438596491224E-2</v>
      </c>
      <c r="Z9" s="61">
        <v>7.9155672823219003E-2</v>
      </c>
      <c r="AA9" s="61">
        <v>8.6956521739130432E-2</v>
      </c>
      <c r="AB9" s="61">
        <v>7.2727272727272724E-2</v>
      </c>
      <c r="AC9" s="61">
        <v>7.1999999999999995E-2</v>
      </c>
      <c r="AD9" s="61">
        <v>6.3380281690140844E-2</v>
      </c>
      <c r="AE9" s="61">
        <v>8.4337349397590355E-2</v>
      </c>
      <c r="AF9" s="61">
        <v>8.2352941176470587E-2</v>
      </c>
      <c r="AG9" s="61">
        <v>9.8765432098765427E-2</v>
      </c>
      <c r="AH9" s="61">
        <v>9.2105263157894732E-2</v>
      </c>
      <c r="AI9" s="61">
        <v>8.1081081081081086E-2</v>
      </c>
      <c r="AJ9" s="61">
        <v>6.7073170731707321E-2</v>
      </c>
      <c r="AK9" s="62">
        <v>8.2568807339449546E-2</v>
      </c>
      <c r="AL9" s="82">
        <f t="shared" si="0"/>
        <v>7.8429001199652737E-2</v>
      </c>
    </row>
    <row r="10" spans="1:38" ht="15">
      <c r="A10" s="59">
        <v>8</v>
      </c>
      <c r="B10" s="74">
        <f>(getDistance(coord!C8,coord!D8,coord!$C$1,coord!$D$1)*1000)/$B$20</f>
        <v>7.8116539205215205E-2</v>
      </c>
      <c r="C10" s="74">
        <f>(getDistance(coord!C8,coord!D8,coord!$C$2,coord!$D$2)*1000)/$C$20</f>
        <v>7.5528201747367199E-2</v>
      </c>
      <c r="D10" s="74">
        <f>(getDistance(coord!$C8,coord!$D8,coord!$C$3,coord!$D$3)*1000)/$D$20</f>
        <v>6.9070986320844893E-2</v>
      </c>
      <c r="E10" s="74">
        <f>(getDistance(coord!$C8,coord!$D8,coord!$C$4,coord!$D$4)*1000)/$E$20</f>
        <v>7.3097961577115442E-2</v>
      </c>
      <c r="F10" s="74">
        <f>(getDistance(coord!$C8,coord!$D8,coord!$C$5,coord!$D$5)*1000)/$F$20</f>
        <v>6.9044686187920493E-3</v>
      </c>
      <c r="G10" s="74">
        <f>(getDistance(coord!$C8,coord!$D8,coord!$C$6,coord!$D$6)*1000)/$G$20</f>
        <v>1.6387876424078383E-2</v>
      </c>
      <c r="H10" s="74">
        <f>(getDistance(coord!$C8,coord!$D8,coord!$C$7,coord!$D$7)*1000)/$H$20</f>
        <v>2.7022289830822523E-2</v>
      </c>
      <c r="I10" s="75">
        <f>(getDistance(coord!$C8,coord!$D8,coord!$C$8,coord!$D$8)*1000)/$I$20</f>
        <v>0</v>
      </c>
      <c r="J10" s="74">
        <f>(getDistance(coord!$C8,coord!$D8,coord!$C$9,coord!$D$9)*1000)/$J$20</f>
        <v>1.8865925894248264E-2</v>
      </c>
      <c r="K10" s="74">
        <f>(getDistance(coord!$C8,coord!$D8,coord!$C$10,coord!$D$10)*1000)/$K$20</f>
        <v>1.9370649843554015E-2</v>
      </c>
      <c r="L10" s="74">
        <f>(getDistance(coord!$C8,coord!$D8,coord!$C$11,coord!$D$11)*1000)/$L$20</f>
        <v>5.3047541420967771E-2</v>
      </c>
      <c r="M10" s="74">
        <f>(getDistance(coord!$C8,coord!$D8,coord!$C$12,coord!$D$12)*1000)/$M$20</f>
        <v>3.5229351517956919E-2</v>
      </c>
      <c r="N10" s="74">
        <f>(getDistance(coord!$C8,coord!$D8,coord!$C$13,coord!$D$13)*1000)/$N$20</f>
        <v>7.6712397791357037E-2</v>
      </c>
      <c r="O10" s="74">
        <f>(getDistance(coord!$C8,coord!$D8,coord!$C$14,coord!$D$14)*1000)/$O$20</f>
        <v>7.9191169760593288E-2</v>
      </c>
      <c r="P10" s="74">
        <f>(getDistance(coord!$C8,coord!$D8,coord!$C$15,coord!$D$15)*1000)/$P$20</f>
        <v>4.4365082357417922E-2</v>
      </c>
      <c r="Q10" s="74">
        <f>(getDistance(coord!$C8,coord!$D8,coord!$C$16,coord!$D$16)*1000)/$Q$20</f>
        <v>5.516766485577608E-2</v>
      </c>
      <c r="R10" s="74">
        <f>(getDistance(coord!$C8,coord!$D8,coord!$C$17,coord!$D$17)*1000)/$R$20</f>
        <v>5.0786616553483946E-2</v>
      </c>
      <c r="S10" s="58" t="s">
        <v>21</v>
      </c>
      <c r="T10" s="59">
        <v>15</v>
      </c>
      <c r="U10" s="63">
        <v>8.2758620689655171E-2</v>
      </c>
      <c r="V10" s="63">
        <v>9.8039215686274508E-2</v>
      </c>
      <c r="W10" s="61">
        <v>6.0606060606060608E-2</v>
      </c>
      <c r="X10" s="61">
        <v>0.11428571428571428</v>
      </c>
      <c r="Y10" s="61">
        <v>7.0175438596491224E-2</v>
      </c>
      <c r="Z10" s="61">
        <v>7.9155672823219003E-2</v>
      </c>
      <c r="AA10" s="61">
        <v>8.6956521739130432E-2</v>
      </c>
      <c r="AB10" s="61">
        <v>7.2727272727272724E-2</v>
      </c>
      <c r="AC10" s="61">
        <v>9.6000000000000002E-2</v>
      </c>
      <c r="AD10" s="61">
        <v>6.3380281690140844E-2</v>
      </c>
      <c r="AE10" s="61">
        <v>9.6385542168674704E-2</v>
      </c>
      <c r="AF10" s="61">
        <v>9.4117647058823528E-2</v>
      </c>
      <c r="AG10" s="61">
        <v>9.8765432098765427E-2</v>
      </c>
      <c r="AH10" s="61">
        <v>9.2105263157894732E-2</v>
      </c>
      <c r="AI10" s="61">
        <v>8.1081081081081086E-2</v>
      </c>
      <c r="AJ10" s="61">
        <v>7.926829268292683E-2</v>
      </c>
      <c r="AK10" s="62">
        <v>8.2568807339449546E-2</v>
      </c>
      <c r="AL10" s="82">
        <f t="shared" si="0"/>
        <v>8.519863908421027E-2</v>
      </c>
    </row>
    <row r="11" spans="1:38" ht="15">
      <c r="A11" s="59">
        <v>9</v>
      </c>
      <c r="B11" s="74">
        <f>(getDistance(coord!C9,coord!D9,coord!$C$1,coord!$D$1)*1000)/$B$20</f>
        <v>7.6853360723040068E-2</v>
      </c>
      <c r="C11" s="74">
        <f>(getDistance(coord!C9,coord!D9,coord!$C$2,coord!$D$2)*1000)/$C$20</f>
        <v>7.2892421099228111E-2</v>
      </c>
      <c r="D11" s="74">
        <f>(getDistance(coord!$C9,coord!$D9,coord!$C$3,coord!$D$3)*1000)/$D$20</f>
        <v>6.6269419242501834E-2</v>
      </c>
      <c r="E11" s="74">
        <f>(getDistance(coord!$C9,coord!$D9,coord!$C$4,coord!$D$4)*1000)/$E$20</f>
        <v>7.7821029734533517E-2</v>
      </c>
      <c r="F11" s="74">
        <f>(getDistance(coord!$C9,coord!$D9,coord!$C$5,coord!$D$5)*1000)/$F$20</f>
        <v>1.4494974915072205E-2</v>
      </c>
      <c r="G11" s="74">
        <f>(getDistance(coord!$C9,coord!$D9,coord!$C$6,coord!$D$6)*1000)/$G$20</f>
        <v>3.4541692980885677E-2</v>
      </c>
      <c r="H11" s="74">
        <f>(getDistance(coord!$C9,coord!$D9,coord!$C$7,coord!$D$7)*1000)/$H$20</f>
        <v>3.5418663225925767E-2</v>
      </c>
      <c r="I11" s="74">
        <f>(getDistance(coord!$C9,coord!$D9,coord!$C$8,coord!$D$8)*1000)/$I$20</f>
        <v>1.9454992196515256E-2</v>
      </c>
      <c r="J11" s="75">
        <f>(getDistance(coord!$C9,coord!$D9,coord!$C$9,coord!$D$9)*1000)/$J$20</f>
        <v>0</v>
      </c>
      <c r="K11" s="74">
        <f>(getDistance(coord!$C9,coord!$D9,coord!$C$10,coord!$D$10)*1000)/$K$20</f>
        <v>3.0051966035264915E-2</v>
      </c>
      <c r="L11" s="74">
        <f>(getDistance(coord!$C9,coord!$D9,coord!$C$11,coord!$D$11)*1000)/$L$20</f>
        <v>6.3956981472842303E-2</v>
      </c>
      <c r="M11" s="74">
        <f>(getDistance(coord!$C9,coord!$D9,coord!$C$12,coord!$D$12)*1000)/$M$20</f>
        <v>4.3841191653188123E-2</v>
      </c>
      <c r="N11" s="74">
        <f>(getDistance(coord!$C9,coord!$D9,coord!$C$13,coord!$D$13)*1000)/$N$20</f>
        <v>8.0008565439865093E-2</v>
      </c>
      <c r="O11" s="74">
        <f>(getDistance(coord!$C9,coord!$D9,coord!$C$14,coord!$D$14)*1000)/$O$20</f>
        <v>7.9114399096281499E-2</v>
      </c>
      <c r="P11" s="74">
        <f>(getDistance(coord!$C9,coord!$D9,coord!$C$15,coord!$D$15)*1000)/$P$20</f>
        <v>2.9333697451410307E-2</v>
      </c>
      <c r="Q11" s="74">
        <f>(getDistance(coord!$C9,coord!$D9,coord!$C$16,coord!$D$16)*1000)/$Q$20</f>
        <v>4.2305951765213359E-2</v>
      </c>
      <c r="R11" s="74">
        <f>(getDistance(coord!$C9,coord!$D9,coord!$C$17,coord!$D$17)*1000)/$R$20</f>
        <v>3.6437900182833403E-2</v>
      </c>
      <c r="S11" s="58" t="s">
        <v>22</v>
      </c>
      <c r="T11" s="59">
        <v>16</v>
      </c>
      <c r="U11" s="63">
        <v>8.2758620689655171E-2</v>
      </c>
      <c r="V11" s="63">
        <v>9.8039215686274508E-2</v>
      </c>
      <c r="W11" s="61">
        <v>6.0606060606060608E-2</v>
      </c>
      <c r="X11" s="61">
        <v>0.11428571428571428</v>
      </c>
      <c r="Y11" s="61">
        <v>7.0175438596491224E-2</v>
      </c>
      <c r="Z11" s="61">
        <v>7.9155672823219003E-2</v>
      </c>
      <c r="AA11" s="61">
        <v>8.6956521739130432E-2</v>
      </c>
      <c r="AB11" s="61">
        <v>7.2727272727272724E-2</v>
      </c>
      <c r="AC11" s="61">
        <v>9.6000000000000002E-2</v>
      </c>
      <c r="AD11" s="61">
        <v>6.3380281690140844E-2</v>
      </c>
      <c r="AE11" s="61">
        <v>9.6385542168674704E-2</v>
      </c>
      <c r="AF11" s="61">
        <v>9.4117647058823528E-2</v>
      </c>
      <c r="AG11" s="61">
        <v>9.8765432098765427E-2</v>
      </c>
      <c r="AH11" s="61">
        <v>9.2105263157894732E-2</v>
      </c>
      <c r="AI11" s="61">
        <v>8.1081081081081086E-2</v>
      </c>
      <c r="AJ11" s="61">
        <v>9.1463414634146339E-2</v>
      </c>
      <c r="AK11" s="62">
        <v>7.3394495412844041E-2</v>
      </c>
      <c r="AL11" s="82">
        <f t="shared" si="0"/>
        <v>8.5376333791540512E-2</v>
      </c>
    </row>
    <row r="12" spans="1:38" ht="15">
      <c r="A12" s="59">
        <v>10</v>
      </c>
      <c r="B12" s="74">
        <f>(getDistance(coord!C10,coord!D10,coord!$C$1,coord!$D$1)*1000)/$B$20</f>
        <v>6.3600540027924646E-2</v>
      </c>
      <c r="C12" s="74">
        <f>(getDistance(coord!C10,coord!D10,coord!$C$2,coord!$D$2)*1000)/$C$20</f>
        <v>6.0709928608488055E-2</v>
      </c>
      <c r="D12" s="74">
        <f>(getDistance(coord!$C10,coord!$D10,coord!$C$3,coord!$D$3)*1000)/$D$20</f>
        <v>5.3140429031264647E-2</v>
      </c>
      <c r="E12" s="74">
        <f>(getDistance(coord!$C10,coord!$D10,coord!$C$4,coord!$D$4)*1000)/$E$20</f>
        <v>6.3707311184292334E-2</v>
      </c>
      <c r="F12" s="74">
        <f>(getDistance(coord!$C10,coord!$D10,coord!$C$5,coord!$D$5)*1000)/$F$20</f>
        <v>1.6736583430925735E-2</v>
      </c>
      <c r="G12" s="74">
        <f>(getDistance(coord!$C10,coord!$D10,coord!$C$6,coord!$D$6)*1000)/$G$20</f>
        <v>1.6477274234803704E-2</v>
      </c>
      <c r="H12" s="74">
        <f>(getDistance(coord!$C10,coord!$D10,coord!$C$7,coord!$D$7)*1000)/$H$20</f>
        <v>3.8029499528976364E-2</v>
      </c>
      <c r="I12" s="74">
        <f>(getDistance(coord!$C10,coord!$D10,coord!$C$8,coord!$D$8)*1000)/$I$20</f>
        <v>1.7822169433337764E-2</v>
      </c>
      <c r="J12" s="74">
        <f>(getDistance(coord!$C10,coord!$D10,coord!$C$9,coord!$D$9)*1000)/$J$20</f>
        <v>2.6812439532441078E-2</v>
      </c>
      <c r="K12" s="75">
        <f>(getDistance(coord!$C10,coord!$D10,coord!$C$10,coord!$D$10)*1000)/$K$20</f>
        <v>0</v>
      </c>
      <c r="L12" s="74">
        <f>(getDistance(coord!$C10,coord!$D10,coord!$C$11,coord!$D$11)*1000)/$L$20</f>
        <v>3.9354063672278637E-2</v>
      </c>
      <c r="M12" s="74">
        <f>(getDistance(coord!$C10,coord!$D10,coord!$C$12,coord!$D$12)*1000)/$M$20</f>
        <v>4.2894568213011769E-2</v>
      </c>
      <c r="N12" s="74">
        <f>(getDistance(coord!$C10,coord!$D10,coord!$C$13,coord!$D$13)*1000)/$N$20</f>
        <v>6.5606399204571786E-2</v>
      </c>
      <c r="O12" s="74">
        <f>(getDistance(coord!$C10,coord!$D10,coord!$C$14,coord!$D$14)*1000)/$O$20</f>
        <v>6.5676574494798801E-2</v>
      </c>
      <c r="P12" s="74">
        <f>(getDistance(coord!$C10,coord!$D10,coord!$C$15,coord!$D$15)*1000)/$P$20</f>
        <v>4.0948212204785242E-2</v>
      </c>
      <c r="Q12" s="74">
        <f>(getDistance(coord!$C10,coord!$D10,coord!$C$16,coord!$D$16)*1000)/$Q$20</f>
        <v>5.3859370950850576E-2</v>
      </c>
      <c r="R12" s="74">
        <f>(getDistance(coord!$C10,coord!$D10,coord!$C$17,coord!$D$17)*1000)/$R$20</f>
        <v>4.684761894464741E-2</v>
      </c>
      <c r="S12" s="58" t="s">
        <v>23</v>
      </c>
      <c r="T12" s="59">
        <v>17</v>
      </c>
      <c r="U12" s="63">
        <v>8.2758620689655171E-2</v>
      </c>
      <c r="V12" s="63">
        <v>9.8039215686274508E-2</v>
      </c>
      <c r="W12" s="61">
        <v>6.0606060606060608E-2</v>
      </c>
      <c r="X12" s="61">
        <v>0.11428571428571428</v>
      </c>
      <c r="Y12" s="61">
        <v>7.0175438596491224E-2</v>
      </c>
      <c r="Z12" s="61">
        <v>7.9155672823219003E-2</v>
      </c>
      <c r="AA12" s="61">
        <v>8.6956521739130432E-2</v>
      </c>
      <c r="AB12" s="61">
        <v>7.2727272727272724E-2</v>
      </c>
      <c r="AC12" s="61">
        <v>9.6000000000000002E-2</v>
      </c>
      <c r="AD12" s="61">
        <v>5.6338028169014086E-2</v>
      </c>
      <c r="AE12" s="61">
        <v>9.6385542168674704E-2</v>
      </c>
      <c r="AF12" s="61">
        <v>9.4117647058823528E-2</v>
      </c>
      <c r="AG12" s="61">
        <v>8.6419753086419748E-2</v>
      </c>
      <c r="AH12" s="61">
        <v>7.8947368421052627E-2</v>
      </c>
      <c r="AI12" s="61">
        <v>8.1081081081081086E-2</v>
      </c>
      <c r="AJ12" s="61">
        <v>9.7560975609756101E-2</v>
      </c>
      <c r="AK12" s="62">
        <v>7.3394495412844041E-2</v>
      </c>
      <c r="AL12" s="82">
        <f t="shared" si="0"/>
        <v>8.3820553421263766E-2</v>
      </c>
    </row>
    <row r="13" spans="1:38" ht="15">
      <c r="A13" s="59">
        <v>11</v>
      </c>
      <c r="B13" s="74">
        <f>(getDistance(coord!C11,coord!D11,coord!$C$1,coord!$D$1)*1000)/$B$20</f>
        <v>5.3003930552678102E-2</v>
      </c>
      <c r="C13" s="74">
        <f>(getDistance(coord!C11,coord!D11,coord!$C$2,coord!$D$2)*1000)/$C$20</f>
        <v>5.5340149093294128E-2</v>
      </c>
      <c r="D13" s="74">
        <f>(getDistance(coord!$C11,coord!$D11,coord!$C$3,coord!$D$3)*1000)/$D$20</f>
        <v>5.2960760993775863E-2</v>
      </c>
      <c r="E13" s="74">
        <f>(getDistance(coord!$C11,coord!$D11,coord!$C$4,coord!$D$4)*1000)/$E$20</f>
        <v>4.1105496003302211E-2</v>
      </c>
      <c r="F13" s="74">
        <f>(getDistance(coord!$C11,coord!$D11,coord!$C$5,coord!$D$5)*1000)/$F$20</f>
        <v>6.1658373422498379E-2</v>
      </c>
      <c r="G13" s="74">
        <f>(getDistance(coord!$C11,coord!$D11,coord!$C$6,coord!$D$6)*1000)/$G$20</f>
        <v>4.5039467747617051E-2</v>
      </c>
      <c r="H13" s="74">
        <f>(getDistance(coord!$C11,coord!$D11,coord!$C$7,coord!$D$7)*1000)/$H$20</f>
        <v>5.9789996895561061E-2</v>
      </c>
      <c r="I13" s="74">
        <f>(getDistance(coord!$C11,coord!$D11,coord!$C$8,coord!$D$8)*1000)/$I$20</f>
        <v>5.9256407557506004E-2</v>
      </c>
      <c r="J13" s="74">
        <f>(getDistance(coord!$C11,coord!$D11,coord!$C$9,coord!$D$9)*1000)/$J$20</f>
        <v>6.9279553469114658E-2</v>
      </c>
      <c r="K13" s="74">
        <f>(getDistance(coord!$C11,coord!$D11,coord!$C$10,coord!$D$10)*1000)/$K$20</f>
        <v>4.7779683050346779E-2</v>
      </c>
      <c r="L13" s="75">
        <f>(getDistance(coord!$C11,coord!$D11,coord!$C$11,coord!$D$11)*1000)/$L$20</f>
        <v>0</v>
      </c>
      <c r="M13" s="74">
        <f>(getDistance(coord!$C11,coord!$D11,coord!$C$12,coord!$D$12)*1000)/$M$20</f>
        <v>5.572497415185388E-2</v>
      </c>
      <c r="N13" s="74">
        <f>(getDistance(coord!$C11,coord!$D11,coord!$C$13,coord!$D$13)*1000)/$N$20</f>
        <v>4.3871153743780165E-2</v>
      </c>
      <c r="O13" s="74">
        <f>(getDistance(coord!$C11,coord!$D11,coord!$C$14,coord!$D$14)*1000)/$O$20</f>
        <v>5.1083997047246268E-2</v>
      </c>
      <c r="P13" s="74">
        <f>(getDistance(coord!$C11,coord!$D11,coord!$C$15,coord!$D$15)*1000)/$P$20</f>
        <v>7.4081405748092202E-2</v>
      </c>
      <c r="Q13" s="74">
        <f>(getDistance(coord!$C11,coord!$D11,coord!$C$16,coord!$D$16)*1000)/$Q$20</f>
        <v>7.6744460092839653E-2</v>
      </c>
      <c r="R13" s="74">
        <f>(getDistance(coord!$C11,coord!$D11,coord!$C$17,coord!$D$17)*1000)/$R$20</f>
        <v>7.5515635864192812E-2</v>
      </c>
      <c r="S13" s="58" t="s">
        <v>24</v>
      </c>
      <c r="T13" s="59">
        <v>18</v>
      </c>
      <c r="U13" s="63">
        <v>8.2758620689655171E-2</v>
      </c>
      <c r="V13" s="63">
        <v>9.8039215686274508E-2</v>
      </c>
      <c r="W13" s="61">
        <v>6.0606060606060608E-2</v>
      </c>
      <c r="X13" s="61">
        <v>0.11428571428571428</v>
      </c>
      <c r="Y13" s="61">
        <v>7.0175438596491224E-2</v>
      </c>
      <c r="Z13" s="61">
        <v>7.9155672823219003E-2</v>
      </c>
      <c r="AA13" s="61">
        <v>6.5217391304347824E-2</v>
      </c>
      <c r="AB13" s="61">
        <v>7.2727272727272724E-2</v>
      </c>
      <c r="AC13" s="61">
        <v>9.6000000000000002E-2</v>
      </c>
      <c r="AD13" s="61">
        <v>5.6338028169014086E-2</v>
      </c>
      <c r="AE13" s="61">
        <v>8.4337349397590355E-2</v>
      </c>
      <c r="AF13" s="61">
        <v>9.4117647058823528E-2</v>
      </c>
      <c r="AG13" s="61">
        <v>7.407407407407407E-2</v>
      </c>
      <c r="AH13" s="61">
        <v>6.5789473684210523E-2</v>
      </c>
      <c r="AI13" s="61">
        <v>6.7567567567567571E-2</v>
      </c>
      <c r="AJ13" s="61">
        <v>9.7560975609756101E-2</v>
      </c>
      <c r="AK13" s="62">
        <v>6.4220183486238536E-2</v>
      </c>
      <c r="AL13" s="82">
        <f t="shared" si="0"/>
        <v>7.8998275633312381E-2</v>
      </c>
    </row>
    <row r="14" spans="1:38" ht="15">
      <c r="A14" s="59">
        <v>12</v>
      </c>
      <c r="B14" s="74">
        <f>(getDistance(coord!C12,coord!D12,coord!$C$1,coord!$D$1)*1000)/$B$20</f>
        <v>0.12442312897060948</v>
      </c>
      <c r="C14" s="74">
        <f>(getDistance(coord!C12,coord!D12,coord!$C$2,coord!$D$2)*1000)/$C$20</f>
        <v>0.12613552986261042</v>
      </c>
      <c r="D14" s="74">
        <f>(getDistance(coord!$C12,coord!$D12,coord!$C$3,coord!$D$3)*1000)/$D$20</f>
        <v>0.12486504824989027</v>
      </c>
      <c r="E14" s="74">
        <f>(getDistance(coord!$C12,coord!$D12,coord!$C$4,coord!$D$4)*1000)/$E$20</f>
        <v>9.2033808712977699E-2</v>
      </c>
      <c r="F14" s="74">
        <f>(getDistance(coord!$C12,coord!$D12,coord!$C$5,coord!$D$5)*1000)/$F$20</f>
        <v>6.8309619236441591E-2</v>
      </c>
      <c r="G14" s="74">
        <f>(getDistance(coord!$C12,coord!$D12,coord!$C$6,coord!$D$6)*1000)/$G$20</f>
        <v>5.6183082430647978E-2</v>
      </c>
      <c r="H14" s="74">
        <f>(getDistance(coord!$C12,coord!$D12,coord!$C$7,coord!$D$7)*1000)/$H$20</f>
        <v>1.722571046413977E-2</v>
      </c>
      <c r="I14" s="74">
        <f>(getDistance(coord!$C12,coord!$D12,coord!$C$8,coord!$D$8)*1000)/$I$20</f>
        <v>5.9846701388051766E-2</v>
      </c>
      <c r="J14" s="74">
        <f>(getDistance(coord!$C12,coord!$D12,coord!$C$9,coord!$D$9)*1000)/$J$20</f>
        <v>7.2221246955502236E-2</v>
      </c>
      <c r="K14" s="74">
        <f>(getDistance(coord!$C12,coord!$D12,coord!$C$10,coord!$D$10)*1000)/$K$20</f>
        <v>7.919932715662388E-2</v>
      </c>
      <c r="L14" s="74">
        <f>(getDistance(coord!$C12,coord!$D12,coord!$C$11,coord!$D$11)*1000)/$L$20</f>
        <v>8.4745254194830075E-2</v>
      </c>
      <c r="M14" s="75">
        <f>(getDistance(coord!$C12,coord!$D12,coord!$C$12,coord!$D$12)*1000)/$M$20</f>
        <v>0</v>
      </c>
      <c r="N14" s="74">
        <f>(getDistance(coord!$C12,coord!$D12,coord!$C$13,coord!$D$13)*1000)/$N$20</f>
        <v>0.10320279985749732</v>
      </c>
      <c r="O14" s="74">
        <f>(getDistance(coord!$C12,coord!$D12,coord!$C$14,coord!$D$14)*1000)/$O$20</f>
        <v>0.11958450576045555</v>
      </c>
      <c r="P14" s="74">
        <f>(getDistance(coord!$C12,coord!$D12,coord!$C$15,coord!$D$15)*1000)/$P$20</f>
        <v>0.10028480156895668</v>
      </c>
      <c r="Q14" s="74">
        <f>(getDistance(coord!$C12,coord!$D12,coord!$C$16,coord!$D$16)*1000)/$Q$20</f>
        <v>9.4494373602843837E-2</v>
      </c>
      <c r="R14" s="74">
        <f>(getDistance(coord!$C12,coord!$D12,coord!$C$17,coord!$D$17)*1000)/$R$20</f>
        <v>0.10336144240353058</v>
      </c>
      <c r="S14" s="58" t="s">
        <v>25</v>
      </c>
      <c r="T14" s="59">
        <v>19</v>
      </c>
      <c r="U14" s="63">
        <v>8.2758620689655171E-2</v>
      </c>
      <c r="V14" s="63">
        <v>9.8039215686274508E-2</v>
      </c>
      <c r="W14" s="61">
        <v>6.0606060606060608E-2</v>
      </c>
      <c r="X14" s="61">
        <v>9.5238095238095233E-2</v>
      </c>
      <c r="Y14" s="61">
        <v>7.0175438596491224E-2</v>
      </c>
      <c r="Z14" s="61">
        <v>7.9155672823219003E-2</v>
      </c>
      <c r="AA14" s="61">
        <v>6.5217391304347824E-2</v>
      </c>
      <c r="AB14" s="61">
        <v>7.2727272727272724E-2</v>
      </c>
      <c r="AC14" s="61">
        <v>9.6000000000000002E-2</v>
      </c>
      <c r="AD14" s="61">
        <v>6.3380281690140844E-2</v>
      </c>
      <c r="AE14" s="61">
        <v>7.2289156626506021E-2</v>
      </c>
      <c r="AF14" s="61">
        <v>8.2352941176470587E-2</v>
      </c>
      <c r="AG14" s="61">
        <v>6.1728395061728392E-2</v>
      </c>
      <c r="AH14" s="61">
        <v>5.2631578947368418E-2</v>
      </c>
      <c r="AI14" s="61">
        <v>5.4054054054054057E-2</v>
      </c>
      <c r="AJ14" s="61">
        <v>8.5365853658536592E-2</v>
      </c>
      <c r="AK14" s="62">
        <v>5.5045871559633031E-2</v>
      </c>
      <c r="AL14" s="82">
        <f t="shared" si="0"/>
        <v>7.3339170614462018E-2</v>
      </c>
    </row>
    <row r="15" spans="1:38" ht="15">
      <c r="A15" s="59">
        <v>13</v>
      </c>
      <c r="B15" s="74">
        <f>(getDistance(coord!C13,coord!D13,coord!$C$1,coord!$D$1)*1000)/$B$20</f>
        <v>4.3406939779412235E-2</v>
      </c>
      <c r="C15" s="74">
        <f>(getDistance(coord!C13,coord!D13,coord!$C$2,coord!$D$2)*1000)/$C$20</f>
        <v>5.5092401920754E-2</v>
      </c>
      <c r="D15" s="74">
        <f>(getDistance(coord!$C13,coord!$D13,coord!$C$3,coord!$D$3)*1000)/$D$20</f>
        <v>6.8007338920972327E-2</v>
      </c>
      <c r="E15" s="74">
        <f>(getDistance(coord!$C13,coord!$D13,coord!$C$4,coord!$D$4)*1000)/$E$20</f>
        <v>1.4438397823923838E-2</v>
      </c>
      <c r="F15" s="74">
        <f>(getDistance(coord!$C13,coord!$D13,coord!$C$5,coord!$D$5)*1000)/$F$20</f>
        <v>0.1240891523847116</v>
      </c>
      <c r="G15" s="74">
        <f>(getDistance(coord!$C13,coord!$D13,coord!$C$6,coord!$D$6)*1000)/$G$20</f>
        <v>0.11076152027668346</v>
      </c>
      <c r="H15" s="74">
        <f>(getDistance(coord!$C13,coord!$D13,coord!$C$7,coord!$D$7)*1000)/$H$20</f>
        <v>0.10772280686510681</v>
      </c>
      <c r="I15" s="74">
        <f>(getDistance(coord!$C13,coord!$D13,coord!$C$8,coord!$D$8)*1000)/$I$20</f>
        <v>0.12239524124525568</v>
      </c>
      <c r="J15" s="74">
        <f>(getDistance(coord!$C13,coord!$D13,coord!$C$9,coord!$D$9)*1000)/$J$20</f>
        <v>0.12378913316752277</v>
      </c>
      <c r="K15" s="74">
        <f>(getDistance(coord!$C13,coord!$D13,coord!$C$10,coord!$D$10)*1000)/$K$20</f>
        <v>0.11377027287175775</v>
      </c>
      <c r="L15" s="74">
        <f>(getDistance(coord!$C13,coord!$D13,coord!$C$11,coord!$D$11)*1000)/$L$20</f>
        <v>6.2662536812475564E-2</v>
      </c>
      <c r="M15" s="74">
        <f>(getDistance(coord!$C13,coord!$D13,coord!$C$12,coord!$D$12)*1000)/$M$20</f>
        <v>9.6929257430178856E-2</v>
      </c>
      <c r="N15" s="75">
        <f>(getDistance(coord!$C13,coord!$D13,coord!$C$13,coord!$D$13)*1000)/$N$20</f>
        <v>0</v>
      </c>
      <c r="O15" s="74">
        <f>(getDistance(coord!$C13,coord!$D13,coord!$C$14,coord!$D$14)*1000)/$O$20</f>
        <v>3.0320827121779963E-2</v>
      </c>
      <c r="P15" s="74">
        <f>(getDistance(coord!$C13,coord!$D13,coord!$C$15,coord!$D$15)*1000)/$P$20</f>
        <v>0.11247572642383664</v>
      </c>
      <c r="Q15" s="74">
        <f>(getDistance(coord!$C13,coord!$D13,coord!$C$16,coord!$D$16)*1000)/$Q$20</f>
        <v>9.6992800532127305E-2</v>
      </c>
      <c r="R15" s="74">
        <f>(getDistance(coord!$C13,coord!$D13,coord!$C$17,coord!$D$17)*1000)/$R$20</f>
        <v>0.10656888739771539</v>
      </c>
      <c r="S15" s="58" t="s">
        <v>26</v>
      </c>
      <c r="T15" s="59">
        <v>20</v>
      </c>
      <c r="U15" s="63">
        <v>6.2068965517241378E-2</v>
      </c>
      <c r="V15" s="63">
        <v>5.8823529411764705E-2</v>
      </c>
      <c r="W15" s="61">
        <v>6.0606060606060608E-2</v>
      </c>
      <c r="X15" s="61">
        <v>6.6666666666666666E-2</v>
      </c>
      <c r="Y15" s="61">
        <v>6.1403508771929821E-2</v>
      </c>
      <c r="Z15" s="61">
        <v>7.9155672823219003E-2</v>
      </c>
      <c r="AA15" s="61">
        <v>4.3478260869565216E-2</v>
      </c>
      <c r="AB15" s="61">
        <v>0.16363636363636364</v>
      </c>
      <c r="AC15" s="61">
        <v>7.1999999999999995E-2</v>
      </c>
      <c r="AD15" s="61">
        <v>6.3380281690140844E-2</v>
      </c>
      <c r="AE15" s="61">
        <v>6.0240963855421686E-2</v>
      </c>
      <c r="AF15" s="61">
        <v>7.0588235294117646E-2</v>
      </c>
      <c r="AG15" s="61">
        <v>4.9382716049382713E-2</v>
      </c>
      <c r="AH15" s="61">
        <v>3.9473684210526314E-2</v>
      </c>
      <c r="AI15" s="61">
        <v>5.4054054054054057E-2</v>
      </c>
      <c r="AJ15" s="61">
        <v>7.926829268292683E-2</v>
      </c>
      <c r="AK15" s="62">
        <v>4.5871559633027525E-2</v>
      </c>
      <c r="AL15" s="82">
        <f t="shared" si="0"/>
        <v>6.647640092778874E-2</v>
      </c>
    </row>
    <row r="16" spans="1:38" ht="15">
      <c r="A16" s="59">
        <v>14</v>
      </c>
      <c r="B16" s="74">
        <f>(getDistance(coord!C14,coord!D14,coord!$C$1,coord!$D$1)*1000)/$B$20</f>
        <v>1.1391037810811092E-2</v>
      </c>
      <c r="C16" s="74">
        <f>(getDistance(coord!C14,coord!D14,coord!$C$2,coord!$D$2)*1000)/$C$20</f>
        <v>2.1857505644037514E-2</v>
      </c>
      <c r="D16" s="74">
        <f>(getDistance(coord!$C14,coord!$D14,coord!$C$3,coord!$D$3)*1000)/$D$20</f>
        <v>3.5317455666289209E-2</v>
      </c>
      <c r="E16" s="74">
        <f>(getDistance(coord!$C14,coord!$D14,coord!$C$4,coord!$D$4)*1000)/$E$20</f>
        <v>3.5308611522660197E-2</v>
      </c>
      <c r="F16" s="74">
        <f>(getDistance(coord!$C14,coord!$D14,coord!$C$5,coord!$D$5)*1000)/$F$20</f>
        <v>0.10115541709631623</v>
      </c>
      <c r="G16" s="74">
        <f>(getDistance(coord!$C14,coord!$D14,coord!$C$6,coord!$D$6)*1000)/$G$20</f>
        <v>9.5442598560997072E-2</v>
      </c>
      <c r="H16" s="74">
        <f>(getDistance(coord!$C14,coord!$D14,coord!$C$7,coord!$D$7)*1000)/$H$20</f>
        <v>9.6695571475339706E-2</v>
      </c>
      <c r="I16" s="74">
        <f>(getDistance(coord!$C14,coord!$D14,coord!$C$8,coord!$D$8)*1000)/$I$20</f>
        <v>0.10192976553023066</v>
      </c>
      <c r="J16" s="74">
        <f>(getDistance(coord!$C14,coord!$D14,coord!$C$9,coord!$D$9)*1000)/$J$20</f>
        <v>9.8747671612708338E-2</v>
      </c>
      <c r="K16" s="74">
        <f>(getDistance(coord!$C14,coord!$D14,coord!$C$10,coord!$D$10)*1000)/$K$20</f>
        <v>9.1879449125607152E-2</v>
      </c>
      <c r="L16" s="74">
        <f>(getDistance(coord!$C14,coord!$D14,coord!$C$11,coord!$D$11)*1000)/$L$20</f>
        <v>5.8862551050327262E-2</v>
      </c>
      <c r="M16" s="74">
        <f>(getDistance(coord!$C14,coord!$D14,coord!$C$12,coord!$D$12)*1000)/$M$20</f>
        <v>9.0607388008584963E-2</v>
      </c>
      <c r="N16" s="74">
        <f>(getDistance(coord!$C14,coord!$D14,coord!$C$13,coord!$D$13)*1000)/$N$20</f>
        <v>2.4460556662748552E-2</v>
      </c>
      <c r="O16" s="75">
        <f>(getDistance(coord!$C14,coord!$D14,coord!$C$14,coord!$D$14)*1000)/$O$20</f>
        <v>0</v>
      </c>
      <c r="P16" s="74">
        <f>(getDistance(coord!$C14,coord!$D14,coord!$C$15,coord!$D$15)*1000)/$P$20</f>
        <v>8.1435855710390165E-2</v>
      </c>
      <c r="Q16" s="74">
        <f>(getDistance(coord!$C14,coord!$D14,coord!$C$16,coord!$D$16)*1000)/$Q$20</f>
        <v>7.0823158857472049E-2</v>
      </c>
      <c r="R16" s="74">
        <f>(getDistance(coord!$C14,coord!$D14,coord!$C$17,coord!$D$17)*1000)/$R$20</f>
        <v>7.5540162362182181E-2</v>
      </c>
      <c r="S16" s="58" t="s">
        <v>27</v>
      </c>
      <c r="T16" s="59">
        <v>21</v>
      </c>
      <c r="U16" s="63">
        <v>5.5172413793103448E-2</v>
      </c>
      <c r="V16" s="63">
        <v>3.9215686274509803E-2</v>
      </c>
      <c r="W16" s="61">
        <v>6.0606060606060608E-2</v>
      </c>
      <c r="X16" s="61">
        <v>4.7619047619047616E-2</v>
      </c>
      <c r="Y16" s="61">
        <v>5.2631578947368418E-2</v>
      </c>
      <c r="Z16" s="61">
        <v>6.5963060686015831E-2</v>
      </c>
      <c r="AA16" s="61">
        <v>4.3478260869565216E-2</v>
      </c>
      <c r="AB16" s="61">
        <v>5.4545454545454543E-2</v>
      </c>
      <c r="AC16" s="61">
        <v>5.6000000000000001E-2</v>
      </c>
      <c r="AD16" s="61">
        <v>5.6338028169014086E-2</v>
      </c>
      <c r="AE16" s="61">
        <v>4.8192771084337352E-2</v>
      </c>
      <c r="AF16" s="61">
        <v>5.8823529411764705E-2</v>
      </c>
      <c r="AG16" s="61">
        <v>3.7037037037037035E-2</v>
      </c>
      <c r="AH16" s="61">
        <v>2.6315789473684209E-2</v>
      </c>
      <c r="AI16" s="61">
        <v>4.0540540540540543E-2</v>
      </c>
      <c r="AJ16" s="61">
        <v>7.3170731707317069E-2</v>
      </c>
      <c r="AK16" s="62">
        <v>3.669724770642202E-2</v>
      </c>
      <c r="AL16" s="82">
        <f t="shared" si="0"/>
        <v>5.0138072851249556E-2</v>
      </c>
    </row>
    <row r="17" spans="1:38" ht="15">
      <c r="A17" s="59">
        <v>15</v>
      </c>
      <c r="B17" s="74">
        <f>(getDistance(coord!C15,coord!D15,coord!$C$1,coord!$D$1)*1000)/$B$20</f>
        <v>6.159839731125575E-2</v>
      </c>
      <c r="C17" s="74">
        <f>(getDistance(coord!C15,coord!D15,coord!$C$2,coord!$D$2)*1000)/$C$20</f>
        <v>5.5626049614270444E-2</v>
      </c>
      <c r="D17" s="74">
        <f>(getDistance(coord!$C15,coord!$D15,coord!$C$3,coord!$D$3)*1000)/$D$20</f>
        <v>4.9195690408532458E-2</v>
      </c>
      <c r="E17" s="74">
        <f>(getDistance(coord!$C15,coord!$D15,coord!$C$4,coord!$D$4)*1000)/$E$20</f>
        <v>7.4892785326375819E-2</v>
      </c>
      <c r="F17" s="74">
        <f>(getDistance(coord!$C15,coord!$D15,coord!$C$5,coord!$D$5)*1000)/$F$20</f>
        <v>4.088898791800083E-2</v>
      </c>
      <c r="G17" s="74">
        <f>(getDistance(coord!$C15,coord!$D15,coord!$C$6,coord!$D$6)*1000)/$G$20</f>
        <v>5.6571080039354259E-2</v>
      </c>
      <c r="H17" s="74">
        <f>(getDistance(coord!$C15,coord!$D15,coord!$C$7,coord!$D$7)*1000)/$H$20</f>
        <v>5.6781722241748413E-2</v>
      </c>
      <c r="I17" s="74">
        <f>(getDistance(coord!$C15,coord!$D15,coord!$C$8,coord!$D$8)*1000)/$I$20</f>
        <v>4.6372213769185183E-2</v>
      </c>
      <c r="J17" s="74">
        <f>(getDistance(coord!$C15,coord!$D15,coord!$C$9,coord!$D$9)*1000)/$J$20</f>
        <v>2.9732430251815069E-2</v>
      </c>
      <c r="K17" s="74">
        <f>(getDistance(coord!$C15,coord!$D15,coord!$C$10,coord!$D$10)*1000)/$K$20</f>
        <v>4.6519507142997685E-2</v>
      </c>
      <c r="L17" s="74">
        <f>(getDistance(coord!$C15,coord!$D15,coord!$C$11,coord!$D$11)*1000)/$L$20</f>
        <v>6.931954347696262E-2</v>
      </c>
      <c r="M17" s="74">
        <f>(getDistance(coord!$C15,coord!$D15,coord!$C$12,coord!$D$12)*1000)/$M$20</f>
        <v>6.1704393451557905E-2</v>
      </c>
      <c r="N17" s="74">
        <f>(getDistance(coord!$C15,coord!$D15,coord!$C$13,coord!$D$13)*1000)/$N$20</f>
        <v>7.3684538685649656E-2</v>
      </c>
      <c r="O17" s="74">
        <f>(getDistance(coord!$C15,coord!$D15,coord!$C$14,coord!$D$14)*1000)/$O$20</f>
        <v>6.6131433119642771E-2</v>
      </c>
      <c r="P17" s="75">
        <f>(getDistance(coord!$C15,coord!$D15,coord!$C$15,coord!$D$15)*1000)/$P$20</f>
        <v>0</v>
      </c>
      <c r="Q17" s="74">
        <f>(getDistance(coord!$C15,coord!$D15,coord!$C$16,coord!$D$16)*1000)/$Q$20</f>
        <v>2.3576226428328278E-2</v>
      </c>
      <c r="R17" s="74">
        <f>(getDistance(coord!$C15,coord!$D15,coord!$C$17,coord!$D$17)*1000)/$R$20</f>
        <v>9.0411429457393569E-3</v>
      </c>
      <c r="S17" s="58" t="s">
        <v>28</v>
      </c>
      <c r="T17" s="59">
        <v>22</v>
      </c>
      <c r="U17" s="63">
        <v>4.8275862068965517E-2</v>
      </c>
      <c r="V17" s="63">
        <v>1.9607843137254902E-2</v>
      </c>
      <c r="W17" s="61">
        <v>6.0606060606060608E-2</v>
      </c>
      <c r="X17" s="61">
        <v>2.8571428571428571E-2</v>
      </c>
      <c r="Y17" s="61">
        <v>5.2631578947368418E-2</v>
      </c>
      <c r="Z17" s="61">
        <v>6.5963060686015831E-2</v>
      </c>
      <c r="AA17" s="61">
        <v>4.3478260869565216E-2</v>
      </c>
      <c r="AB17" s="61">
        <v>5.4545454545454543E-2</v>
      </c>
      <c r="AC17" s="61">
        <v>4.8000000000000001E-2</v>
      </c>
      <c r="AD17" s="61">
        <v>5.6338028169014086E-2</v>
      </c>
      <c r="AE17" s="61">
        <v>3.614457831325301E-2</v>
      </c>
      <c r="AF17" s="61">
        <v>4.7058823529411764E-2</v>
      </c>
      <c r="AG17" s="61">
        <v>3.7037037037037035E-2</v>
      </c>
      <c r="AH17" s="61">
        <v>2.6315789473684209E-2</v>
      </c>
      <c r="AI17" s="61">
        <v>4.0540540540540543E-2</v>
      </c>
      <c r="AJ17" s="61">
        <v>4.2682926829268296E-2</v>
      </c>
      <c r="AK17" s="62">
        <v>3.669724770642202E-2</v>
      </c>
      <c r="AL17" s="82">
        <f t="shared" si="0"/>
        <v>4.3793795354749684E-2</v>
      </c>
    </row>
    <row r="18" spans="1:38" ht="15">
      <c r="A18" s="59">
        <v>16</v>
      </c>
      <c r="B18" s="74">
        <f>(getDistance(coord!C16,coord!D16,coord!$C$1,coord!$D$1)*1000)/$B$20</f>
        <v>7.4539863090210934E-2</v>
      </c>
      <c r="C18" s="74">
        <f>(getDistance(coord!C16,coord!D16,coord!$C$2,coord!$D$2)*1000)/$C$20</f>
        <v>6.9380858823358496E-2</v>
      </c>
      <c r="D18" s="74">
        <f>(getDistance(coord!$C16,coord!$D16,coord!$C$3,coord!$D$3)*1000)/$D$20</f>
        <v>6.8379776783968532E-2</v>
      </c>
      <c r="E18" s="74">
        <f>(getDistance(coord!$C16,coord!$D16,coord!$C$4,coord!$D$4)*1000)/$E$20</f>
        <v>8.7499184224573673E-2</v>
      </c>
      <c r="F18" s="74">
        <f>(getDistance(coord!$C16,coord!$D16,coord!$C$5,coord!$D$5)*1000)/$F$20</f>
        <v>7.3597659179639202E-2</v>
      </c>
      <c r="G18" s="74">
        <f>(getDistance(coord!$C16,coord!$D16,coord!$C$6,coord!$D$6)*1000)/$G$20</f>
        <v>8.8874981726127858E-2</v>
      </c>
      <c r="H18" s="74">
        <f>(getDistance(coord!$C16,coord!$D16,coord!$C$7,coord!$D$7)*1000)/$H$20</f>
        <v>7.6116828848675294E-2</v>
      </c>
      <c r="I18" s="74">
        <f>(getDistance(coord!$C16,coord!$D16,coord!$C$8,coord!$D$8)*1000)/$I$20</f>
        <v>7.7957113685623414E-2</v>
      </c>
      <c r="J18" s="74">
        <f>(getDistance(coord!$C16,coord!$D16,coord!$C$9,coord!$D$9)*1000)/$J$20</f>
        <v>5.7972186799735002E-2</v>
      </c>
      <c r="K18" s="74">
        <f>(getDistance(coord!$C16,coord!$D16,coord!$C$10,coord!$D$10)*1000)/$K$20</f>
        <v>8.2721052024025188E-2</v>
      </c>
      <c r="L18" s="74">
        <f>(getDistance(coord!$C16,coord!$D16,coord!$C$11,coord!$D$11)*1000)/$L$20</f>
        <v>9.708410399984746E-2</v>
      </c>
      <c r="M18" s="74">
        <f>(getDistance(coord!$C16,coord!$D16,coord!$C$12,coord!$D$12)*1000)/$M$20</f>
        <v>7.8603436061609189E-2</v>
      </c>
      <c r="N18" s="74">
        <f>(getDistance(coord!$C16,coord!$D16,coord!$C$13,coord!$D$13)*1000)/$N$20</f>
        <v>8.5903661228574124E-2</v>
      </c>
      <c r="O18" s="74">
        <f>(getDistance(coord!$C16,coord!$D16,coord!$C$14,coord!$D$14)*1000)/$O$20</f>
        <v>7.7753898977035094E-2</v>
      </c>
      <c r="P18" s="74">
        <f>(getDistance(coord!$C16,coord!$D16,coord!$C$15,coord!$D$15)*1000)/$P$20</f>
        <v>3.1873437683884037E-2</v>
      </c>
      <c r="Q18" s="75">
        <f>(getDistance(coord!$C16,coord!$D16,coord!$C$16,coord!$D$16)*1000)/$Q$20</f>
        <v>0</v>
      </c>
      <c r="R18" s="74">
        <f>(getDistance(coord!$C16,coord!$D16,coord!$C$17,coord!$D$17)*1000)/$R$20</f>
        <v>2.2366467553544888E-2</v>
      </c>
      <c r="S18" s="58" t="s">
        <v>29</v>
      </c>
      <c r="T18" s="59">
        <v>23</v>
      </c>
      <c r="U18" s="61">
        <v>2.7586206896551724E-2</v>
      </c>
      <c r="V18" s="61">
        <v>1.9607843137254902E-2</v>
      </c>
      <c r="W18" s="61">
        <v>6.0606060606060608E-2</v>
      </c>
      <c r="X18" s="61">
        <v>1.9047619047619049E-2</v>
      </c>
      <c r="Y18" s="61">
        <v>3.5087719298245612E-2</v>
      </c>
      <c r="Z18" s="61">
        <v>3.9577836411609502E-2</v>
      </c>
      <c r="AA18" s="61">
        <v>4.3478260869565216E-2</v>
      </c>
      <c r="AB18" s="61">
        <v>3.6363636363636362E-2</v>
      </c>
      <c r="AC18" s="61">
        <v>4.8000000000000001E-2</v>
      </c>
      <c r="AD18" s="61">
        <v>4.9295774647887321E-2</v>
      </c>
      <c r="AE18" s="61">
        <v>3.614457831325301E-2</v>
      </c>
      <c r="AF18" s="61">
        <v>2.3529411764705882E-2</v>
      </c>
      <c r="AG18" s="61">
        <v>2.4691358024691357E-2</v>
      </c>
      <c r="AH18" s="61">
        <v>2.6315789473684209E-2</v>
      </c>
      <c r="AI18" s="61">
        <v>2.7027027027027029E-2</v>
      </c>
      <c r="AJ18" s="61">
        <v>4.2682926829268296E-2</v>
      </c>
      <c r="AK18" s="62">
        <v>3.669724770642202E-2</v>
      </c>
      <c r="AL18" s="82">
        <f t="shared" si="0"/>
        <v>3.504348802455777E-2</v>
      </c>
    </row>
    <row r="19" spans="1:38" ht="15.75" thickBot="1">
      <c r="A19" s="60">
        <v>17</v>
      </c>
      <c r="B19" s="76">
        <f>(getDistance(coord!C17,coord!D17,coord!$C$1,coord!$D$1)*1000)/$B$20</f>
        <v>6.0432531522365308E-2</v>
      </c>
      <c r="C19" s="76">
        <f>(getDistance(coord!C17,coord!D17,coord!$C$2,coord!$D$2)*1000)/$C$20</f>
        <v>5.4221091431074626E-2</v>
      </c>
      <c r="D19" s="76">
        <f>(getDistance(coord!$C17,coord!$D17,coord!$C$3,coord!$D$3)*1000)/$D$20</f>
        <v>4.9108610527564232E-2</v>
      </c>
      <c r="E19" s="76">
        <f>(getDistance(coord!$C17,coord!$D17,coord!$C$4,coord!$D$4)*1000)/$E$20</f>
        <v>7.6124360699406909E-2</v>
      </c>
      <c r="F19" s="76">
        <f>(getDistance(coord!$C17,coord!$D17,coord!$C$5,coord!$D$5)*1000)/$F$20</f>
        <v>5.1221079450713469E-2</v>
      </c>
      <c r="G19" s="76">
        <f>(getDistance(coord!$C17,coord!$D17,coord!$C$6,coord!$D$6)*1000)/$G$20</f>
        <v>6.6054212362709239E-2</v>
      </c>
      <c r="H19" s="76">
        <f>(getDistance(coord!$C17,coord!$D17,coord!$C$7,coord!$D$7)*1000)/$H$20</f>
        <v>6.3641605632909978E-2</v>
      </c>
      <c r="I19" s="76">
        <f>(getDistance(coord!$C17,coord!$D17,coord!$C$8,coord!$D$8)*1000)/$I$20</f>
        <v>5.6399985146804513E-2</v>
      </c>
      <c r="J19" s="76">
        <f>(getDistance(coord!$C17,coord!$D17,coord!$C$9,coord!$D$9)*1000)/$J$20</f>
        <v>3.9240100764582453E-2</v>
      </c>
      <c r="K19" s="76">
        <f>(getDistance(coord!$C17,coord!$D17,coord!$C$10,coord!$D$10)*1000)/$K$20</f>
        <v>5.6545865245065975E-2</v>
      </c>
      <c r="L19" s="76">
        <f>(getDistance(coord!$C17,coord!$D17,coord!$C$11,coord!$D$11)*1000)/$L$20</f>
        <v>7.5075206325497953E-2</v>
      </c>
      <c r="M19" s="76">
        <f>(getDistance(coord!$C17,coord!$D17,coord!$C$12,coord!$D$12)*1000)/$M$20</f>
        <v>6.7569810514766349E-2</v>
      </c>
      <c r="N19" s="76">
        <f>(getDistance(coord!$C17,coord!$D17,coord!$C$13,coord!$D$13)*1000)/$N$20</f>
        <v>7.4175616662935109E-2</v>
      </c>
      <c r="O19" s="76">
        <f>(getDistance(coord!$C17,coord!$D17,coord!$C$14,coord!$D$14)*1000)/$O$20</f>
        <v>6.5175347551160764E-2</v>
      </c>
      <c r="P19" s="76">
        <f>(getDistance(coord!$C17,coord!$D17,coord!$C$15,coord!$D$15)*1000)/$P$20</f>
        <v>9.6058656335458042E-3</v>
      </c>
      <c r="Q19" s="76">
        <f>(getDistance(coord!$C17,coord!$D17,coord!$C$16,coord!$D$16)*1000)/$Q$20</f>
        <v>1.757745352532147E-2</v>
      </c>
      <c r="R19" s="77">
        <f>(getDistance(coord!$C17,coord!$D17,coord!$C$17,coord!$D$17)*1000)/$R$20</f>
        <v>0</v>
      </c>
      <c r="S19" s="58" t="s">
        <v>30</v>
      </c>
      <c r="T19" s="60">
        <v>24</v>
      </c>
      <c r="U19" s="64">
        <v>2.7586206896551724E-2</v>
      </c>
      <c r="V19" s="64">
        <v>1.9607843137254902E-2</v>
      </c>
      <c r="W19" s="64">
        <v>3.0303030303030304E-2</v>
      </c>
      <c r="X19" s="64">
        <v>1.9047619047619049E-2</v>
      </c>
      <c r="Y19" s="64">
        <v>3.5087719298245612E-2</v>
      </c>
      <c r="Z19" s="64">
        <v>3.9577836411609502E-2</v>
      </c>
      <c r="AA19" s="64">
        <v>4.3478260869565216E-2</v>
      </c>
      <c r="AB19" s="64">
        <v>3.6363636363636362E-2</v>
      </c>
      <c r="AC19" s="64">
        <v>4.8000000000000001E-2</v>
      </c>
      <c r="AD19" s="64">
        <v>4.9295774647887321E-2</v>
      </c>
      <c r="AE19" s="64">
        <v>3.614457831325301E-2</v>
      </c>
      <c r="AF19" s="64">
        <v>1.1764705882352941E-2</v>
      </c>
      <c r="AG19" s="64">
        <v>1.2345679012345678E-2</v>
      </c>
      <c r="AH19" s="64">
        <v>2.6315789473684209E-2</v>
      </c>
      <c r="AI19" s="64">
        <v>2.7027027027027029E-2</v>
      </c>
      <c r="AJ19" s="64">
        <v>3.6585365853658534E-2</v>
      </c>
      <c r="AK19" s="65">
        <v>2.7522935779816515E-2</v>
      </c>
      <c r="AL19" s="82">
        <f t="shared" si="0"/>
        <v>3.0944353430443401E-2</v>
      </c>
    </row>
    <row r="20" spans="1:38" ht="15" thickBot="1">
      <c r="A20" s="4"/>
      <c r="B20" s="68">
        <v>3829.978895979646</v>
      </c>
      <c r="C20" s="68">
        <v>3616.0678119784002</v>
      </c>
      <c r="D20" s="68">
        <v>3314.493706896405</v>
      </c>
      <c r="E20" s="68">
        <v>5923.847449148986</v>
      </c>
      <c r="F20" s="68">
        <v>3181.8203817365966</v>
      </c>
      <c r="G20" s="68">
        <v>3344.9676701526337</v>
      </c>
      <c r="H20" s="68">
        <v>4701.4158231582978</v>
      </c>
      <c r="I20" s="68">
        <v>3279.0662518609661</v>
      </c>
      <c r="J20" s="68">
        <v>3381.4512311458216</v>
      </c>
      <c r="K20" s="68">
        <v>3016.9392764720842</v>
      </c>
      <c r="L20" s="68">
        <v>3662.8594091928085</v>
      </c>
      <c r="M20" s="68">
        <v>5570.3920268510847</v>
      </c>
      <c r="N20" s="68">
        <v>5231.7763035809749</v>
      </c>
      <c r="O20" s="68">
        <v>4220.6025649162793</v>
      </c>
      <c r="P20" s="68">
        <v>3427.4152805487406</v>
      </c>
      <c r="Q20" s="68">
        <v>4633.6298853195376</v>
      </c>
      <c r="R20" s="68">
        <v>3641.4965290232485</v>
      </c>
      <c r="U20" s="66">
        <v>725</v>
      </c>
      <c r="V20" s="66">
        <v>255</v>
      </c>
      <c r="W20" s="66">
        <v>165</v>
      </c>
      <c r="X20" s="66">
        <v>525</v>
      </c>
      <c r="Y20" s="66">
        <v>570</v>
      </c>
      <c r="Z20" s="66">
        <v>379</v>
      </c>
      <c r="AA20" s="66">
        <v>230</v>
      </c>
      <c r="AB20" s="66">
        <v>275</v>
      </c>
      <c r="AC20" s="66">
        <v>625</v>
      </c>
      <c r="AD20" s="66">
        <v>710</v>
      </c>
      <c r="AE20" s="66">
        <v>415</v>
      </c>
      <c r="AF20" s="66">
        <v>425</v>
      </c>
      <c r="AG20" s="66">
        <v>405</v>
      </c>
      <c r="AH20" s="66">
        <v>380</v>
      </c>
      <c r="AI20" s="66">
        <v>370</v>
      </c>
      <c r="AJ20" s="66">
        <v>820</v>
      </c>
      <c r="AK20" s="66">
        <v>545</v>
      </c>
    </row>
    <row r="21" spans="1:38" ht="15" thickBot="1">
      <c r="A21" s="69" t="s">
        <v>4</v>
      </c>
      <c r="B21" s="70" t="s">
        <v>7</v>
      </c>
      <c r="C21" s="70" t="s">
        <v>9</v>
      </c>
      <c r="D21" s="70" t="s">
        <v>2</v>
      </c>
      <c r="E21" s="70" t="s">
        <v>1</v>
      </c>
      <c r="F21" s="70" t="s">
        <v>0</v>
      </c>
      <c r="G21" s="42"/>
      <c r="H21" s="43"/>
      <c r="I21" s="135" t="s">
        <v>33</v>
      </c>
      <c r="J21" s="135" t="s">
        <v>34</v>
      </c>
      <c r="K21" s="135" t="s">
        <v>35</v>
      </c>
      <c r="L21" s="135" t="s">
        <v>37</v>
      </c>
      <c r="M21" s="143" t="s">
        <v>38</v>
      </c>
      <c r="T21" s="56" t="s">
        <v>12</v>
      </c>
      <c r="U21" s="54">
        <v>1</v>
      </c>
      <c r="V21" s="54">
        <v>2</v>
      </c>
      <c r="W21" s="54">
        <v>3</v>
      </c>
      <c r="X21" s="54">
        <v>4</v>
      </c>
      <c r="Y21" s="54">
        <v>5</v>
      </c>
      <c r="Z21" s="54">
        <v>6</v>
      </c>
      <c r="AA21" s="54">
        <v>7</v>
      </c>
      <c r="AB21" s="54">
        <v>8</v>
      </c>
      <c r="AC21" s="54">
        <v>9</v>
      </c>
      <c r="AD21" s="54">
        <v>10</v>
      </c>
      <c r="AE21" s="54">
        <v>11</v>
      </c>
      <c r="AF21" s="54">
        <v>12</v>
      </c>
      <c r="AG21" s="54">
        <v>13</v>
      </c>
      <c r="AH21" s="54">
        <v>14</v>
      </c>
      <c r="AI21" s="54">
        <v>15</v>
      </c>
      <c r="AJ21" s="54">
        <v>16</v>
      </c>
      <c r="AK21" s="55">
        <v>17</v>
      </c>
    </row>
    <row r="22" spans="1:38">
      <c r="A22" s="59">
        <v>8</v>
      </c>
      <c r="B22" s="59">
        <v>12</v>
      </c>
      <c r="C22" s="89" t="str">
        <f t="shared" ref="C22:C38" si="1">VLOOKUP(B22,$A$3:$S$19,19,1)</f>
        <v>Toon Spin</v>
      </c>
      <c r="D22" s="94">
        <f>ABS(E22)</f>
        <v>0</v>
      </c>
      <c r="E22" s="8"/>
      <c r="F22" s="78">
        <f t="shared" ref="F22:F38" si="2">INDEX($T$2:$AK$19,MATCH(A22,$T$2:$T$19,0),MATCH(B22,$T$2:$AK$2,0))</f>
        <v>1.1764705882352941E-2</v>
      </c>
      <c r="G22" s="8"/>
      <c r="H22" s="78">
        <f t="shared" ref="H22:H38" si="3">INDEX($T$21:$AK$38,MATCH(A22,$T$21:$T$38,0),MATCH(B22,$T$21:$AK$21,0))</f>
        <v>5</v>
      </c>
      <c r="I22" s="136">
        <v>1</v>
      </c>
      <c r="J22" s="137">
        <v>1</v>
      </c>
      <c r="K22" s="140">
        <v>8</v>
      </c>
      <c r="L22" s="154">
        <f>VLOOKUP(C22,coord!B:D,2,0)</f>
        <v>33.815263999999999</v>
      </c>
      <c r="M22" s="155">
        <f>VLOOKUP(C22,coord!B:D,3,0)</f>
        <v>-117.918117</v>
      </c>
      <c r="O22" s="66" t="s">
        <v>17</v>
      </c>
      <c r="T22" s="59">
        <v>8</v>
      </c>
      <c r="U22" s="82">
        <f t="shared" ref="U22:AK22" si="4">U3*U$20</f>
        <v>10</v>
      </c>
      <c r="V22" s="82">
        <f t="shared" si="4"/>
        <v>5</v>
      </c>
      <c r="W22" s="82">
        <f t="shared" si="4"/>
        <v>10</v>
      </c>
      <c r="X22" s="82">
        <f t="shared" si="4"/>
        <v>5.0000000000000009</v>
      </c>
      <c r="Y22" s="82">
        <f t="shared" si="4"/>
        <v>15</v>
      </c>
      <c r="Z22" s="82">
        <f t="shared" si="4"/>
        <v>5</v>
      </c>
      <c r="AA22" s="82">
        <f t="shared" si="4"/>
        <v>5</v>
      </c>
      <c r="AB22" s="82">
        <f t="shared" si="4"/>
        <v>5</v>
      </c>
      <c r="AC22" s="82">
        <f t="shared" si="4"/>
        <v>5</v>
      </c>
      <c r="AD22" s="82">
        <f t="shared" si="4"/>
        <v>35</v>
      </c>
      <c r="AE22" s="82">
        <f t="shared" si="4"/>
        <v>5</v>
      </c>
      <c r="AF22" s="82">
        <f t="shared" si="4"/>
        <v>5</v>
      </c>
      <c r="AG22" s="82">
        <f t="shared" si="4"/>
        <v>5</v>
      </c>
      <c r="AH22" s="82">
        <f t="shared" si="4"/>
        <v>5</v>
      </c>
      <c r="AI22" s="82">
        <f t="shared" si="4"/>
        <v>5</v>
      </c>
      <c r="AJ22" s="82">
        <f t="shared" si="4"/>
        <v>14.999999999999998</v>
      </c>
      <c r="AK22" s="82">
        <f t="shared" si="4"/>
        <v>5</v>
      </c>
    </row>
    <row r="23" spans="1:38">
      <c r="A23" s="59">
        <v>9</v>
      </c>
      <c r="B23" s="59">
        <v>7</v>
      </c>
      <c r="C23" s="94" t="str">
        <f t="shared" si="1"/>
        <v>Small World</v>
      </c>
      <c r="D23" s="94">
        <f t="shared" ref="D23:D38" si="5">ABS(E23)</f>
        <v>1.722571046413977E-2</v>
      </c>
      <c r="E23" s="83">
        <f t="shared" ref="E23:E32" si="6">INDEX($A$2:$R$19,MATCH(B22,$A$2:$A$19,0),MATCH(B23,$A$2:$R$2,0))</f>
        <v>1.722571046413977E-2</v>
      </c>
      <c r="F23" s="78">
        <f t="shared" si="2"/>
        <v>2.1739130434782608E-2</v>
      </c>
      <c r="G23" s="83">
        <f t="shared" ref="G23:G38" si="7">INDEX($T$39:$AK$56,MATCH(B22,$T$39:$T$56,0),MATCH(B23,$T$39:$AK$39,0))</f>
        <v>80.985227741250185</v>
      </c>
      <c r="H23" s="78">
        <f t="shared" si="3"/>
        <v>5</v>
      </c>
      <c r="I23" s="139">
        <v>1</v>
      </c>
      <c r="J23" s="8">
        <v>1</v>
      </c>
      <c r="K23" s="141">
        <v>9</v>
      </c>
      <c r="L23" s="154">
        <f>VLOOKUP(C23,coord!B:D,2,0)</f>
        <v>33.814573000000003</v>
      </c>
      <c r="M23" s="155">
        <f>VLOOKUP(C23,coord!B:D,3,0)</f>
        <v>-117.91784</v>
      </c>
      <c r="O23" s="66" t="s">
        <v>14</v>
      </c>
      <c r="T23" s="59">
        <v>9</v>
      </c>
      <c r="U23" s="82">
        <f t="shared" ref="U23:AK23" si="8">U4*U$20</f>
        <v>25</v>
      </c>
      <c r="V23" s="82">
        <f t="shared" si="8"/>
        <v>5</v>
      </c>
      <c r="W23" s="82">
        <f t="shared" si="8"/>
        <v>10</v>
      </c>
      <c r="X23" s="82">
        <f t="shared" si="8"/>
        <v>5.0000000000000009</v>
      </c>
      <c r="Y23" s="82">
        <f t="shared" si="8"/>
        <v>25</v>
      </c>
      <c r="Z23" s="82">
        <f t="shared" si="8"/>
        <v>5</v>
      </c>
      <c r="AA23" s="82">
        <f t="shared" si="8"/>
        <v>5</v>
      </c>
      <c r="AB23" s="82">
        <f t="shared" si="8"/>
        <v>5</v>
      </c>
      <c r="AC23" s="82">
        <f t="shared" si="8"/>
        <v>10</v>
      </c>
      <c r="AD23" s="82">
        <f t="shared" si="8"/>
        <v>40</v>
      </c>
      <c r="AE23" s="82">
        <f t="shared" si="8"/>
        <v>10</v>
      </c>
      <c r="AF23" s="82">
        <f t="shared" si="8"/>
        <v>10</v>
      </c>
      <c r="AG23" s="82">
        <f t="shared" si="8"/>
        <v>10</v>
      </c>
      <c r="AH23" s="82">
        <f t="shared" si="8"/>
        <v>15</v>
      </c>
      <c r="AI23" s="82">
        <f t="shared" si="8"/>
        <v>15</v>
      </c>
      <c r="AJ23" s="82">
        <f t="shared" si="8"/>
        <v>20</v>
      </c>
      <c r="AK23" s="82">
        <f t="shared" si="8"/>
        <v>20</v>
      </c>
    </row>
    <row r="24" spans="1:38">
      <c r="A24" s="59">
        <v>10</v>
      </c>
      <c r="B24" s="59">
        <v>9</v>
      </c>
      <c r="C24" s="89" t="str">
        <f t="shared" si="1"/>
        <v>Matterhorn</v>
      </c>
      <c r="D24" s="94">
        <f t="shared" si="5"/>
        <v>4.9244496620776908E-2</v>
      </c>
      <c r="E24" s="83">
        <f t="shared" si="6"/>
        <v>4.9244496620776908E-2</v>
      </c>
      <c r="F24" s="78">
        <f t="shared" si="2"/>
        <v>2.4E-2</v>
      </c>
      <c r="G24" s="83">
        <f t="shared" si="7"/>
        <v>166.51786372548233</v>
      </c>
      <c r="H24" s="78">
        <f t="shared" si="3"/>
        <v>15</v>
      </c>
      <c r="I24" s="139">
        <v>1</v>
      </c>
      <c r="J24" s="8">
        <v>1</v>
      </c>
      <c r="K24" s="141">
        <v>10</v>
      </c>
      <c r="L24" s="154">
        <f>VLOOKUP(C24,coord!B:D,2,0)</f>
        <v>33.813076000000002</v>
      </c>
      <c r="M24" s="155">
        <f>VLOOKUP(C24,coord!B:D,3,0)</f>
        <v>-117.917888</v>
      </c>
      <c r="O24" s="66" t="s">
        <v>25</v>
      </c>
      <c r="T24" s="59">
        <v>10</v>
      </c>
      <c r="U24" s="82">
        <f t="shared" ref="U24:AK24" si="9">U5*U$20</f>
        <v>35</v>
      </c>
      <c r="V24" s="82">
        <f t="shared" si="9"/>
        <v>10</v>
      </c>
      <c r="W24" s="82">
        <f t="shared" si="9"/>
        <v>10</v>
      </c>
      <c r="X24" s="82">
        <f t="shared" si="9"/>
        <v>10.000000000000002</v>
      </c>
      <c r="Y24" s="82">
        <f t="shared" si="9"/>
        <v>35</v>
      </c>
      <c r="Z24" s="82">
        <f t="shared" si="9"/>
        <v>10</v>
      </c>
      <c r="AA24" s="82">
        <f t="shared" si="9"/>
        <v>10</v>
      </c>
      <c r="AB24" s="82">
        <f t="shared" si="9"/>
        <v>10</v>
      </c>
      <c r="AC24" s="82">
        <f t="shared" si="9"/>
        <v>15</v>
      </c>
      <c r="AD24" s="82">
        <f t="shared" si="9"/>
        <v>45</v>
      </c>
      <c r="AE24" s="82">
        <f t="shared" si="9"/>
        <v>15</v>
      </c>
      <c r="AF24" s="82">
        <f t="shared" si="9"/>
        <v>15</v>
      </c>
      <c r="AG24" s="82">
        <f t="shared" si="9"/>
        <v>15</v>
      </c>
      <c r="AH24" s="82">
        <f t="shared" si="9"/>
        <v>25</v>
      </c>
      <c r="AI24" s="82">
        <f t="shared" si="9"/>
        <v>25</v>
      </c>
      <c r="AJ24" s="82">
        <f t="shared" si="9"/>
        <v>25</v>
      </c>
      <c r="AK24" s="82">
        <f t="shared" si="9"/>
        <v>35</v>
      </c>
    </row>
    <row r="25" spans="1:38">
      <c r="A25" s="59">
        <v>11</v>
      </c>
      <c r="B25" s="59">
        <v>5</v>
      </c>
      <c r="C25" s="94" t="str">
        <f t="shared" si="1"/>
        <v>Alice in Wonderland</v>
      </c>
      <c r="D25" s="94">
        <f t="shared" si="5"/>
        <v>1.4494974915072205E-2</v>
      </c>
      <c r="E25" s="83">
        <f t="shared" si="6"/>
        <v>1.4494974915072205E-2</v>
      </c>
      <c r="F25" s="78">
        <f t="shared" si="2"/>
        <v>7.0175438596491224E-2</v>
      </c>
      <c r="G25" s="83">
        <f t="shared" si="7"/>
        <v>46.120406617537434</v>
      </c>
      <c r="H25" s="78">
        <f t="shared" si="3"/>
        <v>40</v>
      </c>
      <c r="I25" s="139">
        <v>1</v>
      </c>
      <c r="J25" s="8">
        <v>1</v>
      </c>
      <c r="K25" s="141">
        <v>11</v>
      </c>
      <c r="L25" s="154">
        <f>VLOOKUP(C25,coord!B:D,2,0)</f>
        <v>33.813315000000003</v>
      </c>
      <c r="M25" s="155">
        <f>VLOOKUP(C25,coord!B:D,3,0)</f>
        <v>-117.918296</v>
      </c>
      <c r="O25" s="66" t="s">
        <v>29</v>
      </c>
      <c r="T25" s="59">
        <v>11</v>
      </c>
      <c r="U25" s="82">
        <f t="shared" ref="U25:AK25" si="10">U6*U$20</f>
        <v>40</v>
      </c>
      <c r="V25" s="82">
        <f t="shared" si="10"/>
        <v>15</v>
      </c>
      <c r="W25" s="82">
        <f t="shared" si="10"/>
        <v>10</v>
      </c>
      <c r="X25" s="82">
        <f t="shared" si="10"/>
        <v>15</v>
      </c>
      <c r="Y25" s="82">
        <f t="shared" si="10"/>
        <v>40</v>
      </c>
      <c r="Z25" s="82">
        <f t="shared" si="10"/>
        <v>15.000000000000002</v>
      </c>
      <c r="AA25" s="82">
        <f t="shared" si="10"/>
        <v>15</v>
      </c>
      <c r="AB25" s="82">
        <f t="shared" si="10"/>
        <v>10</v>
      </c>
      <c r="AC25" s="82">
        <f t="shared" si="10"/>
        <v>20</v>
      </c>
      <c r="AD25" s="82">
        <f t="shared" si="10"/>
        <v>45</v>
      </c>
      <c r="AE25" s="82">
        <f t="shared" si="10"/>
        <v>20</v>
      </c>
      <c r="AF25" s="82">
        <f t="shared" si="10"/>
        <v>20</v>
      </c>
      <c r="AG25" s="82">
        <f t="shared" si="10"/>
        <v>25</v>
      </c>
      <c r="AH25" s="82">
        <f t="shared" si="10"/>
        <v>30</v>
      </c>
      <c r="AI25" s="82">
        <f t="shared" si="10"/>
        <v>30</v>
      </c>
      <c r="AJ25" s="82">
        <f t="shared" si="10"/>
        <v>29.999999999999996</v>
      </c>
      <c r="AK25" s="82">
        <f t="shared" si="10"/>
        <v>50</v>
      </c>
    </row>
    <row r="26" spans="1:38">
      <c r="A26" s="59">
        <v>12</v>
      </c>
      <c r="B26" s="59">
        <v>8</v>
      </c>
      <c r="C26" s="94" t="str">
        <f t="shared" si="1"/>
        <v>Mad Tea</v>
      </c>
      <c r="D26" s="94">
        <f t="shared" si="5"/>
        <v>6.6997057360049812E-3</v>
      </c>
      <c r="E26" s="83">
        <f t="shared" si="6"/>
        <v>6.6997057360049812E-3</v>
      </c>
      <c r="F26" s="78">
        <f t="shared" si="2"/>
        <v>5.4545454545454543E-2</v>
      </c>
      <c r="G26" s="83">
        <f t="shared" si="7"/>
        <v>21.968778976333269</v>
      </c>
      <c r="H26" s="78">
        <f t="shared" si="3"/>
        <v>15</v>
      </c>
      <c r="I26" s="139">
        <v>1</v>
      </c>
      <c r="J26" s="8">
        <v>1</v>
      </c>
      <c r="K26" s="141">
        <v>12</v>
      </c>
      <c r="L26" s="154">
        <f>VLOOKUP(C26,coord!B:D,2,0)</f>
        <v>33.813509000000003</v>
      </c>
      <c r="M26" s="155">
        <f>VLOOKUP(C26,coord!B:D,3,0)</f>
        <v>-117.918341</v>
      </c>
      <c r="O26" s="66" t="s">
        <v>28</v>
      </c>
      <c r="T26" s="59">
        <v>12</v>
      </c>
      <c r="U26" s="82">
        <f t="shared" ref="U26:AK26" si="11">U7*U$20</f>
        <v>45</v>
      </c>
      <c r="V26" s="82">
        <f t="shared" si="11"/>
        <v>15</v>
      </c>
      <c r="W26" s="82">
        <f t="shared" si="11"/>
        <v>10</v>
      </c>
      <c r="X26" s="82">
        <f t="shared" si="11"/>
        <v>25</v>
      </c>
      <c r="Y26" s="82">
        <f t="shared" si="11"/>
        <v>40</v>
      </c>
      <c r="Z26" s="82">
        <f t="shared" si="11"/>
        <v>24</v>
      </c>
      <c r="AA26" s="82">
        <f t="shared" si="11"/>
        <v>15</v>
      </c>
      <c r="AB26" s="82">
        <f t="shared" si="11"/>
        <v>15</v>
      </c>
      <c r="AC26" s="82">
        <f t="shared" si="11"/>
        <v>25</v>
      </c>
      <c r="AD26" s="82">
        <f t="shared" si="11"/>
        <v>45</v>
      </c>
      <c r="AE26" s="82">
        <f t="shared" si="11"/>
        <v>25</v>
      </c>
      <c r="AF26" s="82">
        <f t="shared" si="11"/>
        <v>25</v>
      </c>
      <c r="AG26" s="82">
        <f t="shared" si="11"/>
        <v>35</v>
      </c>
      <c r="AH26" s="82">
        <f t="shared" si="11"/>
        <v>35</v>
      </c>
      <c r="AI26" s="82">
        <f t="shared" si="11"/>
        <v>30</v>
      </c>
      <c r="AJ26" s="82">
        <f t="shared" si="11"/>
        <v>35</v>
      </c>
      <c r="AK26" s="82">
        <f t="shared" si="11"/>
        <v>50</v>
      </c>
    </row>
    <row r="27" spans="1:38">
      <c r="A27" s="59">
        <v>13</v>
      </c>
      <c r="B27" s="59">
        <v>6</v>
      </c>
      <c r="C27" s="94" t="str">
        <f t="shared" si="1"/>
        <v>Dumbo</v>
      </c>
      <c r="D27" s="94">
        <f t="shared" si="5"/>
        <v>1.6387876424078383E-2</v>
      </c>
      <c r="E27" s="83">
        <f t="shared" si="6"/>
        <v>1.6387876424078383E-2</v>
      </c>
      <c r="F27" s="78">
        <f t="shared" si="2"/>
        <v>7.9155672823219003E-2</v>
      </c>
      <c r="G27" s="83">
        <f t="shared" si="7"/>
        <v>54.816916820998742</v>
      </c>
      <c r="H27" s="78">
        <f t="shared" si="3"/>
        <v>30.000000000000004</v>
      </c>
      <c r="I27" s="139">
        <v>1</v>
      </c>
      <c r="J27" s="8">
        <v>1</v>
      </c>
      <c r="K27" s="141">
        <v>13</v>
      </c>
      <c r="L27" s="154">
        <f>VLOOKUP(C27,coord!B:D,2,0)</f>
        <v>33.813699999999997</v>
      </c>
      <c r="M27" s="155">
        <f>VLOOKUP(C27,coord!B:D,3,0)</f>
        <v>-117.918888</v>
      </c>
      <c r="O27" s="66" t="s">
        <v>30</v>
      </c>
      <c r="T27" s="59">
        <v>13</v>
      </c>
      <c r="U27" s="82">
        <f t="shared" ref="U27:AK27" si="12">U8*U$20</f>
        <v>55</v>
      </c>
      <c r="V27" s="82">
        <f t="shared" si="12"/>
        <v>20</v>
      </c>
      <c r="W27" s="82">
        <f t="shared" si="12"/>
        <v>10</v>
      </c>
      <c r="X27" s="82">
        <f t="shared" si="12"/>
        <v>35</v>
      </c>
      <c r="Y27" s="82">
        <f t="shared" si="12"/>
        <v>40</v>
      </c>
      <c r="Z27" s="82">
        <f t="shared" si="12"/>
        <v>30.000000000000004</v>
      </c>
      <c r="AA27" s="82">
        <f t="shared" si="12"/>
        <v>20</v>
      </c>
      <c r="AB27" s="82">
        <f t="shared" si="12"/>
        <v>15</v>
      </c>
      <c r="AC27" s="82">
        <f t="shared" si="12"/>
        <v>35</v>
      </c>
      <c r="AD27" s="82">
        <f t="shared" si="12"/>
        <v>45</v>
      </c>
      <c r="AE27" s="82">
        <f t="shared" si="12"/>
        <v>30</v>
      </c>
      <c r="AF27" s="82">
        <f t="shared" si="12"/>
        <v>30</v>
      </c>
      <c r="AG27" s="82">
        <f t="shared" si="12"/>
        <v>40</v>
      </c>
      <c r="AH27" s="82">
        <f t="shared" si="12"/>
        <v>35</v>
      </c>
      <c r="AI27" s="82">
        <f t="shared" si="12"/>
        <v>30</v>
      </c>
      <c r="AJ27" s="82">
        <f t="shared" si="12"/>
        <v>45</v>
      </c>
      <c r="AK27" s="82">
        <f t="shared" si="12"/>
        <v>50</v>
      </c>
    </row>
    <row r="28" spans="1:38">
      <c r="A28" s="59">
        <v>14</v>
      </c>
      <c r="B28" s="59">
        <v>10</v>
      </c>
      <c r="C28" s="94" t="str">
        <f t="shared" si="1"/>
        <v>Peter Pan</v>
      </c>
      <c r="D28" s="94">
        <f t="shared" si="5"/>
        <v>1.8268829617316084E-2</v>
      </c>
      <c r="E28" s="83">
        <f t="shared" si="6"/>
        <v>1.8268829617316084E-2</v>
      </c>
      <c r="F28" s="78">
        <f t="shared" si="2"/>
        <v>6.3380281690140844E-2</v>
      </c>
      <c r="G28" s="83">
        <f t="shared" si="7"/>
        <v>55.11594960765737</v>
      </c>
      <c r="H28" s="78">
        <f t="shared" si="3"/>
        <v>45</v>
      </c>
      <c r="I28" s="139">
        <v>1</v>
      </c>
      <c r="J28" s="8">
        <v>1</v>
      </c>
      <c r="K28" s="141">
        <v>14</v>
      </c>
      <c r="L28" s="154">
        <f>VLOOKUP(C28,coord!B:D,2,0)</f>
        <v>33.813205000000004</v>
      </c>
      <c r="M28" s="155">
        <f>VLOOKUP(C28,coord!B:D,3,0)</f>
        <v>-117.918857</v>
      </c>
      <c r="O28" s="66" t="s">
        <v>24</v>
      </c>
      <c r="T28" s="59">
        <v>14</v>
      </c>
      <c r="U28" s="82">
        <f t="shared" ref="U28:AK28" si="13">U9*U$20</f>
        <v>55</v>
      </c>
      <c r="V28" s="82">
        <f t="shared" si="13"/>
        <v>20</v>
      </c>
      <c r="W28" s="82">
        <f t="shared" si="13"/>
        <v>10</v>
      </c>
      <c r="X28" s="82">
        <f t="shared" si="13"/>
        <v>45</v>
      </c>
      <c r="Y28" s="82">
        <f t="shared" si="13"/>
        <v>40</v>
      </c>
      <c r="Z28" s="82">
        <f t="shared" si="13"/>
        <v>30.000000000000004</v>
      </c>
      <c r="AA28" s="82">
        <f t="shared" si="13"/>
        <v>20</v>
      </c>
      <c r="AB28" s="82">
        <f t="shared" si="13"/>
        <v>20</v>
      </c>
      <c r="AC28" s="82">
        <f t="shared" si="13"/>
        <v>45</v>
      </c>
      <c r="AD28" s="82">
        <f t="shared" si="13"/>
        <v>45</v>
      </c>
      <c r="AE28" s="82">
        <f t="shared" si="13"/>
        <v>35</v>
      </c>
      <c r="AF28" s="82">
        <f t="shared" si="13"/>
        <v>35</v>
      </c>
      <c r="AG28" s="82">
        <f t="shared" si="13"/>
        <v>40</v>
      </c>
      <c r="AH28" s="82">
        <f t="shared" si="13"/>
        <v>35</v>
      </c>
      <c r="AI28" s="82">
        <f t="shared" si="13"/>
        <v>30</v>
      </c>
      <c r="AJ28" s="82">
        <f t="shared" si="13"/>
        <v>55</v>
      </c>
      <c r="AK28" s="82">
        <f t="shared" si="13"/>
        <v>45</v>
      </c>
    </row>
    <row r="29" spans="1:38">
      <c r="A29" s="59">
        <v>15</v>
      </c>
      <c r="B29" s="59">
        <v>11</v>
      </c>
      <c r="C29" s="90" t="str">
        <f t="shared" si="1"/>
        <v>Thunder Mtn</v>
      </c>
      <c r="D29" s="95">
        <f t="shared" si="5"/>
        <v>3.9354063672278637E-2</v>
      </c>
      <c r="E29" s="92">
        <f t="shared" si="6"/>
        <v>3.9354063672278637E-2</v>
      </c>
      <c r="F29" s="84">
        <f t="shared" si="2"/>
        <v>9.6385542168674704E-2</v>
      </c>
      <c r="G29" s="83">
        <f t="shared" si="7"/>
        <v>144.14840241197871</v>
      </c>
      <c r="H29" s="78">
        <f t="shared" si="3"/>
        <v>40</v>
      </c>
      <c r="I29" s="139">
        <v>1</v>
      </c>
      <c r="J29" s="8">
        <v>1</v>
      </c>
      <c r="K29" s="141">
        <v>15</v>
      </c>
      <c r="L29" s="154">
        <f>VLOOKUP(C29,coord!B:D,2,0)</f>
        <v>33.813229</v>
      </c>
      <c r="M29" s="155">
        <f>VLOOKUP(C29,coord!B:D,3,0)</f>
        <v>-117.920417</v>
      </c>
      <c r="O29" s="66" t="s">
        <v>26</v>
      </c>
      <c r="T29" s="59">
        <v>15</v>
      </c>
      <c r="U29" s="82">
        <f t="shared" ref="U29:AK29" si="14">U10*U$20</f>
        <v>60</v>
      </c>
      <c r="V29" s="82">
        <f t="shared" si="14"/>
        <v>25</v>
      </c>
      <c r="W29" s="82">
        <f t="shared" si="14"/>
        <v>10</v>
      </c>
      <c r="X29" s="82">
        <f t="shared" si="14"/>
        <v>60</v>
      </c>
      <c r="Y29" s="82">
        <f t="shared" si="14"/>
        <v>40</v>
      </c>
      <c r="Z29" s="82">
        <f t="shared" si="14"/>
        <v>30.000000000000004</v>
      </c>
      <c r="AA29" s="82">
        <f t="shared" si="14"/>
        <v>20</v>
      </c>
      <c r="AB29" s="82">
        <f t="shared" si="14"/>
        <v>20</v>
      </c>
      <c r="AC29" s="82">
        <f t="shared" si="14"/>
        <v>60</v>
      </c>
      <c r="AD29" s="82">
        <f t="shared" si="14"/>
        <v>45</v>
      </c>
      <c r="AE29" s="82">
        <f t="shared" si="14"/>
        <v>40</v>
      </c>
      <c r="AF29" s="82">
        <f t="shared" si="14"/>
        <v>40</v>
      </c>
      <c r="AG29" s="82">
        <f t="shared" si="14"/>
        <v>40</v>
      </c>
      <c r="AH29" s="82">
        <f t="shared" si="14"/>
        <v>35</v>
      </c>
      <c r="AI29" s="82">
        <f t="shared" si="14"/>
        <v>30</v>
      </c>
      <c r="AJ29" s="82">
        <f t="shared" si="14"/>
        <v>65</v>
      </c>
      <c r="AK29" s="82">
        <f t="shared" si="14"/>
        <v>45</v>
      </c>
    </row>
    <row r="30" spans="1:38">
      <c r="A30" s="59">
        <v>16</v>
      </c>
      <c r="B30" s="59">
        <v>4</v>
      </c>
      <c r="C30" s="89" t="str">
        <f t="shared" si="1"/>
        <v>Splash Mtn</v>
      </c>
      <c r="D30" s="94">
        <f t="shared" si="5"/>
        <v>4.1105496003302211E-2</v>
      </c>
      <c r="E30" s="83">
        <f t="shared" si="6"/>
        <v>4.1105496003302211E-2</v>
      </c>
      <c r="F30" s="85">
        <f t="shared" si="2"/>
        <v>0.11428571428571428</v>
      </c>
      <c r="G30" s="83">
        <f t="shared" si="7"/>
        <v>243.50268764516565</v>
      </c>
      <c r="H30" s="78">
        <f t="shared" si="3"/>
        <v>60</v>
      </c>
      <c r="I30" s="139">
        <v>1</v>
      </c>
      <c r="J30" s="8">
        <v>1</v>
      </c>
      <c r="K30" s="141">
        <v>16</v>
      </c>
      <c r="L30" s="154">
        <f>VLOOKUP(C30,coord!B:D,2,0)</f>
        <v>33.812258999999997</v>
      </c>
      <c r="M30" s="155">
        <f>VLOOKUP(C30,coord!B:D,3,0)</f>
        <v>-117.92278</v>
      </c>
      <c r="O30" s="66" t="s">
        <v>22</v>
      </c>
      <c r="T30" s="59">
        <v>16</v>
      </c>
      <c r="U30" s="82">
        <f t="shared" ref="U30:AK30" si="15">U11*U$20</f>
        <v>60</v>
      </c>
      <c r="V30" s="82">
        <f t="shared" si="15"/>
        <v>25</v>
      </c>
      <c r="W30" s="82">
        <f t="shared" si="15"/>
        <v>10</v>
      </c>
      <c r="X30" s="82">
        <f t="shared" si="15"/>
        <v>60</v>
      </c>
      <c r="Y30" s="82">
        <f t="shared" si="15"/>
        <v>40</v>
      </c>
      <c r="Z30" s="82">
        <f t="shared" si="15"/>
        <v>30.000000000000004</v>
      </c>
      <c r="AA30" s="82">
        <f t="shared" si="15"/>
        <v>20</v>
      </c>
      <c r="AB30" s="82">
        <f t="shared" si="15"/>
        <v>20</v>
      </c>
      <c r="AC30" s="82">
        <f t="shared" si="15"/>
        <v>60</v>
      </c>
      <c r="AD30" s="82">
        <f t="shared" si="15"/>
        <v>45</v>
      </c>
      <c r="AE30" s="82">
        <f t="shared" si="15"/>
        <v>40</v>
      </c>
      <c r="AF30" s="82">
        <f t="shared" si="15"/>
        <v>40</v>
      </c>
      <c r="AG30" s="82">
        <f t="shared" si="15"/>
        <v>40</v>
      </c>
      <c r="AH30" s="82">
        <f t="shared" si="15"/>
        <v>35</v>
      </c>
      <c r="AI30" s="82">
        <f t="shared" si="15"/>
        <v>30</v>
      </c>
      <c r="AJ30" s="82">
        <f t="shared" si="15"/>
        <v>75</v>
      </c>
      <c r="AK30" s="82">
        <f t="shared" si="15"/>
        <v>40</v>
      </c>
    </row>
    <row r="31" spans="1:38">
      <c r="A31" s="59">
        <v>17</v>
      </c>
      <c r="B31" s="59">
        <v>13</v>
      </c>
      <c r="C31" s="89" t="str">
        <f t="shared" si="1"/>
        <v>Haunted Mansion</v>
      </c>
      <c r="D31" s="94">
        <f t="shared" si="5"/>
        <v>1.6348341587255268E-2</v>
      </c>
      <c r="E31" s="83">
        <f t="shared" si="6"/>
        <v>1.6348341587255268E-2</v>
      </c>
      <c r="F31" s="85">
        <f t="shared" si="2"/>
        <v>8.6419753086419748E-2</v>
      </c>
      <c r="G31" s="83">
        <f t="shared" si="7"/>
        <v>85.530866119049492</v>
      </c>
      <c r="H31" s="78">
        <f t="shared" si="3"/>
        <v>35</v>
      </c>
      <c r="I31" s="139">
        <v>1</v>
      </c>
      <c r="J31" s="8">
        <v>1</v>
      </c>
      <c r="K31" s="141">
        <v>17</v>
      </c>
      <c r="L31" s="154">
        <f>VLOOKUP(C31,coord!B:D,2,0)</f>
        <v>33.811723000000001</v>
      </c>
      <c r="M31" s="155">
        <f>VLOOKUP(C31,coord!B:D,3,0)</f>
        <v>-117.922116</v>
      </c>
      <c r="T31" s="59">
        <v>17</v>
      </c>
      <c r="U31" s="82">
        <f t="shared" ref="U31:AK31" si="16">U12*U$20</f>
        <v>60</v>
      </c>
      <c r="V31" s="82">
        <f t="shared" si="16"/>
        <v>25</v>
      </c>
      <c r="W31" s="82">
        <f t="shared" si="16"/>
        <v>10</v>
      </c>
      <c r="X31" s="82">
        <f t="shared" si="16"/>
        <v>60</v>
      </c>
      <c r="Y31" s="82">
        <f t="shared" si="16"/>
        <v>40</v>
      </c>
      <c r="Z31" s="82">
        <f t="shared" si="16"/>
        <v>30.000000000000004</v>
      </c>
      <c r="AA31" s="82">
        <f t="shared" si="16"/>
        <v>20</v>
      </c>
      <c r="AB31" s="82">
        <f t="shared" si="16"/>
        <v>20</v>
      </c>
      <c r="AC31" s="82">
        <f t="shared" si="16"/>
        <v>60</v>
      </c>
      <c r="AD31" s="82">
        <f t="shared" si="16"/>
        <v>40</v>
      </c>
      <c r="AE31" s="82">
        <f t="shared" si="16"/>
        <v>40</v>
      </c>
      <c r="AF31" s="82">
        <f t="shared" si="16"/>
        <v>40</v>
      </c>
      <c r="AG31" s="82">
        <f t="shared" si="16"/>
        <v>35</v>
      </c>
      <c r="AH31" s="82">
        <f t="shared" si="16"/>
        <v>30</v>
      </c>
      <c r="AI31" s="82">
        <f t="shared" si="16"/>
        <v>30</v>
      </c>
      <c r="AJ31" s="82">
        <f t="shared" si="16"/>
        <v>80</v>
      </c>
      <c r="AK31" s="82">
        <f t="shared" si="16"/>
        <v>40</v>
      </c>
    </row>
    <row r="32" spans="1:38">
      <c r="A32" s="59">
        <v>18</v>
      </c>
      <c r="B32" s="59">
        <v>14</v>
      </c>
      <c r="C32" s="96" t="str">
        <f t="shared" si="1"/>
        <v>Pirates</v>
      </c>
      <c r="D32" s="96">
        <f t="shared" si="5"/>
        <v>3.0320827121779963E-2</v>
      </c>
      <c r="E32" s="93">
        <f t="shared" si="6"/>
        <v>3.0320827121779963E-2</v>
      </c>
      <c r="F32" s="86">
        <f t="shared" si="2"/>
        <v>6.5789473684210523E-2</v>
      </c>
      <c r="G32" s="83">
        <f t="shared" si="7"/>
        <v>127.9721607205676</v>
      </c>
      <c r="H32" s="78">
        <f t="shared" si="3"/>
        <v>25</v>
      </c>
      <c r="I32" s="139">
        <v>1</v>
      </c>
      <c r="J32" s="8">
        <v>1</v>
      </c>
      <c r="K32" s="141">
        <v>18</v>
      </c>
      <c r="L32" s="154">
        <f>VLOOKUP(C32,coord!B:D,2,0)</f>
        <v>33.811318999999997</v>
      </c>
      <c r="M32" s="155">
        <f>VLOOKUP(C32,coord!B:D,3,0)</f>
        <v>-117.92081899999999</v>
      </c>
      <c r="T32" s="59">
        <v>18</v>
      </c>
      <c r="U32" s="82">
        <f t="shared" ref="U32:AK32" si="17">U13*U$20</f>
        <v>60</v>
      </c>
      <c r="V32" s="82">
        <f t="shared" si="17"/>
        <v>25</v>
      </c>
      <c r="W32" s="82">
        <f t="shared" si="17"/>
        <v>10</v>
      </c>
      <c r="X32" s="82">
        <f t="shared" si="17"/>
        <v>60</v>
      </c>
      <c r="Y32" s="82">
        <f t="shared" si="17"/>
        <v>40</v>
      </c>
      <c r="Z32" s="82">
        <f t="shared" si="17"/>
        <v>30.000000000000004</v>
      </c>
      <c r="AA32" s="82">
        <f t="shared" si="17"/>
        <v>15</v>
      </c>
      <c r="AB32" s="82">
        <f t="shared" si="17"/>
        <v>20</v>
      </c>
      <c r="AC32" s="82">
        <f t="shared" si="17"/>
        <v>60</v>
      </c>
      <c r="AD32" s="82">
        <f t="shared" si="17"/>
        <v>40</v>
      </c>
      <c r="AE32" s="82">
        <f t="shared" si="17"/>
        <v>35</v>
      </c>
      <c r="AF32" s="82">
        <f t="shared" si="17"/>
        <v>40</v>
      </c>
      <c r="AG32" s="82">
        <f t="shared" si="17"/>
        <v>30</v>
      </c>
      <c r="AH32" s="82">
        <f t="shared" si="17"/>
        <v>25</v>
      </c>
      <c r="AI32" s="82">
        <f t="shared" si="17"/>
        <v>25</v>
      </c>
      <c r="AJ32" s="82">
        <f t="shared" si="17"/>
        <v>80</v>
      </c>
      <c r="AK32" s="82">
        <f t="shared" si="17"/>
        <v>35</v>
      </c>
    </row>
    <row r="33" spans="1:37">
      <c r="A33" s="59">
        <v>19</v>
      </c>
      <c r="B33" s="59">
        <v>1</v>
      </c>
      <c r="C33" s="94" t="str">
        <f t="shared" si="1"/>
        <v>Indiana Jones</v>
      </c>
      <c r="D33" s="94">
        <f t="shared" si="5"/>
        <v>1.1391037810811092E-2</v>
      </c>
      <c r="E33" s="83">
        <f t="shared" ref="E33:E38" si="18">INDEX($A$2:$R$19,MATCH(B32,$A$2:$A$19,0),MATCH(B33,$A$2:$R$2,0))</f>
        <v>1.1391037810811092E-2</v>
      </c>
      <c r="F33" s="78">
        <f t="shared" si="2"/>
        <v>8.2758620689655171E-2</v>
      </c>
      <c r="G33" s="83">
        <f t="shared" si="7"/>
        <v>43.627434418712667</v>
      </c>
      <c r="H33" s="78">
        <f t="shared" si="3"/>
        <v>60</v>
      </c>
      <c r="I33" s="139">
        <v>1</v>
      </c>
      <c r="J33" s="8">
        <v>1</v>
      </c>
      <c r="K33" s="141">
        <v>19</v>
      </c>
      <c r="L33" s="154">
        <f>VLOOKUP(C33,coord!B:D,2,0)</f>
        <v>33.811404000000003</v>
      </c>
      <c r="M33" s="155">
        <f>VLOOKUP(C33,coord!B:D,3,0)</f>
        <v>-117.92035799999999</v>
      </c>
      <c r="T33" s="59">
        <v>19</v>
      </c>
      <c r="U33" s="82">
        <f t="shared" ref="U33:AK33" si="19">U14*U$20</f>
        <v>60</v>
      </c>
      <c r="V33" s="82">
        <f t="shared" si="19"/>
        <v>25</v>
      </c>
      <c r="W33" s="82">
        <f t="shared" si="19"/>
        <v>10</v>
      </c>
      <c r="X33" s="82">
        <f t="shared" si="19"/>
        <v>50</v>
      </c>
      <c r="Y33" s="82">
        <f t="shared" si="19"/>
        <v>40</v>
      </c>
      <c r="Z33" s="82">
        <f t="shared" si="19"/>
        <v>30.000000000000004</v>
      </c>
      <c r="AA33" s="82">
        <f t="shared" si="19"/>
        <v>15</v>
      </c>
      <c r="AB33" s="82">
        <f t="shared" si="19"/>
        <v>20</v>
      </c>
      <c r="AC33" s="82">
        <f t="shared" si="19"/>
        <v>60</v>
      </c>
      <c r="AD33" s="82">
        <f t="shared" si="19"/>
        <v>45</v>
      </c>
      <c r="AE33" s="82">
        <f t="shared" si="19"/>
        <v>30</v>
      </c>
      <c r="AF33" s="82">
        <f t="shared" si="19"/>
        <v>35</v>
      </c>
      <c r="AG33" s="82">
        <f t="shared" si="19"/>
        <v>25</v>
      </c>
      <c r="AH33" s="82">
        <f t="shared" si="19"/>
        <v>20</v>
      </c>
      <c r="AI33" s="82">
        <f t="shared" si="19"/>
        <v>20</v>
      </c>
      <c r="AJ33" s="82">
        <f t="shared" si="19"/>
        <v>70</v>
      </c>
      <c r="AK33" s="82">
        <f t="shared" si="19"/>
        <v>30</v>
      </c>
    </row>
    <row r="34" spans="1:37">
      <c r="A34" s="59">
        <v>20</v>
      </c>
      <c r="B34" s="59">
        <v>2</v>
      </c>
      <c r="C34" s="94" t="str">
        <f t="shared" si="1"/>
        <v>Jungle Cruise</v>
      </c>
      <c r="D34" s="94">
        <f t="shared" si="5"/>
        <v>9.7939859857844019E-3</v>
      </c>
      <c r="E34" s="83">
        <f t="shared" si="18"/>
        <v>9.7939859857844019E-3</v>
      </c>
      <c r="F34" s="78">
        <f t="shared" si="2"/>
        <v>5.8823529411764705E-2</v>
      </c>
      <c r="G34" s="83">
        <f t="shared" si="7"/>
        <v>35.41571747416252</v>
      </c>
      <c r="H34" s="78">
        <f t="shared" si="3"/>
        <v>15</v>
      </c>
      <c r="I34" s="139">
        <v>1</v>
      </c>
      <c r="J34" s="8">
        <v>1</v>
      </c>
      <c r="K34" s="141">
        <v>20</v>
      </c>
      <c r="L34" s="154">
        <f>VLOOKUP(C34,coord!B:D,2,0)</f>
        <v>33.811466000000003</v>
      </c>
      <c r="M34" s="155">
        <f>VLOOKUP(C34,coord!B:D,3,0)</f>
        <v>-117.919982</v>
      </c>
      <c r="T34" s="59">
        <v>20</v>
      </c>
      <c r="U34" s="82">
        <f t="shared" ref="U34:AK34" si="20">U15*U$20</f>
        <v>45</v>
      </c>
      <c r="V34" s="82">
        <f t="shared" si="20"/>
        <v>15</v>
      </c>
      <c r="W34" s="82">
        <f t="shared" si="20"/>
        <v>10</v>
      </c>
      <c r="X34" s="82">
        <f t="shared" si="20"/>
        <v>35</v>
      </c>
      <c r="Y34" s="82">
        <f t="shared" si="20"/>
        <v>35</v>
      </c>
      <c r="Z34" s="82">
        <f t="shared" si="20"/>
        <v>30.000000000000004</v>
      </c>
      <c r="AA34" s="82">
        <f t="shared" si="20"/>
        <v>10</v>
      </c>
      <c r="AB34" s="82">
        <f t="shared" si="20"/>
        <v>45</v>
      </c>
      <c r="AC34" s="82">
        <f t="shared" si="20"/>
        <v>45</v>
      </c>
      <c r="AD34" s="82">
        <f t="shared" si="20"/>
        <v>45</v>
      </c>
      <c r="AE34" s="82">
        <f t="shared" si="20"/>
        <v>25</v>
      </c>
      <c r="AF34" s="82">
        <f t="shared" si="20"/>
        <v>30</v>
      </c>
      <c r="AG34" s="82">
        <f t="shared" si="20"/>
        <v>20</v>
      </c>
      <c r="AH34" s="82">
        <f t="shared" si="20"/>
        <v>15</v>
      </c>
      <c r="AI34" s="82">
        <f t="shared" si="20"/>
        <v>20</v>
      </c>
      <c r="AJ34" s="82">
        <f t="shared" si="20"/>
        <v>65</v>
      </c>
      <c r="AK34" s="82">
        <f t="shared" si="20"/>
        <v>25</v>
      </c>
    </row>
    <row r="35" spans="1:37">
      <c r="A35" s="59">
        <v>21</v>
      </c>
      <c r="B35" s="59">
        <v>3</v>
      </c>
      <c r="C35" s="94" t="str">
        <f t="shared" si="1"/>
        <v>Tiki room</v>
      </c>
      <c r="D35" s="94">
        <f t="shared" si="5"/>
        <v>1.3406673571440857E-2</v>
      </c>
      <c r="E35" s="83">
        <f t="shared" si="18"/>
        <v>1.3406673571440857E-2</v>
      </c>
      <c r="F35" s="78">
        <f t="shared" si="2"/>
        <v>6.0606060606060608E-2</v>
      </c>
      <c r="G35" s="83">
        <f t="shared" si="7"/>
        <v>44.436335182955069</v>
      </c>
      <c r="H35" s="78">
        <f t="shared" si="3"/>
        <v>10</v>
      </c>
      <c r="I35" s="139">
        <v>1</v>
      </c>
      <c r="J35" s="8">
        <v>1</v>
      </c>
      <c r="K35" s="141">
        <v>21</v>
      </c>
      <c r="L35" s="154">
        <f>VLOOKUP(C35,coord!B:D,2,0)</f>
        <v>33.811774999999997</v>
      </c>
      <c r="M35" s="155">
        <f>VLOOKUP(C35,coord!B:D,3,0)</f>
        <v>-117.91967699999999</v>
      </c>
      <c r="T35" s="59">
        <v>21</v>
      </c>
      <c r="U35" s="82">
        <f t="shared" ref="U35:AK35" si="21">U16*U$20</f>
        <v>40</v>
      </c>
      <c r="V35" s="82">
        <f t="shared" si="21"/>
        <v>10</v>
      </c>
      <c r="W35" s="82">
        <f t="shared" si="21"/>
        <v>10</v>
      </c>
      <c r="X35" s="82">
        <f t="shared" si="21"/>
        <v>25</v>
      </c>
      <c r="Y35" s="82">
        <f t="shared" si="21"/>
        <v>30</v>
      </c>
      <c r="Z35" s="82">
        <f t="shared" si="21"/>
        <v>25</v>
      </c>
      <c r="AA35" s="82">
        <f t="shared" si="21"/>
        <v>10</v>
      </c>
      <c r="AB35" s="82">
        <f t="shared" si="21"/>
        <v>15</v>
      </c>
      <c r="AC35" s="82">
        <f t="shared" si="21"/>
        <v>35</v>
      </c>
      <c r="AD35" s="82">
        <f t="shared" si="21"/>
        <v>40</v>
      </c>
      <c r="AE35" s="82">
        <f t="shared" si="21"/>
        <v>20</v>
      </c>
      <c r="AF35" s="82">
        <f t="shared" si="21"/>
        <v>25</v>
      </c>
      <c r="AG35" s="82">
        <f t="shared" si="21"/>
        <v>15</v>
      </c>
      <c r="AH35" s="82">
        <f t="shared" si="21"/>
        <v>10</v>
      </c>
      <c r="AI35" s="82">
        <f t="shared" si="21"/>
        <v>15</v>
      </c>
      <c r="AJ35" s="82">
        <f t="shared" si="21"/>
        <v>59.999999999999993</v>
      </c>
      <c r="AK35" s="82">
        <f t="shared" si="21"/>
        <v>20</v>
      </c>
    </row>
    <row r="36" spans="1:37">
      <c r="A36" s="59">
        <v>22</v>
      </c>
      <c r="B36" s="59">
        <v>15</v>
      </c>
      <c r="C36" s="89" t="str">
        <f t="shared" si="1"/>
        <v>Buzz Lightyear</v>
      </c>
      <c r="D36" s="94">
        <f t="shared" si="5"/>
        <v>4.7574861205438287E-2</v>
      </c>
      <c r="E36" s="83">
        <f t="shared" si="18"/>
        <v>4.7574861205438287E-2</v>
      </c>
      <c r="F36" s="78">
        <f t="shared" si="2"/>
        <v>4.0540540540540543E-2</v>
      </c>
      <c r="G36" s="83">
        <f t="shared" si="7"/>
        <v>163.05880626550467</v>
      </c>
      <c r="H36" s="78">
        <f t="shared" si="3"/>
        <v>15</v>
      </c>
      <c r="I36" s="139">
        <v>1</v>
      </c>
      <c r="J36" s="8">
        <v>1</v>
      </c>
      <c r="K36" s="141">
        <v>22</v>
      </c>
      <c r="L36" s="154">
        <f>VLOOKUP(C36,coord!B:D,2,0)</f>
        <v>33.812175000000003</v>
      </c>
      <c r="M36" s="155">
        <f>VLOOKUP(C36,coord!B:D,3,0)</f>
        <v>-117.917979</v>
      </c>
      <c r="T36" s="59">
        <v>22</v>
      </c>
      <c r="U36" s="82">
        <f t="shared" ref="U36:AK36" si="22">U17*U$20</f>
        <v>35</v>
      </c>
      <c r="V36" s="82">
        <f t="shared" si="22"/>
        <v>5</v>
      </c>
      <c r="W36" s="82">
        <f t="shared" si="22"/>
        <v>10</v>
      </c>
      <c r="X36" s="82">
        <f t="shared" si="22"/>
        <v>15</v>
      </c>
      <c r="Y36" s="82">
        <f t="shared" si="22"/>
        <v>30</v>
      </c>
      <c r="Z36" s="82">
        <f t="shared" si="22"/>
        <v>25</v>
      </c>
      <c r="AA36" s="82">
        <f t="shared" si="22"/>
        <v>10</v>
      </c>
      <c r="AB36" s="82">
        <f t="shared" si="22"/>
        <v>15</v>
      </c>
      <c r="AC36" s="82">
        <f t="shared" si="22"/>
        <v>30</v>
      </c>
      <c r="AD36" s="82">
        <f t="shared" si="22"/>
        <v>40</v>
      </c>
      <c r="AE36" s="82">
        <f t="shared" si="22"/>
        <v>15</v>
      </c>
      <c r="AF36" s="82">
        <f t="shared" si="22"/>
        <v>20</v>
      </c>
      <c r="AG36" s="82">
        <f t="shared" si="22"/>
        <v>15</v>
      </c>
      <c r="AH36" s="82">
        <f t="shared" si="22"/>
        <v>10</v>
      </c>
      <c r="AI36" s="82">
        <f t="shared" si="22"/>
        <v>15</v>
      </c>
      <c r="AJ36" s="82">
        <f t="shared" si="22"/>
        <v>35</v>
      </c>
      <c r="AK36" s="82">
        <f t="shared" si="22"/>
        <v>20</v>
      </c>
    </row>
    <row r="37" spans="1:37">
      <c r="A37" s="59">
        <v>23</v>
      </c>
      <c r="B37" s="59">
        <v>17</v>
      </c>
      <c r="C37" s="89" t="str">
        <f t="shared" si="1"/>
        <v>Star Tours</v>
      </c>
      <c r="D37" s="94">
        <f t="shared" si="5"/>
        <v>9.0411429457393569E-3</v>
      </c>
      <c r="E37" s="83">
        <f t="shared" si="18"/>
        <v>9.0411429457393569E-3</v>
      </c>
      <c r="F37" s="78">
        <f t="shared" si="2"/>
        <v>3.669724770642202E-2</v>
      </c>
      <c r="G37" s="83">
        <f t="shared" si="7"/>
        <v>32.923290655312897</v>
      </c>
      <c r="H37" s="78">
        <f t="shared" si="3"/>
        <v>20</v>
      </c>
      <c r="I37" s="139">
        <v>1</v>
      </c>
      <c r="J37" s="8">
        <v>1</v>
      </c>
      <c r="K37" s="141">
        <v>23</v>
      </c>
      <c r="L37" s="154">
        <f>VLOOKUP(C37,coord!B:D,2,0)</f>
        <v>33.811883000000002</v>
      </c>
      <c r="M37" s="155">
        <f>VLOOKUP(C37,coord!B:D,3,0)</f>
        <v>-117.91792</v>
      </c>
      <c r="T37" s="59">
        <v>23</v>
      </c>
      <c r="U37" s="82">
        <f>U18*U$20</f>
        <v>20</v>
      </c>
      <c r="V37" s="82">
        <f t="shared" ref="V37:AK37" si="23">V18*V$20</f>
        <v>5</v>
      </c>
      <c r="W37" s="82">
        <f t="shared" si="23"/>
        <v>10</v>
      </c>
      <c r="X37" s="82">
        <f t="shared" si="23"/>
        <v>10.000000000000002</v>
      </c>
      <c r="Y37" s="82">
        <f t="shared" si="23"/>
        <v>20</v>
      </c>
      <c r="Z37" s="82">
        <f t="shared" si="23"/>
        <v>15.000000000000002</v>
      </c>
      <c r="AA37" s="82">
        <f t="shared" si="23"/>
        <v>10</v>
      </c>
      <c r="AB37" s="82">
        <f t="shared" si="23"/>
        <v>10</v>
      </c>
      <c r="AC37" s="82">
        <f t="shared" si="23"/>
        <v>30</v>
      </c>
      <c r="AD37" s="82">
        <f t="shared" si="23"/>
        <v>35</v>
      </c>
      <c r="AE37" s="82">
        <f t="shared" si="23"/>
        <v>15</v>
      </c>
      <c r="AF37" s="82">
        <f t="shared" si="23"/>
        <v>10</v>
      </c>
      <c r="AG37" s="82">
        <f t="shared" si="23"/>
        <v>10</v>
      </c>
      <c r="AH37" s="82">
        <f t="shared" si="23"/>
        <v>10</v>
      </c>
      <c r="AI37" s="82">
        <f t="shared" si="23"/>
        <v>10</v>
      </c>
      <c r="AJ37" s="82">
        <f t="shared" si="23"/>
        <v>35</v>
      </c>
      <c r="AK37" s="82">
        <f t="shared" si="23"/>
        <v>20</v>
      </c>
    </row>
    <row r="38" spans="1:37" ht="15" thickBot="1">
      <c r="A38" s="60">
        <v>24</v>
      </c>
      <c r="B38" s="60">
        <v>16</v>
      </c>
      <c r="C38" s="156" t="str">
        <f t="shared" si="1"/>
        <v>Space Mtn</v>
      </c>
      <c r="D38" s="97">
        <f t="shared" si="5"/>
        <v>1.757745352532147E-2</v>
      </c>
      <c r="E38" s="105">
        <f t="shared" si="18"/>
        <v>1.757745352532147E-2</v>
      </c>
      <c r="F38" s="80">
        <f t="shared" si="2"/>
        <v>3.6585365853658534E-2</v>
      </c>
      <c r="G38" s="105">
        <f t="shared" si="7"/>
        <v>81.447413962744832</v>
      </c>
      <c r="H38" s="80">
        <f t="shared" si="3"/>
        <v>29.999999999999996</v>
      </c>
      <c r="I38" s="157">
        <v>1</v>
      </c>
      <c r="J38" s="16">
        <v>1</v>
      </c>
      <c r="K38" s="144">
        <v>24</v>
      </c>
      <c r="L38" s="158">
        <f>VLOOKUP(C38,coord!B:D,2,0)</f>
        <v>33.811390000000003</v>
      </c>
      <c r="M38" s="159">
        <f>VLOOKUP(C38,coord!B:D,3,0)</f>
        <v>-117.91726800000001</v>
      </c>
      <c r="T38" s="60">
        <v>24</v>
      </c>
      <c r="U38" s="82">
        <f>U19*U$20</f>
        <v>20</v>
      </c>
      <c r="V38" s="82">
        <f t="shared" ref="V38:AK38" si="24">V19*V$20</f>
        <v>5</v>
      </c>
      <c r="W38" s="82">
        <f t="shared" si="24"/>
        <v>5</v>
      </c>
      <c r="X38" s="82">
        <f t="shared" si="24"/>
        <v>10.000000000000002</v>
      </c>
      <c r="Y38" s="82">
        <f t="shared" si="24"/>
        <v>20</v>
      </c>
      <c r="Z38" s="82">
        <f t="shared" si="24"/>
        <v>15.000000000000002</v>
      </c>
      <c r="AA38" s="82">
        <f t="shared" si="24"/>
        <v>10</v>
      </c>
      <c r="AB38" s="82">
        <f t="shared" si="24"/>
        <v>10</v>
      </c>
      <c r="AC38" s="82">
        <f t="shared" si="24"/>
        <v>30</v>
      </c>
      <c r="AD38" s="82">
        <f t="shared" si="24"/>
        <v>35</v>
      </c>
      <c r="AE38" s="82">
        <f t="shared" si="24"/>
        <v>15</v>
      </c>
      <c r="AF38" s="82">
        <f t="shared" si="24"/>
        <v>5</v>
      </c>
      <c r="AG38" s="82">
        <f t="shared" si="24"/>
        <v>5</v>
      </c>
      <c r="AH38" s="82">
        <f t="shared" si="24"/>
        <v>10</v>
      </c>
      <c r="AI38" s="82">
        <f t="shared" si="24"/>
        <v>10</v>
      </c>
      <c r="AJ38" s="82">
        <f t="shared" si="24"/>
        <v>29.999999999999996</v>
      </c>
      <c r="AK38" s="82">
        <f t="shared" si="24"/>
        <v>15</v>
      </c>
    </row>
    <row r="39" spans="1:37" ht="15">
      <c r="A39" s="12"/>
      <c r="B39" s="8"/>
      <c r="C39" s="8"/>
      <c r="D39" s="94">
        <f>SUM(D22:D38)</f>
        <v>0.35823547720653992</v>
      </c>
      <c r="E39" s="8"/>
      <c r="F39" s="78">
        <f>SUM(F22:F38)</f>
        <v>1.003652532005562</v>
      </c>
      <c r="G39" s="87">
        <f>SUM(G23:G38)</f>
        <v>1427.5882583454134</v>
      </c>
      <c r="H39" s="88">
        <f>SUM(H22:H38)</f>
        <v>465</v>
      </c>
      <c r="K39" s="82">
        <f>D39-SUM(D29:D32)</f>
        <v>0.23110674882192384</v>
      </c>
      <c r="L39" s="66" t="s">
        <v>31</v>
      </c>
      <c r="U39" s="54">
        <v>1</v>
      </c>
      <c r="V39" s="54">
        <v>2</v>
      </c>
      <c r="W39" s="54">
        <v>3</v>
      </c>
      <c r="X39" s="54">
        <v>4</v>
      </c>
      <c r="Y39" s="54">
        <v>5</v>
      </c>
      <c r="Z39" s="54">
        <v>6</v>
      </c>
      <c r="AA39" s="54">
        <v>7</v>
      </c>
      <c r="AB39" s="54">
        <v>8</v>
      </c>
      <c r="AC39" s="54">
        <v>9</v>
      </c>
      <c r="AD39" s="54">
        <v>10</v>
      </c>
      <c r="AE39" s="54">
        <v>11</v>
      </c>
      <c r="AF39" s="54">
        <v>12</v>
      </c>
      <c r="AG39" s="54">
        <v>13</v>
      </c>
      <c r="AH39" s="54">
        <v>14</v>
      </c>
      <c r="AI39" s="54">
        <v>15</v>
      </c>
      <c r="AJ39" s="54">
        <v>16</v>
      </c>
      <c r="AK39" s="55">
        <v>17</v>
      </c>
    </row>
    <row r="40" spans="1:37">
      <c r="A40" s="12"/>
      <c r="B40" s="61" t="s">
        <v>3</v>
      </c>
      <c r="C40" s="8"/>
      <c r="D40" s="71">
        <v>1</v>
      </c>
      <c r="E40" s="8"/>
      <c r="F40" s="71">
        <v>0</v>
      </c>
      <c r="G40" s="8"/>
      <c r="H40" s="14"/>
      <c r="K40" s="82">
        <f>F39-SUM(F29:F32)</f>
        <v>0.64077204878054284</v>
      </c>
      <c r="L40" s="66" t="s">
        <v>32</v>
      </c>
      <c r="T40" s="59">
        <v>1</v>
      </c>
      <c r="U40" s="82">
        <f t="shared" ref="U40:AD46" si="25">B3*B$20</f>
        <v>0</v>
      </c>
      <c r="V40" s="82">
        <f t="shared" si="25"/>
        <v>35.41571747416252</v>
      </c>
      <c r="W40" s="82">
        <f t="shared" si="25"/>
        <v>75.235308449802986</v>
      </c>
      <c r="X40" s="82">
        <f t="shared" si="25"/>
        <v>243.12415046854719</v>
      </c>
      <c r="Y40" s="82">
        <f t="shared" si="25"/>
        <v>285.38608101250298</v>
      </c>
      <c r="Z40" s="82">
        <f t="shared" si="25"/>
        <v>289.17855867575389</v>
      </c>
      <c r="AA40" s="82">
        <f t="shared" si="25"/>
        <v>422.239931684601</v>
      </c>
      <c r="AB40" s="82">
        <f t="shared" si="25"/>
        <v>299.18469658294089</v>
      </c>
      <c r="AC40" s="82">
        <f t="shared" si="25"/>
        <v>294.34674965435448</v>
      </c>
      <c r="AD40" s="82">
        <f t="shared" si="25"/>
        <v>243.58872607986009</v>
      </c>
      <c r="AE40" s="82">
        <f t="shared" ref="AE40:AK46" si="26">L3*L$20</f>
        <v>203.00393542072791</v>
      </c>
      <c r="AF40" s="82">
        <f t="shared" si="26"/>
        <v>476.53795812918798</v>
      </c>
      <c r="AG40" s="82">
        <f t="shared" si="26"/>
        <v>166.24766329420825</v>
      </c>
      <c r="AH40" s="82">
        <f t="shared" si="26"/>
        <v>43.627434418712667</v>
      </c>
      <c r="AI40" s="82">
        <f t="shared" si="26"/>
        <v>235.9205617282789</v>
      </c>
      <c r="AJ40" s="82">
        <f t="shared" si="26"/>
        <v>285.48610254472004</v>
      </c>
      <c r="AK40" s="82">
        <f t="shared" si="26"/>
        <v>231.45532036128384</v>
      </c>
    </row>
    <row r="41" spans="1:37">
      <c r="A41" s="12"/>
      <c r="B41" s="8"/>
      <c r="C41" s="8"/>
      <c r="D41" s="8"/>
      <c r="E41" s="8"/>
      <c r="F41" s="8"/>
      <c r="G41" s="8"/>
      <c r="H41" s="14"/>
      <c r="T41" s="59">
        <v>2</v>
      </c>
      <c r="U41" s="82">
        <f t="shared" si="25"/>
        <v>35.41571747416252</v>
      </c>
      <c r="V41" s="82">
        <f t="shared" si="25"/>
        <v>0</v>
      </c>
      <c r="W41" s="82">
        <f t="shared" si="25"/>
        <v>44.436335182955069</v>
      </c>
      <c r="X41" s="82">
        <f t="shared" si="25"/>
        <v>273.1282170184997</v>
      </c>
      <c r="Y41" s="82">
        <f t="shared" si="25"/>
        <v>257.94215654492939</v>
      </c>
      <c r="Z41" s="82">
        <f t="shared" si="25"/>
        <v>268.18432904191525</v>
      </c>
      <c r="AA41" s="82">
        <f t="shared" si="25"/>
        <v>398.14575455830294</v>
      </c>
      <c r="AB41" s="82">
        <f t="shared" si="25"/>
        <v>273.11509923526529</v>
      </c>
      <c r="AC41" s="82">
        <f t="shared" si="25"/>
        <v>263.58393767409399</v>
      </c>
      <c r="AD41" s="82">
        <f t="shared" si="25"/>
        <v>219.53121870866025</v>
      </c>
      <c r="AE41" s="82">
        <f t="shared" si="26"/>
        <v>200.11373184634655</v>
      </c>
      <c r="AF41" s="82">
        <f t="shared" si="26"/>
        <v>456.11462948302591</v>
      </c>
      <c r="AG41" s="82">
        <f t="shared" si="26"/>
        <v>199.21786127021554</v>
      </c>
      <c r="AH41" s="82">
        <f t="shared" si="26"/>
        <v>79.03822260954027</v>
      </c>
      <c r="AI41" s="82">
        <f t="shared" si="26"/>
        <v>201.14756751767686</v>
      </c>
      <c r="AJ41" s="82">
        <f t="shared" si="26"/>
        <v>250.88589035856424</v>
      </c>
      <c r="AK41" s="82">
        <f t="shared" si="26"/>
        <v>196.0671434542468</v>
      </c>
    </row>
    <row r="42" spans="1:37" ht="15" thickBot="1">
      <c r="A42" s="41"/>
      <c r="B42" s="16"/>
      <c r="C42" s="97">
        <f>D39*D40</f>
        <v>0.35823547720653992</v>
      </c>
      <c r="D42" s="16"/>
      <c r="E42" s="80">
        <f>F39*F40</f>
        <v>0</v>
      </c>
      <c r="F42" s="64" t="s">
        <v>8</v>
      </c>
      <c r="G42" s="16"/>
      <c r="H42" s="98">
        <f>E42+C42</f>
        <v>0.35823547720653992</v>
      </c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59">
        <v>3</v>
      </c>
      <c r="U42" s="82">
        <f t="shared" si="25"/>
        <v>75.235308449802986</v>
      </c>
      <c r="V42" s="82">
        <f t="shared" si="25"/>
        <v>44.436335182955069</v>
      </c>
      <c r="W42" s="82">
        <f t="shared" si="25"/>
        <v>0</v>
      </c>
      <c r="X42" s="82">
        <f t="shared" si="25"/>
        <v>291.68873208474383</v>
      </c>
      <c r="Y42" s="82">
        <f t="shared" si="25"/>
        <v>213.54567105456343</v>
      </c>
      <c r="Z42" s="82">
        <f t="shared" si="25"/>
        <v>226.12164826396045</v>
      </c>
      <c r="AA42" s="82">
        <f t="shared" si="25"/>
        <v>354.40223799523591</v>
      </c>
      <c r="AB42" s="82">
        <f t="shared" si="25"/>
        <v>228.93534948956807</v>
      </c>
      <c r="AC42" s="82">
        <f t="shared" si="25"/>
        <v>219.64957303895184</v>
      </c>
      <c r="AD42" s="82">
        <f t="shared" si="25"/>
        <v>176.13361760590169</v>
      </c>
      <c r="AE42" s="82">
        <f t="shared" si="26"/>
        <v>175.53810902631469</v>
      </c>
      <c r="AF42" s="82">
        <f t="shared" si="26"/>
        <v>413.86441663557724</v>
      </c>
      <c r="AG42" s="82">
        <f t="shared" si="26"/>
        <v>225.40989687633373</v>
      </c>
      <c r="AH42" s="82">
        <f t="shared" si="26"/>
        <v>117.05948454950837</v>
      </c>
      <c r="AI42" s="82">
        <f t="shared" si="26"/>
        <v>163.05880626550467</v>
      </c>
      <c r="AJ42" s="82">
        <f t="shared" si="26"/>
        <v>226.64433982944462</v>
      </c>
      <c r="AK42" s="82">
        <f t="shared" si="26"/>
        <v>162.77018054803818</v>
      </c>
    </row>
    <row r="43" spans="1:37">
      <c r="T43" s="59">
        <v>4</v>
      </c>
      <c r="U43" s="82">
        <f t="shared" si="25"/>
        <v>243.12415046854719</v>
      </c>
      <c r="V43" s="82">
        <f t="shared" si="25"/>
        <v>273.1282170184997</v>
      </c>
      <c r="W43" s="82">
        <f t="shared" si="25"/>
        <v>291.68873208474383</v>
      </c>
      <c r="X43" s="82">
        <f t="shared" si="25"/>
        <v>0</v>
      </c>
      <c r="Y43" s="82">
        <f t="shared" si="25"/>
        <v>430.58523917795372</v>
      </c>
      <c r="Z43" s="82">
        <f t="shared" si="25"/>
        <v>393.65678799828754</v>
      </c>
      <c r="AA43" s="82">
        <f t="shared" si="25"/>
        <v>523.92586826058493</v>
      </c>
      <c r="AB43" s="82">
        <f t="shared" si="25"/>
        <v>433.02117322658592</v>
      </c>
      <c r="AC43" s="82">
        <f t="shared" si="25"/>
        <v>460.99990848306385</v>
      </c>
      <c r="AD43" s="82">
        <f t="shared" si="25"/>
        <v>377.39239285121079</v>
      </c>
      <c r="AE43" s="82">
        <f t="shared" si="26"/>
        <v>243.50268764516562</v>
      </c>
      <c r="AF43" s="82">
        <f t="shared" si="26"/>
        <v>545.19424297983869</v>
      </c>
      <c r="AG43" s="82">
        <f t="shared" si="26"/>
        <v>85.530866119049492</v>
      </c>
      <c r="AH43" s="82">
        <f t="shared" si="26"/>
        <v>209.16282830150311</v>
      </c>
      <c r="AI43" s="82">
        <f t="shared" si="26"/>
        <v>443.65343531531391</v>
      </c>
      <c r="AJ43" s="82">
        <f t="shared" si="26"/>
        <v>518.33181927135797</v>
      </c>
      <c r="AK43" s="82">
        <f t="shared" si="26"/>
        <v>450.94909994727891</v>
      </c>
    </row>
    <row r="44" spans="1:37">
      <c r="T44" s="59">
        <v>5</v>
      </c>
      <c r="U44" s="82">
        <f t="shared" si="25"/>
        <v>285.38608101250298</v>
      </c>
      <c r="V44" s="82">
        <f t="shared" si="25"/>
        <v>257.94215654492939</v>
      </c>
      <c r="W44" s="82">
        <f t="shared" si="25"/>
        <v>213.54567105456346</v>
      </c>
      <c r="X44" s="82">
        <f t="shared" si="25"/>
        <v>430.58523917795367</v>
      </c>
      <c r="Y44" s="82">
        <f t="shared" si="25"/>
        <v>0</v>
      </c>
      <c r="Z44" s="82">
        <f t="shared" si="25"/>
        <v>69.455125502039664</v>
      </c>
      <c r="AA44" s="82">
        <f t="shared" si="25"/>
        <v>146.08932876096961</v>
      </c>
      <c r="AB44" s="82">
        <f t="shared" si="25"/>
        <v>21.968778976333269</v>
      </c>
      <c r="AC44" s="82">
        <f t="shared" si="25"/>
        <v>46.120406617537434</v>
      </c>
      <c r="AD44" s="82">
        <f t="shared" si="25"/>
        <v>53.25280228115453</v>
      </c>
      <c r="AE44" s="82">
        <f t="shared" si="26"/>
        <v>196.18586926043142</v>
      </c>
      <c r="AF44" s="82">
        <f t="shared" si="26"/>
        <v>217.34893875517614</v>
      </c>
      <c r="AG44" s="82">
        <f t="shared" si="26"/>
        <v>394.82939421009377</v>
      </c>
      <c r="AH44" s="82">
        <f t="shared" si="26"/>
        <v>321.85836784012554</v>
      </c>
      <c r="AI44" s="82">
        <f t="shared" si="26"/>
        <v>130.10141514607648</v>
      </c>
      <c r="AJ44" s="82">
        <f t="shared" si="26"/>
        <v>234.1745320258795</v>
      </c>
      <c r="AK44" s="82">
        <f t="shared" si="26"/>
        <v>162.97627457082967</v>
      </c>
    </row>
    <row r="45" spans="1:37">
      <c r="G45" s="82">
        <f>G39*3</f>
        <v>4282.7647750362403</v>
      </c>
      <c r="H45" s="82">
        <f>H39/60</f>
        <v>7.75</v>
      </c>
      <c r="T45" s="59">
        <v>6</v>
      </c>
      <c r="U45" s="82">
        <f t="shared" si="25"/>
        <v>289.17855867575389</v>
      </c>
      <c r="V45" s="82">
        <f t="shared" si="25"/>
        <v>268.18432904191525</v>
      </c>
      <c r="W45" s="82">
        <f t="shared" si="25"/>
        <v>226.1216482639604</v>
      </c>
      <c r="X45" s="82">
        <f t="shared" si="25"/>
        <v>393.65678799828754</v>
      </c>
      <c r="Y45" s="82">
        <f t="shared" si="25"/>
        <v>69.455125502039664</v>
      </c>
      <c r="Z45" s="82">
        <f t="shared" si="25"/>
        <v>0</v>
      </c>
      <c r="AA45" s="82">
        <f t="shared" si="25"/>
        <v>137.10365996034804</v>
      </c>
      <c r="AB45" s="82">
        <f t="shared" si="25"/>
        <v>54.816916820998749</v>
      </c>
      <c r="AC45" s="82">
        <f t="shared" si="25"/>
        <v>115.54084629340073</v>
      </c>
      <c r="AD45" s="82">
        <f t="shared" si="25"/>
        <v>55.11594960765737</v>
      </c>
      <c r="AE45" s="82">
        <f t="shared" si="26"/>
        <v>150.6555634966613</v>
      </c>
      <c r="AF45" s="82">
        <f t="shared" si="26"/>
        <v>187.93059434003794</v>
      </c>
      <c r="AG45" s="82">
        <f t="shared" si="26"/>
        <v>370.49370442246158</v>
      </c>
      <c r="AH45" s="82">
        <f t="shared" si="26"/>
        <v>319.2524065418915</v>
      </c>
      <c r="AI45" s="82">
        <f t="shared" si="26"/>
        <v>189.22843379725697</v>
      </c>
      <c r="AJ45" s="82">
        <f t="shared" si="26"/>
        <v>297.2839405593038</v>
      </c>
      <c r="AK45" s="82">
        <f t="shared" si="26"/>
        <v>220.94920483065883</v>
      </c>
    </row>
    <row r="46" spans="1:37">
      <c r="G46" s="82">
        <f>G45/5280</f>
        <v>0.81112969224171216</v>
      </c>
      <c r="T46" s="59">
        <v>7</v>
      </c>
      <c r="U46" s="82">
        <f t="shared" si="25"/>
        <v>422.239931684601</v>
      </c>
      <c r="V46" s="82">
        <f t="shared" si="25"/>
        <v>398.14575455830294</v>
      </c>
      <c r="W46" s="82">
        <f t="shared" si="25"/>
        <v>354.40223799523591</v>
      </c>
      <c r="X46" s="82">
        <f t="shared" si="25"/>
        <v>523.92586826058493</v>
      </c>
      <c r="Y46" s="82">
        <f t="shared" si="25"/>
        <v>146.08932876096961</v>
      </c>
      <c r="Z46" s="82">
        <f t="shared" si="25"/>
        <v>137.10365996034804</v>
      </c>
      <c r="AA46" s="82">
        <f t="shared" si="25"/>
        <v>0</v>
      </c>
      <c r="AB46" s="82">
        <f t="shared" si="25"/>
        <v>127.04302098859858</v>
      </c>
      <c r="AC46" s="82">
        <f t="shared" si="25"/>
        <v>166.51786372548233</v>
      </c>
      <c r="AD46" s="82">
        <f t="shared" si="25"/>
        <v>178.79249083232051</v>
      </c>
      <c r="AE46" s="82">
        <f t="shared" si="26"/>
        <v>281.09763747137629</v>
      </c>
      <c r="AF46" s="82">
        <f t="shared" si="26"/>
        <v>80.985227741250185</v>
      </c>
      <c r="AG46" s="82">
        <f t="shared" si="26"/>
        <v>506.4497087106385</v>
      </c>
      <c r="AH46" s="82">
        <f t="shared" si="26"/>
        <v>454.60608976349624</v>
      </c>
      <c r="AI46" s="82">
        <f t="shared" si="26"/>
        <v>266.95448741353545</v>
      </c>
      <c r="AJ46" s="82">
        <f t="shared" si="26"/>
        <v>357.85686355779404</v>
      </c>
      <c r="AK46" s="82">
        <f t="shared" si="26"/>
        <v>299.2056517337632</v>
      </c>
    </row>
    <row r="47" spans="1:37">
      <c r="T47" s="59">
        <v>8</v>
      </c>
      <c r="U47" s="82">
        <f t="shared" ref="U47:U56" si="27">B10*B$20</f>
        <v>299.18469658294089</v>
      </c>
      <c r="V47" s="82">
        <f t="shared" ref="V47:AK55" si="28">C10*C$20</f>
        <v>273.11509923526529</v>
      </c>
      <c r="W47" s="82">
        <f t="shared" si="28"/>
        <v>228.93534948956807</v>
      </c>
      <c r="X47" s="82">
        <f t="shared" si="28"/>
        <v>433.02117322658592</v>
      </c>
      <c r="Y47" s="82">
        <f t="shared" si="28"/>
        <v>21.968778976333269</v>
      </c>
      <c r="Z47" s="82">
        <f t="shared" si="28"/>
        <v>54.816916820998742</v>
      </c>
      <c r="AA47" s="82">
        <f t="shared" si="28"/>
        <v>127.04302098859857</v>
      </c>
      <c r="AB47" s="82">
        <f t="shared" si="28"/>
        <v>0</v>
      </c>
      <c r="AC47" s="82">
        <f t="shared" si="28"/>
        <v>63.794208341811625</v>
      </c>
      <c r="AD47" s="82">
        <f t="shared" si="28"/>
        <v>58.440074323805938</v>
      </c>
      <c r="AE47" s="82">
        <f t="shared" si="28"/>
        <v>194.30568622833704</v>
      </c>
      <c r="AF47" s="82">
        <f t="shared" si="28"/>
        <v>196.24129880676139</v>
      </c>
      <c r="AG47" s="82">
        <f t="shared" si="28"/>
        <v>401.34210495569926</v>
      </c>
      <c r="AH47" s="82">
        <f t="shared" si="28"/>
        <v>334.23445421028055</v>
      </c>
      <c r="AI47" s="82">
        <f t="shared" si="28"/>
        <v>152.05756119461753</v>
      </c>
      <c r="AJ47" s="82">
        <f t="shared" si="28"/>
        <v>255.62654057901639</v>
      </c>
      <c r="AK47" s="82">
        <f t="shared" si="28"/>
        <v>184.93928790034644</v>
      </c>
    </row>
    <row r="48" spans="1:37">
      <c r="T48" s="59">
        <v>9</v>
      </c>
      <c r="U48" s="82">
        <f t="shared" si="27"/>
        <v>294.34674965435448</v>
      </c>
      <c r="V48" s="82">
        <f t="shared" si="28"/>
        <v>263.58393767409399</v>
      </c>
      <c r="W48" s="82">
        <f t="shared" si="28"/>
        <v>219.64957303895184</v>
      </c>
      <c r="X48" s="82">
        <f t="shared" si="28"/>
        <v>460.99990848306379</v>
      </c>
      <c r="Y48" s="82">
        <f t="shared" si="28"/>
        <v>46.120406617537434</v>
      </c>
      <c r="Z48" s="82">
        <f t="shared" si="28"/>
        <v>115.54084629340075</v>
      </c>
      <c r="AA48" s="82">
        <f t="shared" si="28"/>
        <v>166.51786372548233</v>
      </c>
      <c r="AB48" s="82">
        <f t="shared" si="28"/>
        <v>63.794208341811625</v>
      </c>
      <c r="AC48" s="82">
        <f t="shared" si="28"/>
        <v>0</v>
      </c>
      <c r="AD48" s="82">
        <f t="shared" si="28"/>
        <v>90.664956666995778</v>
      </c>
      <c r="AE48" s="82">
        <f t="shared" si="28"/>
        <v>234.26543137137057</v>
      </c>
      <c r="AF48" s="82">
        <f t="shared" si="28"/>
        <v>244.21262443256944</v>
      </c>
      <c r="AG48" s="82">
        <f t="shared" si="28"/>
        <v>418.58691675179392</v>
      </c>
      <c r="AH48" s="82">
        <f t="shared" si="28"/>
        <v>333.91043574757589</v>
      </c>
      <c r="AI48" s="82">
        <f t="shared" si="28"/>
        <v>100.53876287995733</v>
      </c>
      <c r="AJ48" s="82">
        <f t="shared" si="28"/>
        <v>196.03012242617947</v>
      </c>
      <c r="AK48" s="82">
        <f t="shared" si="28"/>
        <v>132.68848704068344</v>
      </c>
    </row>
    <row r="49" spans="20:37">
      <c r="T49" s="59">
        <v>10</v>
      </c>
      <c r="U49" s="82">
        <f t="shared" si="27"/>
        <v>243.58872607986012</v>
      </c>
      <c r="V49" s="82">
        <f t="shared" si="28"/>
        <v>219.53121870866028</v>
      </c>
      <c r="W49" s="82">
        <f t="shared" si="28"/>
        <v>176.13361760590169</v>
      </c>
      <c r="X49" s="82">
        <f t="shared" si="28"/>
        <v>377.39239285121079</v>
      </c>
      <c r="Y49" s="82">
        <f t="shared" si="28"/>
        <v>53.252802281154523</v>
      </c>
      <c r="Z49" s="82">
        <f t="shared" si="28"/>
        <v>55.115949607657363</v>
      </c>
      <c r="AA49" s="82">
        <f t="shared" si="28"/>
        <v>178.79249083232051</v>
      </c>
      <c r="AB49" s="82">
        <f t="shared" si="28"/>
        <v>58.440074323805938</v>
      </c>
      <c r="AC49" s="82">
        <f t="shared" si="28"/>
        <v>90.664956666995778</v>
      </c>
      <c r="AD49" s="82">
        <f t="shared" si="28"/>
        <v>0</v>
      </c>
      <c r="AE49" s="82">
        <f t="shared" si="28"/>
        <v>144.14840241197871</v>
      </c>
      <c r="AF49" s="82">
        <f t="shared" si="28"/>
        <v>238.93956076898073</v>
      </c>
      <c r="AG49" s="82">
        <f t="shared" si="28"/>
        <v>343.23800472175236</v>
      </c>
      <c r="AH49" s="82">
        <f t="shared" si="28"/>
        <v>277.19471876766289</v>
      </c>
      <c r="AI49" s="82">
        <f t="shared" si="28"/>
        <v>140.34652822183338</v>
      </c>
      <c r="AJ49" s="82">
        <f t="shared" si="28"/>
        <v>249.56439084237218</v>
      </c>
      <c r="AK49" s="82">
        <f t="shared" si="28"/>
        <v>170.59544177993732</v>
      </c>
    </row>
    <row r="50" spans="20:37">
      <c r="T50" s="59">
        <v>11</v>
      </c>
      <c r="U50" s="82">
        <f t="shared" si="27"/>
        <v>203.00393542072791</v>
      </c>
      <c r="V50" s="82">
        <f t="shared" si="28"/>
        <v>200.11373184634655</v>
      </c>
      <c r="W50" s="82">
        <f t="shared" si="28"/>
        <v>175.53810902631469</v>
      </c>
      <c r="X50" s="82">
        <f t="shared" si="28"/>
        <v>243.50268764516565</v>
      </c>
      <c r="Y50" s="82">
        <f t="shared" si="28"/>
        <v>196.18586926043142</v>
      </c>
      <c r="Z50" s="82">
        <f t="shared" si="28"/>
        <v>150.6555634966613</v>
      </c>
      <c r="AA50" s="82">
        <f t="shared" si="28"/>
        <v>281.09763747137629</v>
      </c>
      <c r="AB50" s="82">
        <f t="shared" si="28"/>
        <v>194.30568622833704</v>
      </c>
      <c r="AC50" s="82">
        <f t="shared" si="28"/>
        <v>234.26543137137054</v>
      </c>
      <c r="AD50" s="82">
        <f t="shared" si="28"/>
        <v>144.14840241197871</v>
      </c>
      <c r="AE50" s="82">
        <f t="shared" si="28"/>
        <v>0</v>
      </c>
      <c r="AF50" s="82">
        <f t="shared" si="28"/>
        <v>310.40995171196965</v>
      </c>
      <c r="AG50" s="82">
        <f t="shared" si="28"/>
        <v>229.52406256746684</v>
      </c>
      <c r="AH50" s="82">
        <f t="shared" si="28"/>
        <v>215.60524896378325</v>
      </c>
      <c r="AI50" s="82">
        <f t="shared" si="28"/>
        <v>253.90774206554252</v>
      </c>
      <c r="AJ50" s="82">
        <f t="shared" si="28"/>
        <v>355.60542381889445</v>
      </c>
      <c r="AK50" s="82">
        <f t="shared" si="28"/>
        <v>274.98992588644165</v>
      </c>
    </row>
    <row r="51" spans="20:37">
      <c r="T51" s="59">
        <v>12</v>
      </c>
      <c r="U51" s="82">
        <f t="shared" si="27"/>
        <v>476.53795812918798</v>
      </c>
      <c r="V51" s="82">
        <f t="shared" si="28"/>
        <v>456.11462948302585</v>
      </c>
      <c r="W51" s="82">
        <f t="shared" si="28"/>
        <v>413.86441663557724</v>
      </c>
      <c r="X51" s="82">
        <f t="shared" si="28"/>
        <v>545.19424297983869</v>
      </c>
      <c r="Y51" s="82">
        <f t="shared" si="28"/>
        <v>217.34893875517614</v>
      </c>
      <c r="Z51" s="82">
        <f t="shared" si="28"/>
        <v>187.93059434003794</v>
      </c>
      <c r="AA51" s="82">
        <f t="shared" si="28"/>
        <v>80.985227741250185</v>
      </c>
      <c r="AB51" s="82">
        <f t="shared" si="28"/>
        <v>196.24129880676139</v>
      </c>
      <c r="AC51" s="82">
        <f t="shared" si="28"/>
        <v>244.21262443256944</v>
      </c>
      <c r="AD51" s="82">
        <f t="shared" si="28"/>
        <v>238.93956076898073</v>
      </c>
      <c r="AE51" s="82">
        <f t="shared" si="28"/>
        <v>310.40995171196965</v>
      </c>
      <c r="AF51" s="82">
        <f t="shared" si="28"/>
        <v>0</v>
      </c>
      <c r="AG51" s="82">
        <f t="shared" si="28"/>
        <v>539.93396275766452</v>
      </c>
      <c r="AH51" s="82">
        <f t="shared" si="28"/>
        <v>504.71867173682426</v>
      </c>
      <c r="AI51" s="82">
        <f t="shared" si="28"/>
        <v>343.71766130424044</v>
      </c>
      <c r="AJ51" s="82">
        <f t="shared" si="28"/>
        <v>437.85195352068683</v>
      </c>
      <c r="AK51" s="82">
        <f t="shared" si="28"/>
        <v>376.39033374729303</v>
      </c>
    </row>
    <row r="52" spans="20:37">
      <c r="T52" s="59">
        <v>13</v>
      </c>
      <c r="U52" s="82">
        <f t="shared" si="27"/>
        <v>166.24766329420825</v>
      </c>
      <c r="V52" s="82">
        <f t="shared" si="28"/>
        <v>199.21786127021554</v>
      </c>
      <c r="W52" s="82">
        <f t="shared" si="28"/>
        <v>225.40989687633373</v>
      </c>
      <c r="X52" s="82">
        <f t="shared" si="28"/>
        <v>85.530866119049492</v>
      </c>
      <c r="Y52" s="82">
        <f t="shared" si="28"/>
        <v>394.82939421009377</v>
      </c>
      <c r="Z52" s="82">
        <f t="shared" si="28"/>
        <v>370.49370442246158</v>
      </c>
      <c r="AA52" s="82">
        <f t="shared" si="28"/>
        <v>506.44970871063845</v>
      </c>
      <c r="AB52" s="82">
        <f t="shared" si="28"/>
        <v>401.34210495569926</v>
      </c>
      <c r="AC52" s="82">
        <f t="shared" si="28"/>
        <v>418.58691675179392</v>
      </c>
      <c r="AD52" s="82">
        <f t="shared" si="28"/>
        <v>343.23800472175242</v>
      </c>
      <c r="AE52" s="82">
        <f t="shared" si="28"/>
        <v>229.52406256746684</v>
      </c>
      <c r="AF52" s="82">
        <f t="shared" si="28"/>
        <v>539.93396275766452</v>
      </c>
      <c r="AG52" s="82">
        <f t="shared" si="28"/>
        <v>0</v>
      </c>
      <c r="AH52" s="82">
        <f t="shared" si="28"/>
        <v>127.9721607205676</v>
      </c>
      <c r="AI52" s="82">
        <f t="shared" si="28"/>
        <v>385.50102343587747</v>
      </c>
      <c r="AJ52" s="82">
        <f t="shared" si="28"/>
        <v>449.4287392065018</v>
      </c>
      <c r="AK52" s="82">
        <f t="shared" si="28"/>
        <v>388.07023356065002</v>
      </c>
    </row>
    <row r="53" spans="20:37">
      <c r="T53" s="59">
        <v>14</v>
      </c>
      <c r="U53" s="82">
        <f t="shared" si="27"/>
        <v>43.627434418712667</v>
      </c>
      <c r="V53" s="82">
        <f t="shared" si="28"/>
        <v>79.03822260954027</v>
      </c>
      <c r="W53" s="82">
        <f t="shared" si="28"/>
        <v>117.05948454950837</v>
      </c>
      <c r="X53" s="82">
        <f t="shared" si="28"/>
        <v>209.16282830150311</v>
      </c>
      <c r="Y53" s="82">
        <f t="shared" si="28"/>
        <v>321.85836784012554</v>
      </c>
      <c r="Z53" s="82">
        <f t="shared" si="28"/>
        <v>319.2524065418915</v>
      </c>
      <c r="AA53" s="82">
        <f t="shared" si="28"/>
        <v>454.60608976349624</v>
      </c>
      <c r="AB53" s="82">
        <f t="shared" si="28"/>
        <v>334.23445421028055</v>
      </c>
      <c r="AC53" s="82">
        <f t="shared" si="28"/>
        <v>333.91043574757589</v>
      </c>
      <c r="AD53" s="82">
        <f t="shared" si="28"/>
        <v>277.19471876766289</v>
      </c>
      <c r="AE53" s="82">
        <f t="shared" si="28"/>
        <v>215.60524896378325</v>
      </c>
      <c r="AF53" s="82">
        <f t="shared" si="28"/>
        <v>504.71867173682426</v>
      </c>
      <c r="AG53" s="82">
        <f t="shared" si="28"/>
        <v>127.9721607205676</v>
      </c>
      <c r="AH53" s="82">
        <f t="shared" si="28"/>
        <v>0</v>
      </c>
      <c r="AI53" s="82">
        <f t="shared" si="28"/>
        <v>279.11449624635367</v>
      </c>
      <c r="AJ53" s="82">
        <f t="shared" si="28"/>
        <v>328.16830545471561</v>
      </c>
      <c r="AK53" s="82">
        <f t="shared" si="28"/>
        <v>275.07923904373905</v>
      </c>
    </row>
    <row r="54" spans="20:37">
      <c r="T54" s="59">
        <v>15</v>
      </c>
      <c r="U54" s="82">
        <f t="shared" si="27"/>
        <v>235.9205617282789</v>
      </c>
      <c r="V54" s="82">
        <f t="shared" si="28"/>
        <v>201.14756751767686</v>
      </c>
      <c r="W54" s="82">
        <f t="shared" si="28"/>
        <v>163.05880626550467</v>
      </c>
      <c r="X54" s="82">
        <f t="shared" si="28"/>
        <v>443.65343531531403</v>
      </c>
      <c r="Y54" s="82">
        <f t="shared" si="28"/>
        <v>130.10141514607648</v>
      </c>
      <c r="Z54" s="82">
        <f t="shared" si="28"/>
        <v>189.22843379725697</v>
      </c>
      <c r="AA54" s="82">
        <f t="shared" si="28"/>
        <v>266.95448741353545</v>
      </c>
      <c r="AB54" s="82">
        <f t="shared" si="28"/>
        <v>152.05756119461753</v>
      </c>
      <c r="AC54" s="82">
        <f t="shared" si="28"/>
        <v>100.53876287995733</v>
      </c>
      <c r="AD54" s="82">
        <f t="shared" si="28"/>
        <v>140.34652822183338</v>
      </c>
      <c r="AE54" s="82">
        <f t="shared" si="28"/>
        <v>253.90774206554249</v>
      </c>
      <c r="AF54" s="82">
        <f t="shared" si="28"/>
        <v>343.71766130424044</v>
      </c>
      <c r="AG54" s="82">
        <f t="shared" si="28"/>
        <v>385.50102343587753</v>
      </c>
      <c r="AH54" s="82">
        <f t="shared" si="28"/>
        <v>279.11449624635367</v>
      </c>
      <c r="AI54" s="82">
        <f t="shared" si="28"/>
        <v>0</v>
      </c>
      <c r="AJ54" s="82">
        <f t="shared" si="28"/>
        <v>109.24350736136221</v>
      </c>
      <c r="AK54" s="82">
        <f t="shared" si="28"/>
        <v>32.923290655312897</v>
      </c>
    </row>
    <row r="55" spans="20:37">
      <c r="T55" s="59">
        <v>16</v>
      </c>
      <c r="U55" s="82">
        <f t="shared" si="27"/>
        <v>285.48610254472004</v>
      </c>
      <c r="V55" s="82">
        <f t="shared" si="28"/>
        <v>250.88589035856424</v>
      </c>
      <c r="W55" s="82">
        <f t="shared" si="28"/>
        <v>226.64433982944459</v>
      </c>
      <c r="X55" s="82">
        <f t="shared" si="28"/>
        <v>518.33181927135797</v>
      </c>
      <c r="Y55" s="82">
        <f t="shared" si="28"/>
        <v>234.17453202587953</v>
      </c>
      <c r="Z55" s="82">
        <f t="shared" si="28"/>
        <v>297.2839405593038</v>
      </c>
      <c r="AA55" s="82">
        <f t="shared" si="28"/>
        <v>357.85686355779404</v>
      </c>
      <c r="AB55" s="82">
        <f t="shared" si="28"/>
        <v>255.62654057901639</v>
      </c>
      <c r="AC55" s="82">
        <f t="shared" si="28"/>
        <v>196.03012242617947</v>
      </c>
      <c r="AD55" s="82">
        <f t="shared" si="28"/>
        <v>249.56439084237218</v>
      </c>
      <c r="AE55" s="82">
        <f t="shared" si="28"/>
        <v>355.60542381889445</v>
      </c>
      <c r="AF55" s="82">
        <f t="shared" si="28"/>
        <v>437.85195352068683</v>
      </c>
      <c r="AG55" s="82">
        <f t="shared" si="28"/>
        <v>449.42873920650186</v>
      </c>
      <c r="AH55" s="82">
        <f t="shared" si="28"/>
        <v>328.16830545471561</v>
      </c>
      <c r="AI55" s="82">
        <f t="shared" si="28"/>
        <v>109.24350736136221</v>
      </c>
      <c r="AJ55" s="82">
        <f t="shared" si="28"/>
        <v>0</v>
      </c>
      <c r="AK55" s="82">
        <f t="shared" ref="AK55:AK56" si="29">R18*R$20</f>
        <v>81.447413962744818</v>
      </c>
    </row>
    <row r="56" spans="20:37" ht="15" thickBot="1">
      <c r="T56" s="60">
        <v>17</v>
      </c>
      <c r="U56" s="82">
        <f t="shared" si="27"/>
        <v>231.45532036128384</v>
      </c>
      <c r="V56" s="82">
        <f t="shared" ref="V56" si="30">C19*C$20</f>
        <v>196.0671434542468</v>
      </c>
      <c r="W56" s="82">
        <f t="shared" ref="W56" si="31">D19*D$20</f>
        <v>162.77018054803818</v>
      </c>
      <c r="X56" s="82">
        <f t="shared" ref="X56" si="32">E19*E$20</f>
        <v>450.94909994727897</v>
      </c>
      <c r="Y56" s="82">
        <f t="shared" ref="Y56" si="33">F19*F$20</f>
        <v>162.97627457082967</v>
      </c>
      <c r="Z56" s="82">
        <f t="shared" ref="Z56" si="34">G19*G$20</f>
        <v>220.9492048306588</v>
      </c>
      <c r="AA56" s="82">
        <f t="shared" ref="AA56" si="35">H19*H$20</f>
        <v>299.2056517337632</v>
      </c>
      <c r="AB56" s="82">
        <f t="shared" ref="AB56" si="36">I19*I$20</f>
        <v>184.93928790034644</v>
      </c>
      <c r="AC56" s="82">
        <f t="shared" ref="AC56" si="37">J19*J$20</f>
        <v>132.68848704068344</v>
      </c>
      <c r="AD56" s="82">
        <f t="shared" ref="AD56" si="38">K19*K$20</f>
        <v>170.59544177993732</v>
      </c>
      <c r="AE56" s="82">
        <f t="shared" ref="AE56" si="39">L19*L$20</f>
        <v>274.98992588644165</v>
      </c>
      <c r="AF56" s="82">
        <f t="shared" ref="AF56" si="40">M19*M$20</f>
        <v>376.39033374729303</v>
      </c>
      <c r="AG56" s="82">
        <f t="shared" ref="AG56" si="41">N19*N$20</f>
        <v>388.07023356065002</v>
      </c>
      <c r="AH56" s="82">
        <f t="shared" ref="AH56" si="42">O19*O$20</f>
        <v>275.07923904373905</v>
      </c>
      <c r="AI56" s="82">
        <f t="shared" ref="AI56" si="43">P19*P$20</f>
        <v>32.923290655312897</v>
      </c>
      <c r="AJ56" s="82">
        <f t="shared" ref="AJ56" si="44">Q19*Q$20</f>
        <v>81.447413962744832</v>
      </c>
      <c r="AK56" s="82">
        <f t="shared" si="29"/>
        <v>0</v>
      </c>
    </row>
  </sheetData>
  <scenarios current="1" show="1" sqref="C22 F22 E23">
    <scenario name="Original" locked="1" count="17" user="Jon Hager" comment="Created by Jon Hager on 5/8/2018">
      <inputCells r="B22" val="4"/>
      <inputCells r="B23" val="1"/>
      <inputCells r="B24" val="14"/>
      <inputCells r="B25" val="7"/>
      <inputCells r="B26" val="12"/>
      <inputCells r="B27" val="2"/>
      <inputCells r="B28" val="3"/>
      <inputCells r="B29" val="5"/>
      <inputCells r="B30" val="6"/>
      <inputCells r="B31" val="10"/>
      <inputCells r="B32" val="17"/>
      <inputCells r="B33" val="16"/>
      <inputCells r="B34" val="15"/>
      <inputCells r="B35" val="8"/>
      <inputCells r="B36" val="11"/>
      <inputCells r="B37" val="13"/>
      <inputCells r="B38" val="9"/>
    </scenario>
    <scenario name="Best Course" locked="1" count="17" user="Jon Hager" comment="Created by Jon Hager on 5/8/2018">
      <inputCells r="B22" val="12"/>
      <inputCells r="B23" val="9"/>
      <inputCells r="B24" val="6"/>
      <inputCells r="B25" val="11"/>
      <inputCells r="B26" val="16"/>
      <inputCells r="B27" val="8"/>
      <inputCells r="B28" val="5"/>
      <inputCells r="B29" val="10"/>
      <inputCells r="B30" val="7"/>
      <inputCells r="B31" val="15"/>
      <inputCells r="B32" val="17"/>
      <inputCells r="B33" val="3"/>
      <inputCells r="B34" val="2"/>
      <inputCells r="B35" val="14"/>
      <inputCells r="B36" val="13"/>
      <inputCells r="B37" val="4"/>
      <inputCells r="B38" val="1"/>
    </scenario>
  </scenarios>
  <conditionalFormatting sqref="C22 C36:C38 C29:C31 C24">
    <cfRule type="expression" dxfId="5" priority="3">
      <formula>MATCH(C22,$O$22:$O$30,0)</formula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8BF3D3-E8EA-4A09-A112-824BDFC554F9}">
  <sheetPr codeName="Sheet3"/>
  <dimension ref="A1:AM42"/>
  <sheetViews>
    <sheetView workbookViewId="0">
      <selection activeCell="B23" sqref="B23"/>
    </sheetView>
  </sheetViews>
  <sheetFormatPr defaultRowHeight="14.25"/>
  <cols>
    <col min="1" max="1" width="9.5" bestFit="1" customWidth="1"/>
    <col min="2" max="2" width="14.75" bestFit="1" customWidth="1"/>
    <col min="3" max="3" width="17.25" bestFit="1" customWidth="1"/>
    <col min="4" max="4" width="12.5" bestFit="1" customWidth="1"/>
    <col min="5" max="5" width="7.75" bestFit="1" customWidth="1"/>
    <col min="6" max="6" width="7.375" bestFit="1" customWidth="1"/>
    <col min="7" max="18" width="7" customWidth="1"/>
    <col min="19" max="19" width="17.25" bestFit="1" customWidth="1"/>
    <col min="20" max="20" width="16" customWidth="1"/>
    <col min="21" max="21" width="12.75" bestFit="1" customWidth="1"/>
    <col min="22" max="38" width="5.5" customWidth="1"/>
    <col min="39" max="39" width="15.75" bestFit="1" customWidth="1"/>
  </cols>
  <sheetData>
    <row r="1" spans="1:39" ht="48.75" customHeight="1">
      <c r="A1" s="9" t="s">
        <v>10</v>
      </c>
      <c r="B1" s="10" t="s">
        <v>5</v>
      </c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1"/>
      <c r="T1" s="9" t="s">
        <v>11</v>
      </c>
      <c r="U1" s="10" t="s">
        <v>6</v>
      </c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1"/>
    </row>
    <row r="2" spans="1:39">
      <c r="A2" s="12" t="s">
        <v>5</v>
      </c>
      <c r="B2" s="3">
        <v>1</v>
      </c>
      <c r="C2" s="3">
        <v>2</v>
      </c>
      <c r="D2" s="3">
        <v>3</v>
      </c>
      <c r="E2" s="3">
        <v>4</v>
      </c>
      <c r="F2" s="3">
        <v>5</v>
      </c>
      <c r="G2" s="3">
        <v>6</v>
      </c>
      <c r="H2" s="3">
        <v>7</v>
      </c>
      <c r="I2" s="3">
        <v>8</v>
      </c>
      <c r="J2" s="3">
        <v>9</v>
      </c>
      <c r="K2" s="3">
        <v>10</v>
      </c>
      <c r="L2" s="3">
        <v>11</v>
      </c>
      <c r="M2" s="3">
        <v>12</v>
      </c>
      <c r="N2" s="3">
        <v>13</v>
      </c>
      <c r="O2" s="3">
        <v>14</v>
      </c>
      <c r="P2" s="3">
        <v>15</v>
      </c>
      <c r="Q2" s="3">
        <v>16</v>
      </c>
      <c r="R2" s="18">
        <v>17</v>
      </c>
      <c r="T2" s="12" t="s">
        <v>12</v>
      </c>
      <c r="U2" s="3">
        <v>1</v>
      </c>
      <c r="V2" s="3">
        <v>2</v>
      </c>
      <c r="W2" s="3">
        <v>3</v>
      </c>
      <c r="X2" s="3">
        <v>4</v>
      </c>
      <c r="Y2" s="3">
        <v>5</v>
      </c>
      <c r="Z2" s="3">
        <v>6</v>
      </c>
      <c r="AA2" s="3">
        <v>7</v>
      </c>
      <c r="AB2" s="3">
        <v>8</v>
      </c>
      <c r="AC2" s="3">
        <v>9</v>
      </c>
      <c r="AD2" s="3">
        <v>10</v>
      </c>
      <c r="AE2" s="3">
        <v>11</v>
      </c>
      <c r="AF2" s="3">
        <v>12</v>
      </c>
      <c r="AG2" s="3">
        <v>13</v>
      </c>
      <c r="AH2" s="3">
        <v>14</v>
      </c>
      <c r="AI2" s="3">
        <v>15</v>
      </c>
      <c r="AJ2" s="3">
        <v>16</v>
      </c>
      <c r="AK2" s="18">
        <v>17</v>
      </c>
      <c r="AL2" s="6" t="s">
        <v>13</v>
      </c>
    </row>
    <row r="3" spans="1:39" ht="15">
      <c r="A3" s="13">
        <v>1</v>
      </c>
      <c r="B3" s="27">
        <f>getDistance(coord!C1,coord!D1,coord!$C$1,coord!$D$1)*1000</f>
        <v>0</v>
      </c>
      <c r="C3" s="28">
        <f>getDistance(coord!C1,coord!D1,coord!$C$2,coord!$D$2)*1000</f>
        <v>35.41571747416252</v>
      </c>
      <c r="D3" s="28">
        <f>getDistance(coord!$C1,coord!$D1,coord!$C$3,coord!$D$3)*1000</f>
        <v>75.235308449802986</v>
      </c>
      <c r="E3" s="28">
        <f>getDistance(coord!$C1,coord!$D1,coord!$C$4,coord!$D$4)*1000</f>
        <v>243.12415046854719</v>
      </c>
      <c r="F3" s="28">
        <f>getDistance(coord!$C1,coord!$D1,coord!$C$5,coord!$D$5)*1000</f>
        <v>285.38608101250298</v>
      </c>
      <c r="G3" s="28">
        <f>getDistance(coord!$C1,coord!$D1,coord!$C$6,coord!$D$6)*1000</f>
        <v>289.17855867575389</v>
      </c>
      <c r="H3" s="28">
        <f>getDistance(coord!$C1,coord!$D1,coord!$C$7,coord!$D$7)*1000</f>
        <v>422.239931684601</v>
      </c>
      <c r="I3" s="28">
        <f>getDistance(coord!$C1,coord!$D1,coord!$C$8,coord!$D$8)*1000</f>
        <v>299.18469658294089</v>
      </c>
      <c r="J3" s="28">
        <f>getDistance(coord!$C1,coord!$D1,coord!$C$9,coord!$D$9)*1000</f>
        <v>294.34674965435448</v>
      </c>
      <c r="K3" s="28">
        <f>getDistance(coord!$C1,coord!$D1,coord!$C$10,coord!$D$10)*1000</f>
        <v>243.58872607986009</v>
      </c>
      <c r="L3" s="28">
        <f>getDistance(coord!$C1,coord!$D1,coord!$C$11,coord!$D$11)*1000</f>
        <v>203.00393542072791</v>
      </c>
      <c r="M3" s="28">
        <f>getDistance(coord!$C1,coord!$D1,coord!$C$12,coord!$D$12)*1000</f>
        <v>476.53795812918798</v>
      </c>
      <c r="N3" s="28">
        <f>getDistance(coord!$C1,coord!$D1,coord!$C$13,coord!$D$13)*1000</f>
        <v>166.24766329420825</v>
      </c>
      <c r="O3" s="28">
        <f>getDistance(coord!$C1,coord!$D1,coord!$C$14,coord!$D$14)*1000</f>
        <v>43.627434418712667</v>
      </c>
      <c r="P3" s="28">
        <f>getDistance(coord!$C1,coord!$D1,coord!$C$15,coord!$D$15)*1000</f>
        <v>235.9205617282789</v>
      </c>
      <c r="Q3" s="28">
        <f>getDistance(coord!$C1,coord!$D1,coord!$C$16,coord!$D$16)*1000</f>
        <v>285.48610254472004</v>
      </c>
      <c r="R3" s="29">
        <f>getDistance(coord!$C1,coord!$D1,coord!$C$17,coord!$D$17)*1000</f>
        <v>231.45532036128384</v>
      </c>
      <c r="S3" s="5" t="s">
        <v>14</v>
      </c>
      <c r="T3" s="13">
        <v>8</v>
      </c>
      <c r="U3" s="8">
        <v>5</v>
      </c>
      <c r="V3" s="8">
        <v>5</v>
      </c>
      <c r="W3" s="8">
        <v>10</v>
      </c>
      <c r="X3" s="8">
        <v>2.5</v>
      </c>
      <c r="Y3" s="8">
        <v>15</v>
      </c>
      <c r="Z3" s="8">
        <v>5</v>
      </c>
      <c r="AA3" s="8">
        <v>5</v>
      </c>
      <c r="AB3" s="8">
        <v>5</v>
      </c>
      <c r="AC3" s="8">
        <v>2.5</v>
      </c>
      <c r="AD3" s="8">
        <v>35</v>
      </c>
      <c r="AE3" s="8">
        <v>2.5</v>
      </c>
      <c r="AF3" s="8">
        <v>2.5</v>
      </c>
      <c r="AG3" s="8">
        <v>2.5</v>
      </c>
      <c r="AH3" s="8">
        <v>5</v>
      </c>
      <c r="AI3" s="8">
        <v>2.5</v>
      </c>
      <c r="AJ3" s="8">
        <v>7.5</v>
      </c>
      <c r="AK3" s="14">
        <v>2.5</v>
      </c>
      <c r="AL3">
        <f>AVERAGE(U3:AK3)</f>
        <v>6.7647058823529411</v>
      </c>
      <c r="AM3">
        <f>AK3/2</f>
        <v>1.25</v>
      </c>
    </row>
    <row r="4" spans="1:39" ht="15">
      <c r="A4" s="13">
        <v>2</v>
      </c>
      <c r="B4" s="30">
        <f>getDistance(coord!C2,coord!D2,coord!$C$1,coord!$D$1)*1000</f>
        <v>35.41571747416252</v>
      </c>
      <c r="C4" s="31">
        <f>getDistance(coord!C2,coord!D2,coord!$C$2,coord!$D$2)*1000</f>
        <v>0</v>
      </c>
      <c r="D4" s="30">
        <f>getDistance(coord!$C2,coord!$D2,coord!$C$3,coord!$D$3)*1000</f>
        <v>44.436335182955069</v>
      </c>
      <c r="E4" s="30">
        <f>getDistance(coord!$C2,coord!$D2,coord!$C$4,coord!$D$4)*1000</f>
        <v>273.1282170184997</v>
      </c>
      <c r="F4" s="30">
        <f>getDistance(coord!$C2,coord!$D2,coord!$C$5,coord!$D$5)*1000</f>
        <v>257.94215654492939</v>
      </c>
      <c r="G4" s="30">
        <f>getDistance(coord!$C2,coord!$D2,coord!$C$6,coord!$D$6)*1000</f>
        <v>268.18432904191525</v>
      </c>
      <c r="H4" s="30">
        <f>getDistance(coord!$C2,coord!$D2,coord!$C$7,coord!$D$7)*1000</f>
        <v>398.14575455830294</v>
      </c>
      <c r="I4" s="30">
        <f>getDistance(coord!$C2,coord!$D2,coord!$C$8,coord!$D$8)*1000</f>
        <v>273.11509923526529</v>
      </c>
      <c r="J4" s="30">
        <f>getDistance(coord!$C2,coord!$D2,coord!$C$9,coord!$D$9)*1000</f>
        <v>263.58393767409399</v>
      </c>
      <c r="K4" s="30">
        <f>getDistance(coord!$C2,coord!$D2,coord!$C$10,coord!$D$10)*1000</f>
        <v>219.53121870866028</v>
      </c>
      <c r="L4" s="30">
        <f>getDistance(coord!$C2,coord!$D2,coord!$C$11,coord!$D$11)*1000</f>
        <v>200.11373184634655</v>
      </c>
      <c r="M4" s="30">
        <f>getDistance(coord!$C2,coord!$D2,coord!$C$12,coord!$D$12)*1000</f>
        <v>456.11462948302585</v>
      </c>
      <c r="N4" s="30">
        <f>getDistance(coord!$C2,coord!$D2,coord!$C$13,coord!$D$13)*1000</f>
        <v>199.21786127021554</v>
      </c>
      <c r="O4" s="30">
        <f>getDistance(coord!$C2,coord!$D2,coord!$C$14,coord!$D$14)*1000</f>
        <v>79.03822260954027</v>
      </c>
      <c r="P4" s="30">
        <f>getDistance(coord!$C2,coord!$D2,coord!$C$15,coord!$D$15)*1000</f>
        <v>201.14756751767686</v>
      </c>
      <c r="Q4" s="30">
        <f>getDistance(coord!$C2,coord!$D2,coord!$C$16,coord!$D$16)*1000</f>
        <v>250.88589035856424</v>
      </c>
      <c r="R4" s="32">
        <f>getDistance(coord!$C2,coord!$D2,coord!$C$17,coord!$D$17)*1000</f>
        <v>196.0671434542468</v>
      </c>
      <c r="S4" s="5" t="s">
        <v>15</v>
      </c>
      <c r="T4" s="13">
        <v>9</v>
      </c>
      <c r="U4" s="8">
        <v>12.5</v>
      </c>
      <c r="V4" s="8">
        <v>5</v>
      </c>
      <c r="W4" s="8">
        <v>10</v>
      </c>
      <c r="X4" s="8">
        <v>2.5</v>
      </c>
      <c r="Y4" s="8">
        <v>25</v>
      </c>
      <c r="Z4" s="8">
        <v>5</v>
      </c>
      <c r="AA4" s="8">
        <v>5</v>
      </c>
      <c r="AB4" s="8">
        <v>5</v>
      </c>
      <c r="AC4" s="8">
        <v>5</v>
      </c>
      <c r="AD4" s="8">
        <v>40</v>
      </c>
      <c r="AE4" s="8">
        <v>5</v>
      </c>
      <c r="AF4" s="8">
        <v>5</v>
      </c>
      <c r="AG4" s="8">
        <v>5</v>
      </c>
      <c r="AH4" s="8">
        <v>15</v>
      </c>
      <c r="AI4" s="8">
        <v>7.5</v>
      </c>
      <c r="AJ4" s="8">
        <v>10</v>
      </c>
      <c r="AK4" s="14">
        <v>10</v>
      </c>
      <c r="AL4">
        <f t="shared" ref="AL4:AL19" si="0">AVERAGE(U4:AK4)</f>
        <v>10.147058823529411</v>
      </c>
      <c r="AM4">
        <f t="shared" ref="AM4:AM19" si="1">AK4/2</f>
        <v>5</v>
      </c>
    </row>
    <row r="5" spans="1:39" ht="15">
      <c r="A5" s="13">
        <v>3</v>
      </c>
      <c r="B5" s="30">
        <f>getDistance(coord!C3,coord!D3,coord!$C$1,coord!$D$1)*1000</f>
        <v>75.235308449802986</v>
      </c>
      <c r="C5" s="30">
        <f>getDistance(coord!C3,coord!D3,coord!$C$2,coord!$D$2)*1000</f>
        <v>44.436335182955069</v>
      </c>
      <c r="D5" s="31">
        <f>getDistance(coord!$C3,coord!$D3,coord!$C$3,coord!$D$3)*1000</f>
        <v>0</v>
      </c>
      <c r="E5" s="30">
        <f>getDistance(coord!$C3,coord!$D3,coord!$C$4,coord!$D$4)*1000</f>
        <v>291.68873208474383</v>
      </c>
      <c r="F5" s="30">
        <f>getDistance(coord!$C3,coord!$D3,coord!$C$5,coord!$D$5)*1000</f>
        <v>213.54567105456346</v>
      </c>
      <c r="G5" s="30">
        <f>getDistance(coord!$C3,coord!$D3,coord!$C$6,coord!$D$6)*1000</f>
        <v>226.12164826396042</v>
      </c>
      <c r="H5" s="30">
        <f>getDistance(coord!$C3,coord!$D3,coord!$C$7,coord!$D$7)*1000</f>
        <v>354.40223799523591</v>
      </c>
      <c r="I5" s="30">
        <f>getDistance(coord!$C3,coord!$D3,coord!$C$8,coord!$D$8)*1000</f>
        <v>228.93534948956807</v>
      </c>
      <c r="J5" s="30">
        <f>getDistance(coord!$C3,coord!$D3,coord!$C$9,coord!$D$9)*1000</f>
        <v>219.64957303895184</v>
      </c>
      <c r="K5" s="30">
        <f>getDistance(coord!$C3,coord!$D3,coord!$C$10,coord!$D$10)*1000</f>
        <v>176.13361760590169</v>
      </c>
      <c r="L5" s="30">
        <f>getDistance(coord!$C3,coord!$D3,coord!$C$11,coord!$D$11)*1000</f>
        <v>175.53810902631469</v>
      </c>
      <c r="M5" s="30">
        <f>getDistance(coord!$C3,coord!$D3,coord!$C$12,coord!$D$12)*1000</f>
        <v>413.86441663557724</v>
      </c>
      <c r="N5" s="30">
        <f>getDistance(coord!$C3,coord!$D3,coord!$C$13,coord!$D$13)*1000</f>
        <v>225.4098968763337</v>
      </c>
      <c r="O5" s="30">
        <f>getDistance(coord!$C3,coord!$D3,coord!$C$14,coord!$D$14)*1000</f>
        <v>117.05948454950837</v>
      </c>
      <c r="P5" s="30">
        <f>getDistance(coord!$C3,coord!$D3,coord!$C$15,coord!$D$15)*1000</f>
        <v>163.05880626550467</v>
      </c>
      <c r="Q5" s="30">
        <f>getDistance(coord!$C3,coord!$D3,coord!$C$16,coord!$D$16)*1000</f>
        <v>226.64433982944462</v>
      </c>
      <c r="R5" s="32">
        <f>getDistance(coord!$C3,coord!$D3,coord!$C$17,coord!$D$17)*1000</f>
        <v>162.77018054803818</v>
      </c>
      <c r="S5" s="5" t="s">
        <v>16</v>
      </c>
      <c r="T5" s="13">
        <v>10</v>
      </c>
      <c r="U5" s="8">
        <v>17.5</v>
      </c>
      <c r="V5" s="8">
        <v>10</v>
      </c>
      <c r="W5" s="8">
        <v>10</v>
      </c>
      <c r="X5" s="8">
        <v>5</v>
      </c>
      <c r="Y5" s="8">
        <v>35</v>
      </c>
      <c r="Z5" s="8">
        <v>10</v>
      </c>
      <c r="AA5" s="8">
        <v>10</v>
      </c>
      <c r="AB5" s="8">
        <v>10</v>
      </c>
      <c r="AC5" s="8">
        <v>7.5</v>
      </c>
      <c r="AD5" s="8">
        <v>45</v>
      </c>
      <c r="AE5" s="8">
        <v>7.5</v>
      </c>
      <c r="AF5" s="8">
        <v>7.5</v>
      </c>
      <c r="AG5" s="8">
        <v>7.5</v>
      </c>
      <c r="AH5" s="8">
        <v>25</v>
      </c>
      <c r="AI5" s="8">
        <v>12.5</v>
      </c>
      <c r="AJ5" s="8">
        <v>12.5</v>
      </c>
      <c r="AK5" s="14">
        <v>17.5</v>
      </c>
      <c r="AL5">
        <f t="shared" si="0"/>
        <v>14.705882352941176</v>
      </c>
      <c r="AM5">
        <f t="shared" si="1"/>
        <v>8.75</v>
      </c>
    </row>
    <row r="6" spans="1:39" ht="15">
      <c r="A6" s="13">
        <v>4</v>
      </c>
      <c r="B6" s="30">
        <f>getDistance(coord!C4,coord!D4,coord!$C$1,coord!$D$1)*1000</f>
        <v>243.12415046854719</v>
      </c>
      <c r="C6" s="30">
        <f>getDistance(coord!C4,coord!D4,coord!$C$2,coord!$D$2)*1000</f>
        <v>273.1282170184997</v>
      </c>
      <c r="D6" s="30">
        <f>getDistance(coord!$C4,coord!$D4,coord!$C$3,coord!$D$3)*1000</f>
        <v>291.68873208474383</v>
      </c>
      <c r="E6" s="31">
        <f>getDistance(coord!$C4,coord!$D4,coord!$C$4,coord!$D$4)*1000</f>
        <v>0</v>
      </c>
      <c r="F6" s="30">
        <f>getDistance(coord!$C4,coord!$D4,coord!$C$5,coord!$D$5)*1000</f>
        <v>430.58523917795367</v>
      </c>
      <c r="G6" s="30">
        <f>getDistance(coord!$C4,coord!$D4,coord!$C$6,coord!$D$6)*1000</f>
        <v>393.65678799828754</v>
      </c>
      <c r="H6" s="30">
        <f>getDistance(coord!$C4,coord!$D4,coord!$C$7,coord!$D$7)*1000</f>
        <v>523.92586826058493</v>
      </c>
      <c r="I6" s="30">
        <f>getDistance(coord!$C4,coord!$D4,coord!$C$8,coord!$D$8)*1000</f>
        <v>433.02117322658592</v>
      </c>
      <c r="J6" s="30">
        <f>getDistance(coord!$C4,coord!$D4,coord!$C$9,coord!$D$9)*1000</f>
        <v>460.99990848306379</v>
      </c>
      <c r="K6" s="30">
        <f>getDistance(coord!$C4,coord!$D4,coord!$C$10,coord!$D$10)*1000</f>
        <v>377.39239285121084</v>
      </c>
      <c r="L6" s="30">
        <f>getDistance(coord!$C4,coord!$D4,coord!$C$11,coord!$D$11)*1000</f>
        <v>243.50268764516565</v>
      </c>
      <c r="M6" s="30">
        <f>getDistance(coord!$C4,coord!$D4,coord!$C$12,coord!$D$12)*1000</f>
        <v>545.19424297983869</v>
      </c>
      <c r="N6" s="30">
        <f>getDistance(coord!$C4,coord!$D4,coord!$C$13,coord!$D$13)*1000</f>
        <v>85.530866119049492</v>
      </c>
      <c r="O6" s="30">
        <f>getDistance(coord!$C4,coord!$D4,coord!$C$14,coord!$D$14)*1000</f>
        <v>209.16282830150311</v>
      </c>
      <c r="P6" s="30">
        <f>getDistance(coord!$C4,coord!$D4,coord!$C$15,coord!$D$15)*1000</f>
        <v>443.65343531531397</v>
      </c>
      <c r="Q6" s="30">
        <f>getDistance(coord!$C4,coord!$D4,coord!$C$16,coord!$D$16)*1000</f>
        <v>518.33181927135797</v>
      </c>
      <c r="R6" s="32">
        <f>getDistance(coord!$C4,coord!$D4,coord!$C$17,coord!$D$17)*1000</f>
        <v>450.94909994727891</v>
      </c>
      <c r="S6" s="5" t="s">
        <v>17</v>
      </c>
      <c r="T6" s="13">
        <v>11</v>
      </c>
      <c r="U6" s="8">
        <v>20</v>
      </c>
      <c r="V6" s="8">
        <v>15</v>
      </c>
      <c r="W6" s="8">
        <v>10</v>
      </c>
      <c r="X6" s="8">
        <v>7.5</v>
      </c>
      <c r="Y6" s="8">
        <v>40</v>
      </c>
      <c r="Z6" s="8">
        <v>15</v>
      </c>
      <c r="AA6" s="8">
        <v>15</v>
      </c>
      <c r="AB6" s="8">
        <v>10</v>
      </c>
      <c r="AC6" s="8">
        <v>10</v>
      </c>
      <c r="AD6" s="8">
        <v>45</v>
      </c>
      <c r="AE6" s="8">
        <v>10</v>
      </c>
      <c r="AF6" s="8">
        <v>10</v>
      </c>
      <c r="AG6" s="8">
        <v>12.5</v>
      </c>
      <c r="AH6" s="8">
        <v>30</v>
      </c>
      <c r="AI6" s="8">
        <v>15</v>
      </c>
      <c r="AJ6" s="8">
        <v>15</v>
      </c>
      <c r="AK6" s="14">
        <v>25</v>
      </c>
      <c r="AL6">
        <f t="shared" si="0"/>
        <v>17.941176470588236</v>
      </c>
      <c r="AM6">
        <f t="shared" si="1"/>
        <v>12.5</v>
      </c>
    </row>
    <row r="7" spans="1:39" ht="15">
      <c r="A7" s="13">
        <v>5</v>
      </c>
      <c r="B7" s="30">
        <f>getDistance(coord!C5,coord!D5,coord!$C$1,coord!$D$1)*1000</f>
        <v>285.38608101250298</v>
      </c>
      <c r="C7" s="30">
        <f>getDistance(coord!C5,coord!D5,coord!$C$2,coord!$D$2)*1000</f>
        <v>257.94215654492939</v>
      </c>
      <c r="D7" s="30">
        <f>getDistance(coord!$C5,coord!$D5,coord!$C$3,coord!$D$3)*1000</f>
        <v>213.54567105456346</v>
      </c>
      <c r="E7" s="30">
        <f>getDistance(coord!$C5,coord!$D5,coord!$C$4,coord!$D$4)*1000</f>
        <v>430.58523917795367</v>
      </c>
      <c r="F7" s="31">
        <f>getDistance(coord!$C5,coord!$D5,coord!$C$5,coord!$D$5)*1000</f>
        <v>0</v>
      </c>
      <c r="G7" s="30">
        <f>getDistance(coord!$C5,coord!$D5,coord!$C$6,coord!$D$6)*1000</f>
        <v>69.455125502039664</v>
      </c>
      <c r="H7" s="30">
        <f>getDistance(coord!$C5,coord!$D5,coord!$C$7,coord!$D$7)*1000</f>
        <v>146.08932876096961</v>
      </c>
      <c r="I7" s="30">
        <f>getDistance(coord!$C5,coord!$D5,coord!$C$8,coord!$D$8)*1000</f>
        <v>21.968778976333269</v>
      </c>
      <c r="J7" s="30">
        <f>getDistance(coord!$C5,coord!$D5,coord!$C$9,coord!$D$9)*1000</f>
        <v>46.120406617537434</v>
      </c>
      <c r="K7" s="30">
        <f>getDistance(coord!$C5,coord!$D5,coord!$C$10,coord!$D$10)*1000</f>
        <v>53.252802281154523</v>
      </c>
      <c r="L7" s="30">
        <f>getDistance(coord!$C5,coord!$D5,coord!$C$11,coord!$D$11)*1000</f>
        <v>196.18586926043142</v>
      </c>
      <c r="M7" s="30">
        <f>getDistance(coord!$C5,coord!$D5,coord!$C$12,coord!$D$12)*1000</f>
        <v>217.34893875517614</v>
      </c>
      <c r="N7" s="30">
        <f>getDistance(coord!$C5,coord!$D5,coord!$C$13,coord!$D$13)*1000</f>
        <v>394.82939421009377</v>
      </c>
      <c r="O7" s="30">
        <f>getDistance(coord!$C5,coord!$D5,coord!$C$14,coord!$D$14)*1000</f>
        <v>321.85836784012554</v>
      </c>
      <c r="P7" s="30">
        <f>getDistance(coord!$C5,coord!$D5,coord!$C$15,coord!$D$15)*1000</f>
        <v>130.10141514607648</v>
      </c>
      <c r="Q7" s="30">
        <f>getDistance(coord!$C5,coord!$D5,coord!$C$16,coord!$D$16)*1000</f>
        <v>234.17453202587953</v>
      </c>
      <c r="R7" s="32">
        <f>getDistance(coord!$C5,coord!$D5,coord!$C$17,coord!$D$17)*1000</f>
        <v>162.97627457082967</v>
      </c>
      <c r="S7" s="5" t="s">
        <v>18</v>
      </c>
      <c r="T7" s="13">
        <v>12</v>
      </c>
      <c r="U7" s="8">
        <v>22.5</v>
      </c>
      <c r="V7" s="8">
        <v>15</v>
      </c>
      <c r="W7" s="8">
        <v>10</v>
      </c>
      <c r="X7" s="8">
        <v>12.5</v>
      </c>
      <c r="Y7" s="8">
        <v>40</v>
      </c>
      <c r="Z7" s="8">
        <v>24</v>
      </c>
      <c r="AA7" s="8">
        <v>15</v>
      </c>
      <c r="AB7" s="8">
        <v>15</v>
      </c>
      <c r="AC7" s="8">
        <v>12.5</v>
      </c>
      <c r="AD7" s="8">
        <v>45</v>
      </c>
      <c r="AE7" s="8">
        <v>12.5</v>
      </c>
      <c r="AF7" s="8">
        <v>12.5</v>
      </c>
      <c r="AG7" s="8">
        <v>17.5</v>
      </c>
      <c r="AH7" s="8">
        <v>35</v>
      </c>
      <c r="AI7" s="8">
        <v>15</v>
      </c>
      <c r="AJ7" s="8">
        <v>17.5</v>
      </c>
      <c r="AK7" s="14">
        <v>25</v>
      </c>
      <c r="AL7">
        <f t="shared" si="0"/>
        <v>20.382352941176471</v>
      </c>
      <c r="AM7">
        <f t="shared" si="1"/>
        <v>12.5</v>
      </c>
    </row>
    <row r="8" spans="1:39" ht="15">
      <c r="A8" s="13">
        <v>6</v>
      </c>
      <c r="B8" s="30">
        <f>getDistance(coord!C6,coord!D6,coord!$C$1,coord!$D$1)*1000</f>
        <v>289.17855867575389</v>
      </c>
      <c r="C8" s="30">
        <f>getDistance(coord!C6,coord!D6,coord!$C$2,coord!$D$2)*1000</f>
        <v>268.18432904191525</v>
      </c>
      <c r="D8" s="30">
        <f>getDistance(coord!$C6,coord!$D6,coord!$C$3,coord!$D$3)*1000</f>
        <v>226.12164826396042</v>
      </c>
      <c r="E8" s="30">
        <f>getDistance(coord!$C6,coord!$D6,coord!$C$4,coord!$D$4)*1000</f>
        <v>393.65678799828754</v>
      </c>
      <c r="F8" s="30">
        <f>getDistance(coord!$C6,coord!$D6,coord!$C$5,coord!$D$5)*1000</f>
        <v>69.455125502039664</v>
      </c>
      <c r="G8" s="31">
        <f>getDistance(coord!$C6,coord!$D6,coord!$C$6,coord!$D$6)*1000</f>
        <v>0</v>
      </c>
      <c r="H8" s="30">
        <f>getDistance(coord!$C6,coord!$D6,coord!$C$7,coord!$D$7)*1000</f>
        <v>137.10365996034804</v>
      </c>
      <c r="I8" s="30">
        <f>getDistance(coord!$C6,coord!$D6,coord!$C$8,coord!$D$8)*1000</f>
        <v>54.816916820998742</v>
      </c>
      <c r="J8" s="30">
        <f>getDistance(coord!$C6,coord!$D6,coord!$C$9,coord!$D$9)*1000</f>
        <v>115.54084629340073</v>
      </c>
      <c r="K8" s="30">
        <f>getDistance(coord!$C6,coord!$D6,coord!$C$10,coord!$D$10)*1000</f>
        <v>55.11594960765737</v>
      </c>
      <c r="L8" s="30">
        <f>getDistance(coord!$C6,coord!$D6,coord!$C$11,coord!$D$11)*1000</f>
        <v>150.6555634966613</v>
      </c>
      <c r="M8" s="30">
        <f>getDistance(coord!$C6,coord!$D6,coord!$C$12,coord!$D$12)*1000</f>
        <v>187.93059434003794</v>
      </c>
      <c r="N8" s="30">
        <f>getDistance(coord!$C6,coord!$D6,coord!$C$13,coord!$D$13)*1000</f>
        <v>370.49370442246158</v>
      </c>
      <c r="O8" s="30">
        <f>getDistance(coord!$C6,coord!$D6,coord!$C$14,coord!$D$14)*1000</f>
        <v>319.2524065418915</v>
      </c>
      <c r="P8" s="30">
        <f>getDistance(coord!$C6,coord!$D6,coord!$C$15,coord!$D$15)*1000</f>
        <v>189.22843379725697</v>
      </c>
      <c r="Q8" s="30">
        <f>getDistance(coord!$C6,coord!$D6,coord!$C$16,coord!$D$16)*1000</f>
        <v>297.2839405593038</v>
      </c>
      <c r="R8" s="32">
        <f>getDistance(coord!$C6,coord!$D6,coord!$C$17,coord!$D$17)*1000</f>
        <v>220.94920483065883</v>
      </c>
      <c r="S8" s="5" t="s">
        <v>19</v>
      </c>
      <c r="T8" s="13">
        <v>13</v>
      </c>
      <c r="U8" s="7">
        <v>27.5</v>
      </c>
      <c r="V8" s="7">
        <v>20</v>
      </c>
      <c r="W8" s="8">
        <v>10</v>
      </c>
      <c r="X8" s="8">
        <v>17.5</v>
      </c>
      <c r="Y8" s="8">
        <v>40</v>
      </c>
      <c r="Z8" s="8">
        <v>30</v>
      </c>
      <c r="AA8" s="8">
        <v>20</v>
      </c>
      <c r="AB8" s="8">
        <v>15</v>
      </c>
      <c r="AC8" s="8">
        <v>17.5</v>
      </c>
      <c r="AD8" s="8">
        <v>45</v>
      </c>
      <c r="AE8" s="8">
        <v>15</v>
      </c>
      <c r="AF8" s="8">
        <v>15</v>
      </c>
      <c r="AG8" s="8">
        <v>20</v>
      </c>
      <c r="AH8" s="8">
        <v>35</v>
      </c>
      <c r="AI8" s="8">
        <v>15</v>
      </c>
      <c r="AJ8" s="8">
        <v>22.5</v>
      </c>
      <c r="AK8" s="14">
        <v>25</v>
      </c>
      <c r="AL8">
        <f t="shared" si="0"/>
        <v>22.941176470588236</v>
      </c>
      <c r="AM8">
        <f t="shared" si="1"/>
        <v>12.5</v>
      </c>
    </row>
    <row r="9" spans="1:39" ht="15">
      <c r="A9" s="13">
        <v>7</v>
      </c>
      <c r="B9" s="30">
        <f>getDistance(coord!C7,coord!D7,coord!$C$1,coord!$D$1)*1000</f>
        <v>422.239931684601</v>
      </c>
      <c r="C9" s="30">
        <f>getDistance(coord!C7,coord!D7,coord!$C$2,coord!$D$2)*1000</f>
        <v>398.14575455830294</v>
      </c>
      <c r="D9" s="30">
        <f>getDistance(coord!$C7,coord!$D7,coord!$C$3,coord!$D$3)*1000</f>
        <v>354.40223799523591</v>
      </c>
      <c r="E9" s="30">
        <f>getDistance(coord!$C7,coord!$D7,coord!$C$4,coord!$D$4)*1000</f>
        <v>523.92586826058493</v>
      </c>
      <c r="F9" s="30">
        <f>getDistance(coord!$C7,coord!$D7,coord!$C$5,coord!$D$5)*1000</f>
        <v>146.08932876096961</v>
      </c>
      <c r="G9" s="30">
        <f>getDistance(coord!$C7,coord!$D7,coord!$C$6,coord!$D$6)*1000</f>
        <v>137.10365996034804</v>
      </c>
      <c r="H9" s="31">
        <f>getDistance(coord!$C7,coord!$D7,coord!$C$7,coord!$D$7)*1000</f>
        <v>0</v>
      </c>
      <c r="I9" s="30">
        <f>getDistance(coord!$C7,coord!$D7,coord!$C$8,coord!$D$8)*1000</f>
        <v>127.04302098859857</v>
      </c>
      <c r="J9" s="30">
        <f>getDistance(coord!$C7,coord!$D7,coord!$C$9,coord!$D$9)*1000</f>
        <v>166.51786372548233</v>
      </c>
      <c r="K9" s="30">
        <f>getDistance(coord!$C7,coord!$D7,coord!$C$10,coord!$D$10)*1000</f>
        <v>178.79249083232051</v>
      </c>
      <c r="L9" s="30">
        <f>getDistance(coord!$C7,coord!$D7,coord!$C$11,coord!$D$11)*1000</f>
        <v>281.09763747137629</v>
      </c>
      <c r="M9" s="30">
        <f>getDistance(coord!$C7,coord!$D7,coord!$C$12,coord!$D$12)*1000</f>
        <v>80.985227741250185</v>
      </c>
      <c r="N9" s="30">
        <f>getDistance(coord!$C7,coord!$D7,coord!$C$13,coord!$D$13)*1000</f>
        <v>506.44970871063845</v>
      </c>
      <c r="O9" s="30">
        <f>getDistance(coord!$C7,coord!$D7,coord!$C$14,coord!$D$14)*1000</f>
        <v>454.60608976349624</v>
      </c>
      <c r="P9" s="30">
        <f>getDistance(coord!$C7,coord!$D7,coord!$C$15,coord!$D$15)*1000</f>
        <v>266.95448741353545</v>
      </c>
      <c r="Q9" s="30">
        <f>getDistance(coord!$C7,coord!$D7,coord!$C$16,coord!$D$16)*1000</f>
        <v>357.85686355779404</v>
      </c>
      <c r="R9" s="32">
        <f>getDistance(coord!$C7,coord!$D7,coord!$C$17,coord!$D$17)*1000</f>
        <v>299.2056517337632</v>
      </c>
      <c r="S9" s="5" t="s">
        <v>20</v>
      </c>
      <c r="T9" s="13">
        <v>14</v>
      </c>
      <c r="U9" s="7">
        <v>27.5</v>
      </c>
      <c r="V9" s="7">
        <v>20</v>
      </c>
      <c r="W9" s="8">
        <v>10</v>
      </c>
      <c r="X9" s="8">
        <v>22.5</v>
      </c>
      <c r="Y9" s="8">
        <v>40</v>
      </c>
      <c r="Z9" s="8">
        <v>30</v>
      </c>
      <c r="AA9" s="8">
        <v>20</v>
      </c>
      <c r="AB9" s="8">
        <v>20</v>
      </c>
      <c r="AC9" s="8">
        <v>22.5</v>
      </c>
      <c r="AD9" s="8">
        <v>45</v>
      </c>
      <c r="AE9" s="8">
        <v>17.5</v>
      </c>
      <c r="AF9" s="8">
        <v>17.5</v>
      </c>
      <c r="AG9" s="8">
        <v>20</v>
      </c>
      <c r="AH9" s="8">
        <v>35</v>
      </c>
      <c r="AI9" s="8">
        <v>15</v>
      </c>
      <c r="AJ9" s="8">
        <v>27.5</v>
      </c>
      <c r="AK9" s="14">
        <v>22.5</v>
      </c>
      <c r="AL9">
        <f t="shared" si="0"/>
        <v>24.264705882352942</v>
      </c>
      <c r="AM9">
        <f t="shared" si="1"/>
        <v>11.25</v>
      </c>
    </row>
    <row r="10" spans="1:39" ht="15">
      <c r="A10" s="13">
        <v>8</v>
      </c>
      <c r="B10" s="30">
        <f>getDistance(coord!C8,coord!D8,coord!$C$1,coord!$D$1)*1000</f>
        <v>299.18469658294089</v>
      </c>
      <c r="C10" s="30">
        <f>getDistance(coord!C8,coord!D8,coord!$C$2,coord!$D$2)*1000</f>
        <v>273.11509923526529</v>
      </c>
      <c r="D10" s="30">
        <f>getDistance(coord!$C8,coord!$D8,coord!$C$3,coord!$D$3)*1000</f>
        <v>228.93534948956807</v>
      </c>
      <c r="E10" s="30">
        <f>getDistance(coord!$C8,coord!$D8,coord!$C$4,coord!$D$4)*1000</f>
        <v>433.02117322658592</v>
      </c>
      <c r="F10" s="30">
        <f>getDistance(coord!$C8,coord!$D8,coord!$C$5,coord!$D$5)*1000</f>
        <v>21.968778976333269</v>
      </c>
      <c r="G10" s="30">
        <f>getDistance(coord!$C8,coord!$D8,coord!$C$6,coord!$D$6)*1000</f>
        <v>54.816916820998742</v>
      </c>
      <c r="H10" s="30">
        <f>getDistance(coord!$C8,coord!$D8,coord!$C$7,coord!$D$7)*1000</f>
        <v>127.04302098859857</v>
      </c>
      <c r="I10" s="31">
        <f>getDistance(coord!$C8,coord!$D8,coord!$C$8,coord!$D$8)*1000</f>
        <v>0</v>
      </c>
      <c r="J10" s="30">
        <f>getDistance(coord!$C8,coord!$D8,coord!$C$9,coord!$D$9)*1000</f>
        <v>63.794208341811625</v>
      </c>
      <c r="K10" s="30">
        <f>getDistance(coord!$C8,coord!$D8,coord!$C$10,coord!$D$10)*1000</f>
        <v>58.440074323805938</v>
      </c>
      <c r="L10" s="30">
        <f>getDistance(coord!$C8,coord!$D8,coord!$C$11,coord!$D$11)*1000</f>
        <v>194.30568622833704</v>
      </c>
      <c r="M10" s="30">
        <f>getDistance(coord!$C8,coord!$D8,coord!$C$12,coord!$D$12)*1000</f>
        <v>196.24129880676139</v>
      </c>
      <c r="N10" s="30">
        <f>getDistance(coord!$C8,coord!$D8,coord!$C$13,coord!$D$13)*1000</f>
        <v>401.34210495569926</v>
      </c>
      <c r="O10" s="30">
        <f>getDistance(coord!$C8,coord!$D8,coord!$C$14,coord!$D$14)*1000</f>
        <v>334.23445421028055</v>
      </c>
      <c r="P10" s="30">
        <f>getDistance(coord!$C8,coord!$D8,coord!$C$15,coord!$D$15)*1000</f>
        <v>152.05756119461753</v>
      </c>
      <c r="Q10" s="30">
        <f>getDistance(coord!$C8,coord!$D8,coord!$C$16,coord!$D$16)*1000</f>
        <v>255.62654057901639</v>
      </c>
      <c r="R10" s="32">
        <f>getDistance(coord!$C8,coord!$D8,coord!$C$17,coord!$D$17)*1000</f>
        <v>184.93928790034644</v>
      </c>
      <c r="S10" s="5" t="s">
        <v>21</v>
      </c>
      <c r="T10" s="13">
        <v>15</v>
      </c>
      <c r="U10" s="7">
        <v>30</v>
      </c>
      <c r="V10" s="7">
        <v>25</v>
      </c>
      <c r="W10" s="8">
        <v>10</v>
      </c>
      <c r="X10" s="8">
        <v>30</v>
      </c>
      <c r="Y10" s="8">
        <v>40</v>
      </c>
      <c r="Z10" s="8">
        <v>30</v>
      </c>
      <c r="AA10" s="8">
        <v>20</v>
      </c>
      <c r="AB10" s="8">
        <v>20</v>
      </c>
      <c r="AC10" s="8">
        <v>30</v>
      </c>
      <c r="AD10" s="8">
        <v>45</v>
      </c>
      <c r="AE10" s="8">
        <v>20</v>
      </c>
      <c r="AF10" s="8">
        <v>20</v>
      </c>
      <c r="AG10" s="8">
        <v>20</v>
      </c>
      <c r="AH10" s="8">
        <v>35</v>
      </c>
      <c r="AI10" s="8">
        <v>15</v>
      </c>
      <c r="AJ10" s="8">
        <v>32.5</v>
      </c>
      <c r="AK10" s="14">
        <v>22.5</v>
      </c>
      <c r="AL10">
        <f t="shared" si="0"/>
        <v>26.176470588235293</v>
      </c>
      <c r="AM10">
        <f t="shared" si="1"/>
        <v>11.25</v>
      </c>
    </row>
    <row r="11" spans="1:39" ht="15">
      <c r="A11" s="13">
        <v>9</v>
      </c>
      <c r="B11" s="30">
        <f>getDistance(coord!C9,coord!D9,coord!$C$1,coord!$D$1)*1000</f>
        <v>294.34674965435448</v>
      </c>
      <c r="C11" s="30">
        <f>getDistance(coord!C9,coord!D9,coord!$C$2,coord!$D$2)*1000</f>
        <v>263.58393767409399</v>
      </c>
      <c r="D11" s="30">
        <f>getDistance(coord!$C9,coord!$D9,coord!$C$3,coord!$D$3)*1000</f>
        <v>219.64957303895184</v>
      </c>
      <c r="E11" s="30">
        <f>getDistance(coord!$C9,coord!$D9,coord!$C$4,coord!$D$4)*1000</f>
        <v>460.99990848306379</v>
      </c>
      <c r="F11" s="30">
        <f>getDistance(coord!$C9,coord!$D9,coord!$C$5,coord!$D$5)*1000</f>
        <v>46.120406617537434</v>
      </c>
      <c r="G11" s="30">
        <f>getDistance(coord!$C9,coord!$D9,coord!$C$6,coord!$D$6)*1000</f>
        <v>115.54084629340073</v>
      </c>
      <c r="H11" s="30">
        <f>getDistance(coord!$C9,coord!$D9,coord!$C$7,coord!$D$7)*1000</f>
        <v>166.51786372548233</v>
      </c>
      <c r="I11" s="30">
        <f>getDistance(coord!$C9,coord!$D9,coord!$C$8,coord!$D$8)*1000</f>
        <v>63.794208341811625</v>
      </c>
      <c r="J11" s="31">
        <f>getDistance(coord!$C9,coord!$D9,coord!$C$9,coord!$D$9)*1000</f>
        <v>0</v>
      </c>
      <c r="K11" s="30">
        <f>getDistance(coord!$C9,coord!$D9,coord!$C$10,coord!$D$10)*1000</f>
        <v>90.664956666995778</v>
      </c>
      <c r="L11" s="30">
        <f>getDistance(coord!$C9,coord!$D9,coord!$C$11,coord!$D$11)*1000</f>
        <v>234.26543137137054</v>
      </c>
      <c r="M11" s="30">
        <f>getDistance(coord!$C9,coord!$D9,coord!$C$12,coord!$D$12)*1000</f>
        <v>244.21262443256944</v>
      </c>
      <c r="N11" s="30">
        <f>getDistance(coord!$C9,coord!$D9,coord!$C$13,coord!$D$13)*1000</f>
        <v>418.58691675179392</v>
      </c>
      <c r="O11" s="30">
        <f>getDistance(coord!$C9,coord!$D9,coord!$C$14,coord!$D$14)*1000</f>
        <v>333.91043574757589</v>
      </c>
      <c r="P11" s="30">
        <f>getDistance(coord!$C9,coord!$D9,coord!$C$15,coord!$D$15)*1000</f>
        <v>100.53876287995733</v>
      </c>
      <c r="Q11" s="30">
        <f>getDistance(coord!$C9,coord!$D9,coord!$C$16,coord!$D$16)*1000</f>
        <v>196.03012242617947</v>
      </c>
      <c r="R11" s="32">
        <f>getDistance(coord!$C9,coord!$D9,coord!$C$17,coord!$D$17)*1000</f>
        <v>132.68848704068344</v>
      </c>
      <c r="S11" s="5" t="s">
        <v>22</v>
      </c>
      <c r="T11" s="13">
        <v>16</v>
      </c>
      <c r="U11" s="7">
        <v>30</v>
      </c>
      <c r="V11" s="7">
        <v>25</v>
      </c>
      <c r="W11" s="8">
        <v>10</v>
      </c>
      <c r="X11" s="8">
        <v>30</v>
      </c>
      <c r="Y11" s="8">
        <v>40</v>
      </c>
      <c r="Z11" s="8">
        <v>30</v>
      </c>
      <c r="AA11" s="8">
        <v>20</v>
      </c>
      <c r="AB11" s="8">
        <v>20</v>
      </c>
      <c r="AC11" s="8">
        <v>30</v>
      </c>
      <c r="AD11" s="8">
        <v>45</v>
      </c>
      <c r="AE11" s="8">
        <v>20</v>
      </c>
      <c r="AF11" s="8">
        <v>20</v>
      </c>
      <c r="AG11" s="8">
        <v>20</v>
      </c>
      <c r="AH11" s="8">
        <v>35</v>
      </c>
      <c r="AI11" s="8">
        <v>15</v>
      </c>
      <c r="AJ11" s="8">
        <v>37.5</v>
      </c>
      <c r="AK11" s="14">
        <v>20</v>
      </c>
      <c r="AL11">
        <f t="shared" si="0"/>
        <v>26.323529411764707</v>
      </c>
      <c r="AM11">
        <f t="shared" si="1"/>
        <v>10</v>
      </c>
    </row>
    <row r="12" spans="1:39" ht="15">
      <c r="A12" s="13">
        <v>10</v>
      </c>
      <c r="B12" s="30">
        <f>getDistance(coord!C10,coord!D10,coord!$C$1,coord!$D$1)*1000</f>
        <v>243.58872607986009</v>
      </c>
      <c r="C12" s="30">
        <f>getDistance(coord!C10,coord!D10,coord!$C$2,coord!$D$2)*1000</f>
        <v>219.53121870866028</v>
      </c>
      <c r="D12" s="30">
        <f>getDistance(coord!$C10,coord!$D10,coord!$C$3,coord!$D$3)*1000</f>
        <v>176.13361760590169</v>
      </c>
      <c r="E12" s="30">
        <f>getDistance(coord!$C10,coord!$D10,coord!$C$4,coord!$D$4)*1000</f>
        <v>377.39239285121084</v>
      </c>
      <c r="F12" s="30">
        <f>getDistance(coord!$C10,coord!$D10,coord!$C$5,coord!$D$5)*1000</f>
        <v>53.252802281154523</v>
      </c>
      <c r="G12" s="30">
        <f>getDistance(coord!$C10,coord!$D10,coord!$C$6,coord!$D$6)*1000</f>
        <v>55.11594960765737</v>
      </c>
      <c r="H12" s="30">
        <f>getDistance(coord!$C10,coord!$D10,coord!$C$7,coord!$D$7)*1000</f>
        <v>178.79249083232051</v>
      </c>
      <c r="I12" s="30">
        <f>getDistance(coord!$C10,coord!$D10,coord!$C$8,coord!$D$8)*1000</f>
        <v>58.440074323805938</v>
      </c>
      <c r="J12" s="30">
        <f>getDistance(coord!$C10,coord!$D10,coord!$C$9,coord!$D$9)*1000</f>
        <v>90.664956666995778</v>
      </c>
      <c r="K12" s="31">
        <f>getDistance(coord!$C10,coord!$D10,coord!$C$10,coord!$D$10)*1000</f>
        <v>0</v>
      </c>
      <c r="L12" s="30">
        <f>getDistance(coord!$C10,coord!$D10,coord!$C$11,coord!$D$11)*1000</f>
        <v>144.14840241197871</v>
      </c>
      <c r="M12" s="30">
        <f>getDistance(coord!$C10,coord!$D10,coord!$C$12,coord!$D$12)*1000</f>
        <v>238.93956076898075</v>
      </c>
      <c r="N12" s="30">
        <f>getDistance(coord!$C10,coord!$D10,coord!$C$13,coord!$D$13)*1000</f>
        <v>343.23800472175242</v>
      </c>
      <c r="O12" s="30">
        <f>getDistance(coord!$C10,coord!$D10,coord!$C$14,coord!$D$14)*1000</f>
        <v>277.19471876766289</v>
      </c>
      <c r="P12" s="30">
        <f>getDistance(coord!$C10,coord!$D10,coord!$C$15,coord!$D$15)*1000</f>
        <v>140.34652822183338</v>
      </c>
      <c r="Q12" s="30">
        <f>getDistance(coord!$C10,coord!$D10,coord!$C$16,coord!$D$16)*1000</f>
        <v>249.56439084237218</v>
      </c>
      <c r="R12" s="32">
        <f>getDistance(coord!$C10,coord!$D10,coord!$C$17,coord!$D$17)*1000</f>
        <v>170.59544177993732</v>
      </c>
      <c r="S12" s="5" t="s">
        <v>23</v>
      </c>
      <c r="T12" s="13">
        <v>17</v>
      </c>
      <c r="U12" s="7">
        <v>30</v>
      </c>
      <c r="V12" s="7">
        <v>25</v>
      </c>
      <c r="W12" s="8">
        <v>10</v>
      </c>
      <c r="X12" s="8">
        <v>30</v>
      </c>
      <c r="Y12" s="8">
        <v>40</v>
      </c>
      <c r="Z12" s="8">
        <v>30</v>
      </c>
      <c r="AA12" s="8">
        <v>20</v>
      </c>
      <c r="AB12" s="8">
        <v>20</v>
      </c>
      <c r="AC12" s="8">
        <v>30</v>
      </c>
      <c r="AD12" s="8">
        <v>40</v>
      </c>
      <c r="AE12" s="8">
        <v>20</v>
      </c>
      <c r="AF12" s="8">
        <v>20</v>
      </c>
      <c r="AG12" s="8">
        <v>17.5</v>
      </c>
      <c r="AH12" s="8">
        <v>30</v>
      </c>
      <c r="AI12" s="8">
        <v>15</v>
      </c>
      <c r="AJ12" s="8">
        <v>40</v>
      </c>
      <c r="AK12" s="14">
        <v>20</v>
      </c>
      <c r="AL12">
        <f t="shared" si="0"/>
        <v>25.735294117647058</v>
      </c>
      <c r="AM12">
        <f t="shared" si="1"/>
        <v>10</v>
      </c>
    </row>
    <row r="13" spans="1:39" ht="15">
      <c r="A13" s="13">
        <v>11</v>
      </c>
      <c r="B13" s="30">
        <f>getDistance(coord!C11,coord!D11,coord!$C$1,coord!$D$1)*1000</f>
        <v>203.00393542072791</v>
      </c>
      <c r="C13" s="30">
        <f>getDistance(coord!C11,coord!D11,coord!$C$2,coord!$D$2)*1000</f>
        <v>200.11373184634655</v>
      </c>
      <c r="D13" s="30">
        <f>getDistance(coord!$C11,coord!$D11,coord!$C$3,coord!$D$3)*1000</f>
        <v>175.53810902631469</v>
      </c>
      <c r="E13" s="30">
        <f>getDistance(coord!$C11,coord!$D11,coord!$C$4,coord!$D$4)*1000</f>
        <v>243.50268764516565</v>
      </c>
      <c r="F13" s="30">
        <f>getDistance(coord!$C11,coord!$D11,coord!$C$5,coord!$D$5)*1000</f>
        <v>196.18586926043142</v>
      </c>
      <c r="G13" s="30">
        <f>getDistance(coord!$C11,coord!$D11,coord!$C$6,coord!$D$6)*1000</f>
        <v>150.6555634966613</v>
      </c>
      <c r="H13" s="30">
        <f>getDistance(coord!$C11,coord!$D11,coord!$C$7,coord!$D$7)*1000</f>
        <v>281.09763747137629</v>
      </c>
      <c r="I13" s="30">
        <f>getDistance(coord!$C11,coord!$D11,coord!$C$8,coord!$D$8)*1000</f>
        <v>194.30568622833704</v>
      </c>
      <c r="J13" s="30">
        <f>getDistance(coord!$C11,coord!$D11,coord!$C$9,coord!$D$9)*1000</f>
        <v>234.26543137137054</v>
      </c>
      <c r="K13" s="30">
        <f>getDistance(coord!$C11,coord!$D11,coord!$C$10,coord!$D$10)*1000</f>
        <v>144.14840241197871</v>
      </c>
      <c r="L13" s="31">
        <f>getDistance(coord!$C11,coord!$D11,coord!$C$11,coord!$D$11)*1000</f>
        <v>0</v>
      </c>
      <c r="M13" s="30">
        <f>getDistance(coord!$C11,coord!$D11,coord!$C$12,coord!$D$12)*1000</f>
        <v>310.40995171196965</v>
      </c>
      <c r="N13" s="30">
        <f>getDistance(coord!$C11,coord!$D11,coord!$C$13,coord!$D$13)*1000</f>
        <v>229.52406256746684</v>
      </c>
      <c r="O13" s="30">
        <f>getDistance(coord!$C11,coord!$D11,coord!$C$14,coord!$D$14)*1000</f>
        <v>215.60524896378325</v>
      </c>
      <c r="P13" s="30">
        <f>getDistance(coord!$C11,coord!$D11,coord!$C$15,coord!$D$15)*1000</f>
        <v>253.90774206554252</v>
      </c>
      <c r="Q13" s="30">
        <f>getDistance(coord!$C11,coord!$D11,coord!$C$16,coord!$D$16)*1000</f>
        <v>355.60542381889445</v>
      </c>
      <c r="R13" s="32">
        <f>getDistance(coord!$C11,coord!$D11,coord!$C$17,coord!$D$17)*1000</f>
        <v>274.98992588644165</v>
      </c>
      <c r="S13" s="5" t="s">
        <v>24</v>
      </c>
      <c r="T13" s="13">
        <v>18</v>
      </c>
      <c r="U13" s="7">
        <v>30</v>
      </c>
      <c r="V13" s="7">
        <v>25</v>
      </c>
      <c r="W13" s="8">
        <v>10</v>
      </c>
      <c r="X13" s="8">
        <v>30</v>
      </c>
      <c r="Y13" s="8">
        <v>40</v>
      </c>
      <c r="Z13" s="8">
        <v>30</v>
      </c>
      <c r="AA13" s="8">
        <v>15</v>
      </c>
      <c r="AB13" s="8">
        <v>20</v>
      </c>
      <c r="AC13" s="8">
        <v>30</v>
      </c>
      <c r="AD13" s="8">
        <v>40</v>
      </c>
      <c r="AE13" s="8">
        <v>17.5</v>
      </c>
      <c r="AF13" s="8">
        <v>20</v>
      </c>
      <c r="AG13" s="8">
        <v>15</v>
      </c>
      <c r="AH13" s="8">
        <v>25</v>
      </c>
      <c r="AI13" s="8">
        <v>12.5</v>
      </c>
      <c r="AJ13" s="8">
        <v>40</v>
      </c>
      <c r="AK13" s="14">
        <v>17.5</v>
      </c>
      <c r="AL13">
        <f t="shared" si="0"/>
        <v>24.558823529411764</v>
      </c>
      <c r="AM13">
        <f t="shared" si="1"/>
        <v>8.75</v>
      </c>
    </row>
    <row r="14" spans="1:39" ht="15">
      <c r="A14" s="13">
        <v>12</v>
      </c>
      <c r="B14" s="30">
        <f>getDistance(coord!C12,coord!D12,coord!$C$1,coord!$D$1)*1000</f>
        <v>476.53795812918798</v>
      </c>
      <c r="C14" s="30">
        <f>getDistance(coord!C12,coord!D12,coord!$C$2,coord!$D$2)*1000</f>
        <v>456.11462948302585</v>
      </c>
      <c r="D14" s="30">
        <f>getDistance(coord!$C12,coord!$D12,coord!$C$3,coord!$D$3)*1000</f>
        <v>413.86441663557724</v>
      </c>
      <c r="E14" s="30">
        <f>getDistance(coord!$C12,coord!$D12,coord!$C$4,coord!$D$4)*1000</f>
        <v>545.19424297983869</v>
      </c>
      <c r="F14" s="30">
        <f>getDistance(coord!$C12,coord!$D12,coord!$C$5,coord!$D$5)*1000</f>
        <v>217.34893875517614</v>
      </c>
      <c r="G14" s="30">
        <f>getDistance(coord!$C12,coord!$D12,coord!$C$6,coord!$D$6)*1000</f>
        <v>187.93059434003794</v>
      </c>
      <c r="H14" s="30">
        <f>getDistance(coord!$C12,coord!$D12,coord!$C$7,coord!$D$7)*1000</f>
        <v>80.985227741250185</v>
      </c>
      <c r="I14" s="30">
        <f>getDistance(coord!$C12,coord!$D12,coord!$C$8,coord!$D$8)*1000</f>
        <v>196.24129880676139</v>
      </c>
      <c r="J14" s="30">
        <f>getDistance(coord!$C12,coord!$D12,coord!$C$9,coord!$D$9)*1000</f>
        <v>244.21262443256944</v>
      </c>
      <c r="K14" s="30">
        <f>getDistance(coord!$C12,coord!$D12,coord!$C$10,coord!$D$10)*1000</f>
        <v>238.93956076898075</v>
      </c>
      <c r="L14" s="30">
        <f>getDistance(coord!$C12,coord!$D12,coord!$C$11,coord!$D$11)*1000</f>
        <v>310.40995171196965</v>
      </c>
      <c r="M14" s="31">
        <f>getDistance(coord!$C12,coord!$D12,coord!$C$12,coord!$D$12)*1000</f>
        <v>0</v>
      </c>
      <c r="N14" s="30">
        <f>getDistance(coord!$C12,coord!$D12,coord!$C$13,coord!$D$13)*1000</f>
        <v>539.93396275766452</v>
      </c>
      <c r="O14" s="30">
        <f>getDistance(coord!$C12,coord!$D12,coord!$C$14,coord!$D$14)*1000</f>
        <v>504.71867173682426</v>
      </c>
      <c r="P14" s="30">
        <f>getDistance(coord!$C12,coord!$D12,coord!$C$15,coord!$D$15)*1000</f>
        <v>343.71766130424044</v>
      </c>
      <c r="Q14" s="30">
        <f>getDistance(coord!$C12,coord!$D12,coord!$C$16,coord!$D$16)*1000</f>
        <v>437.85195352068683</v>
      </c>
      <c r="R14" s="32">
        <f>getDistance(coord!$C12,coord!$D12,coord!$C$17,coord!$D$17)*1000</f>
        <v>376.39033374729303</v>
      </c>
      <c r="S14" s="5" t="s">
        <v>25</v>
      </c>
      <c r="T14" s="13">
        <v>19</v>
      </c>
      <c r="U14" s="7">
        <v>30</v>
      </c>
      <c r="V14" s="7">
        <v>25</v>
      </c>
      <c r="W14" s="8">
        <v>10</v>
      </c>
      <c r="X14" s="8">
        <v>25</v>
      </c>
      <c r="Y14" s="8">
        <v>40</v>
      </c>
      <c r="Z14" s="8">
        <v>30</v>
      </c>
      <c r="AA14" s="8">
        <v>15</v>
      </c>
      <c r="AB14" s="8">
        <v>20</v>
      </c>
      <c r="AC14" s="8">
        <v>30</v>
      </c>
      <c r="AD14" s="8">
        <v>45</v>
      </c>
      <c r="AE14" s="8">
        <v>15</v>
      </c>
      <c r="AF14" s="8">
        <v>17.5</v>
      </c>
      <c r="AG14" s="8">
        <v>12.5</v>
      </c>
      <c r="AH14" s="8">
        <v>20</v>
      </c>
      <c r="AI14" s="8">
        <v>10</v>
      </c>
      <c r="AJ14" s="8">
        <v>35</v>
      </c>
      <c r="AK14" s="14">
        <v>15</v>
      </c>
      <c r="AL14">
        <f t="shared" si="0"/>
        <v>23.235294117647058</v>
      </c>
      <c r="AM14">
        <f t="shared" si="1"/>
        <v>7.5</v>
      </c>
    </row>
    <row r="15" spans="1:39" ht="15">
      <c r="A15" s="13">
        <v>13</v>
      </c>
      <c r="B15" s="30">
        <f>getDistance(coord!C13,coord!D13,coord!$C$1,coord!$D$1)*1000</f>
        <v>166.24766329420825</v>
      </c>
      <c r="C15" s="30">
        <f>getDistance(coord!C13,coord!D13,coord!$C$2,coord!$D$2)*1000</f>
        <v>199.21786127021554</v>
      </c>
      <c r="D15" s="30">
        <f>getDistance(coord!$C13,coord!$D13,coord!$C$3,coord!$D$3)*1000</f>
        <v>225.4098968763337</v>
      </c>
      <c r="E15" s="30">
        <f>getDistance(coord!$C13,coord!$D13,coord!$C$4,coord!$D$4)*1000</f>
        <v>85.530866119049492</v>
      </c>
      <c r="F15" s="30">
        <f>getDistance(coord!$C13,coord!$D13,coord!$C$5,coord!$D$5)*1000</f>
        <v>394.82939421009377</v>
      </c>
      <c r="G15" s="30">
        <f>getDistance(coord!$C13,coord!$D13,coord!$C$6,coord!$D$6)*1000</f>
        <v>370.49370442246158</v>
      </c>
      <c r="H15" s="30">
        <f>getDistance(coord!$C13,coord!$D13,coord!$C$7,coord!$D$7)*1000</f>
        <v>506.44970871063845</v>
      </c>
      <c r="I15" s="30">
        <f>getDistance(coord!$C13,coord!$D13,coord!$C$8,coord!$D$8)*1000</f>
        <v>401.34210495569926</v>
      </c>
      <c r="J15" s="30">
        <f>getDistance(coord!$C13,coord!$D13,coord!$C$9,coord!$D$9)*1000</f>
        <v>418.58691675179392</v>
      </c>
      <c r="K15" s="30">
        <f>getDistance(coord!$C13,coord!$D13,coord!$C$10,coord!$D$10)*1000</f>
        <v>343.23800472175242</v>
      </c>
      <c r="L15" s="30">
        <f>getDistance(coord!$C13,coord!$D13,coord!$C$11,coord!$D$11)*1000</f>
        <v>229.52406256746684</v>
      </c>
      <c r="M15" s="30">
        <f>getDistance(coord!$C13,coord!$D13,coord!$C$12,coord!$D$12)*1000</f>
        <v>539.93396275766452</v>
      </c>
      <c r="N15" s="31">
        <f>getDistance(coord!$C13,coord!$D13,coord!$C$13,coord!$D$13)*1000</f>
        <v>0</v>
      </c>
      <c r="O15" s="30">
        <f>getDistance(coord!$C13,coord!$D13,coord!$C$14,coord!$D$14)*1000</f>
        <v>127.9721607205676</v>
      </c>
      <c r="P15" s="30">
        <f>getDistance(coord!$C13,coord!$D13,coord!$C$15,coord!$D$15)*1000</f>
        <v>385.50102343587747</v>
      </c>
      <c r="Q15" s="30">
        <f>getDistance(coord!$C13,coord!$D13,coord!$C$16,coord!$D$16)*1000</f>
        <v>449.4287392065018</v>
      </c>
      <c r="R15" s="32">
        <f>getDistance(coord!$C13,coord!$D13,coord!$C$17,coord!$D$17)*1000</f>
        <v>388.07023356065002</v>
      </c>
      <c r="S15" s="5" t="s">
        <v>26</v>
      </c>
      <c r="T15" s="13">
        <v>20</v>
      </c>
      <c r="U15" s="7">
        <v>22.5</v>
      </c>
      <c r="V15" s="7">
        <v>15</v>
      </c>
      <c r="W15" s="8">
        <v>10</v>
      </c>
      <c r="X15" s="8">
        <v>17.5</v>
      </c>
      <c r="Y15" s="8">
        <v>35</v>
      </c>
      <c r="Z15" s="8">
        <v>30</v>
      </c>
      <c r="AA15" s="8">
        <v>10</v>
      </c>
      <c r="AB15" s="8">
        <v>45</v>
      </c>
      <c r="AC15" s="8">
        <v>22.5</v>
      </c>
      <c r="AD15" s="8">
        <v>45</v>
      </c>
      <c r="AE15" s="8">
        <v>12.5</v>
      </c>
      <c r="AF15" s="8">
        <v>15</v>
      </c>
      <c r="AG15" s="8">
        <v>10</v>
      </c>
      <c r="AH15" s="8">
        <v>15</v>
      </c>
      <c r="AI15" s="8">
        <v>10</v>
      </c>
      <c r="AJ15" s="8">
        <v>32.5</v>
      </c>
      <c r="AK15" s="14">
        <v>12.5</v>
      </c>
      <c r="AL15">
        <f t="shared" si="0"/>
        <v>21.176470588235293</v>
      </c>
      <c r="AM15">
        <f t="shared" si="1"/>
        <v>6.25</v>
      </c>
    </row>
    <row r="16" spans="1:39" ht="15">
      <c r="A16" s="13">
        <v>14</v>
      </c>
      <c r="B16" s="30">
        <f>getDistance(coord!C14,coord!D14,coord!$C$1,coord!$D$1)*1000</f>
        <v>43.627434418712667</v>
      </c>
      <c r="C16" s="30">
        <f>getDistance(coord!C14,coord!D14,coord!$C$2,coord!$D$2)*1000</f>
        <v>79.03822260954027</v>
      </c>
      <c r="D16" s="30">
        <f>getDistance(coord!$C14,coord!$D14,coord!$C$3,coord!$D$3)*1000</f>
        <v>117.05948454950837</v>
      </c>
      <c r="E16" s="30">
        <f>getDistance(coord!$C14,coord!$D14,coord!$C$4,coord!$D$4)*1000</f>
        <v>209.16282830150311</v>
      </c>
      <c r="F16" s="30">
        <f>getDistance(coord!$C14,coord!$D14,coord!$C$5,coord!$D$5)*1000</f>
        <v>321.85836784012554</v>
      </c>
      <c r="G16" s="30">
        <f>getDistance(coord!$C14,coord!$D14,coord!$C$6,coord!$D$6)*1000</f>
        <v>319.2524065418915</v>
      </c>
      <c r="H16" s="30">
        <f>getDistance(coord!$C14,coord!$D14,coord!$C$7,coord!$D$7)*1000</f>
        <v>454.60608976349624</v>
      </c>
      <c r="I16" s="30">
        <f>getDistance(coord!$C14,coord!$D14,coord!$C$8,coord!$D$8)*1000</f>
        <v>334.23445421028055</v>
      </c>
      <c r="J16" s="30">
        <f>getDistance(coord!$C14,coord!$D14,coord!$C$9,coord!$D$9)*1000</f>
        <v>333.91043574757589</v>
      </c>
      <c r="K16" s="30">
        <f>getDistance(coord!$C14,coord!$D14,coord!$C$10,coord!$D$10)*1000</f>
        <v>277.19471876766289</v>
      </c>
      <c r="L16" s="30">
        <f>getDistance(coord!$C14,coord!$D14,coord!$C$11,coord!$D$11)*1000</f>
        <v>215.60524896378325</v>
      </c>
      <c r="M16" s="30">
        <f>getDistance(coord!$C14,coord!$D14,coord!$C$12,coord!$D$12)*1000</f>
        <v>504.71867173682426</v>
      </c>
      <c r="N16" s="30">
        <f>getDistance(coord!$C14,coord!$D14,coord!$C$13,coord!$D$13)*1000</f>
        <v>127.9721607205676</v>
      </c>
      <c r="O16" s="31">
        <f>getDistance(coord!$C14,coord!$D14,coord!$C$14,coord!$D$14)*1000</f>
        <v>0</v>
      </c>
      <c r="P16" s="30">
        <f>getDistance(coord!$C14,coord!$D14,coord!$C$15,coord!$D$15)*1000</f>
        <v>279.11449624635367</v>
      </c>
      <c r="Q16" s="30">
        <f>getDistance(coord!$C14,coord!$D14,coord!$C$16,coord!$D$16)*1000</f>
        <v>328.16830545471561</v>
      </c>
      <c r="R16" s="32">
        <f>getDistance(coord!$C14,coord!$D14,coord!$C$17,coord!$D$17)*1000</f>
        <v>275.07923904373905</v>
      </c>
      <c r="S16" s="5" t="s">
        <v>27</v>
      </c>
      <c r="T16" s="13">
        <v>21</v>
      </c>
      <c r="U16" s="7">
        <v>20</v>
      </c>
      <c r="V16" s="7">
        <v>10</v>
      </c>
      <c r="W16" s="8">
        <v>10</v>
      </c>
      <c r="X16" s="8">
        <v>12.5</v>
      </c>
      <c r="Y16" s="8">
        <v>30</v>
      </c>
      <c r="Z16" s="8">
        <v>25</v>
      </c>
      <c r="AA16" s="8">
        <v>10</v>
      </c>
      <c r="AB16" s="8">
        <v>15</v>
      </c>
      <c r="AC16" s="8">
        <v>17.5</v>
      </c>
      <c r="AD16" s="8">
        <v>40</v>
      </c>
      <c r="AE16" s="8">
        <v>10</v>
      </c>
      <c r="AF16" s="8">
        <v>12.5</v>
      </c>
      <c r="AG16" s="8">
        <v>7.5</v>
      </c>
      <c r="AH16" s="8">
        <v>10</v>
      </c>
      <c r="AI16" s="8">
        <v>7.5</v>
      </c>
      <c r="AJ16" s="8">
        <v>30</v>
      </c>
      <c r="AK16" s="14">
        <v>10</v>
      </c>
      <c r="AL16">
        <f t="shared" si="0"/>
        <v>16.323529411764707</v>
      </c>
      <c r="AM16">
        <f t="shared" si="1"/>
        <v>5</v>
      </c>
    </row>
    <row r="17" spans="1:39" ht="15">
      <c r="A17" s="13">
        <v>15</v>
      </c>
      <c r="B17" s="30">
        <f>getDistance(coord!C15,coord!D15,coord!$C$1,coord!$D$1)*1000</f>
        <v>235.9205617282789</v>
      </c>
      <c r="C17" s="30">
        <f>getDistance(coord!C15,coord!D15,coord!$C$2,coord!$D$2)*1000</f>
        <v>201.14756751767686</v>
      </c>
      <c r="D17" s="30">
        <f>getDistance(coord!$C15,coord!$D15,coord!$C$3,coord!$D$3)*1000</f>
        <v>163.05880626550467</v>
      </c>
      <c r="E17" s="30">
        <f>getDistance(coord!$C15,coord!$D15,coord!$C$4,coord!$D$4)*1000</f>
        <v>443.65343531531397</v>
      </c>
      <c r="F17" s="30">
        <f>getDistance(coord!$C15,coord!$D15,coord!$C$5,coord!$D$5)*1000</f>
        <v>130.10141514607648</v>
      </c>
      <c r="G17" s="30">
        <f>getDistance(coord!$C15,coord!$D15,coord!$C$6,coord!$D$6)*1000</f>
        <v>189.22843379725697</v>
      </c>
      <c r="H17" s="30">
        <f>getDistance(coord!$C15,coord!$D15,coord!$C$7,coord!$D$7)*1000</f>
        <v>266.95448741353545</v>
      </c>
      <c r="I17" s="30">
        <f>getDistance(coord!$C15,coord!$D15,coord!$C$8,coord!$D$8)*1000</f>
        <v>152.05756119461753</v>
      </c>
      <c r="J17" s="30">
        <f>getDistance(coord!$C15,coord!$D15,coord!$C$9,coord!$D$9)*1000</f>
        <v>100.53876287995733</v>
      </c>
      <c r="K17" s="30">
        <f>getDistance(coord!$C15,coord!$D15,coord!$C$10,coord!$D$10)*1000</f>
        <v>140.34652822183338</v>
      </c>
      <c r="L17" s="30">
        <f>getDistance(coord!$C15,coord!$D15,coord!$C$11,coord!$D$11)*1000</f>
        <v>253.90774206554252</v>
      </c>
      <c r="M17" s="30">
        <f>getDistance(coord!$C15,coord!$D15,coord!$C$12,coord!$D$12)*1000</f>
        <v>343.71766130424044</v>
      </c>
      <c r="N17" s="30">
        <f>getDistance(coord!$C15,coord!$D15,coord!$C$13,coord!$D$13)*1000</f>
        <v>385.50102343587747</v>
      </c>
      <c r="O17" s="30">
        <f>getDistance(coord!$C15,coord!$D15,coord!$C$14,coord!$D$14)*1000</f>
        <v>279.11449624635367</v>
      </c>
      <c r="P17" s="31">
        <f>getDistance(coord!$C15,coord!$D15,coord!$C$15,coord!$D$15)*1000</f>
        <v>0</v>
      </c>
      <c r="Q17" s="30">
        <f>getDistance(coord!$C15,coord!$D15,coord!$C$16,coord!$D$16)*1000</f>
        <v>109.24350736136221</v>
      </c>
      <c r="R17" s="32">
        <f>getDistance(coord!$C15,coord!$D15,coord!$C$17,coord!$D$17)*1000</f>
        <v>32.923290655312897</v>
      </c>
      <c r="S17" s="5" t="s">
        <v>28</v>
      </c>
      <c r="T17" s="13">
        <v>22</v>
      </c>
      <c r="U17" s="7">
        <v>17.5</v>
      </c>
      <c r="V17" s="7">
        <v>5</v>
      </c>
      <c r="W17" s="8">
        <v>10</v>
      </c>
      <c r="X17" s="8">
        <v>7.5</v>
      </c>
      <c r="Y17" s="8">
        <v>30</v>
      </c>
      <c r="Z17" s="8">
        <v>25</v>
      </c>
      <c r="AA17" s="8">
        <v>10</v>
      </c>
      <c r="AB17" s="8">
        <v>15</v>
      </c>
      <c r="AC17" s="8">
        <v>15</v>
      </c>
      <c r="AD17" s="8">
        <v>40</v>
      </c>
      <c r="AE17" s="8">
        <v>7.5</v>
      </c>
      <c r="AF17" s="8">
        <v>10</v>
      </c>
      <c r="AG17" s="8">
        <v>7.5</v>
      </c>
      <c r="AH17" s="8">
        <v>10</v>
      </c>
      <c r="AI17" s="8">
        <v>7.5</v>
      </c>
      <c r="AJ17" s="8">
        <v>17.5</v>
      </c>
      <c r="AK17" s="14">
        <v>10</v>
      </c>
      <c r="AL17">
        <f t="shared" si="0"/>
        <v>14.411764705882353</v>
      </c>
      <c r="AM17">
        <f t="shared" si="1"/>
        <v>5</v>
      </c>
    </row>
    <row r="18" spans="1:39" ht="15">
      <c r="A18" s="13">
        <v>16</v>
      </c>
      <c r="B18" s="30">
        <f>getDistance(coord!C16,coord!D16,coord!$C$1,coord!$D$1)*1000</f>
        <v>285.48610254472004</v>
      </c>
      <c r="C18" s="30">
        <f>getDistance(coord!C16,coord!D16,coord!$C$2,coord!$D$2)*1000</f>
        <v>250.88589035856424</v>
      </c>
      <c r="D18" s="30">
        <f>getDistance(coord!$C16,coord!$D16,coord!$C$3,coord!$D$3)*1000</f>
        <v>226.64433982944462</v>
      </c>
      <c r="E18" s="30">
        <f>getDistance(coord!$C16,coord!$D16,coord!$C$4,coord!$D$4)*1000</f>
        <v>518.33181927135797</v>
      </c>
      <c r="F18" s="30">
        <f>getDistance(coord!$C16,coord!$D16,coord!$C$5,coord!$D$5)*1000</f>
        <v>234.17453202587953</v>
      </c>
      <c r="G18" s="30">
        <f>getDistance(coord!$C16,coord!$D16,coord!$C$6,coord!$D$6)*1000</f>
        <v>297.2839405593038</v>
      </c>
      <c r="H18" s="30">
        <f>getDistance(coord!$C16,coord!$D16,coord!$C$7,coord!$D$7)*1000</f>
        <v>357.85686355779404</v>
      </c>
      <c r="I18" s="30">
        <f>getDistance(coord!$C16,coord!$D16,coord!$C$8,coord!$D$8)*1000</f>
        <v>255.62654057901639</v>
      </c>
      <c r="J18" s="30">
        <f>getDistance(coord!$C16,coord!$D16,coord!$C$9,coord!$D$9)*1000</f>
        <v>196.03012242617947</v>
      </c>
      <c r="K18" s="30">
        <f>getDistance(coord!$C16,coord!$D16,coord!$C$10,coord!$D$10)*1000</f>
        <v>249.56439084237218</v>
      </c>
      <c r="L18" s="30">
        <f>getDistance(coord!$C16,coord!$D16,coord!$C$11,coord!$D$11)*1000</f>
        <v>355.60542381889445</v>
      </c>
      <c r="M18" s="30">
        <f>getDistance(coord!$C16,coord!$D16,coord!$C$12,coord!$D$12)*1000</f>
        <v>437.85195352068683</v>
      </c>
      <c r="N18" s="30">
        <f>getDistance(coord!$C16,coord!$D16,coord!$C$13,coord!$D$13)*1000</f>
        <v>449.4287392065018</v>
      </c>
      <c r="O18" s="30">
        <f>getDistance(coord!$C16,coord!$D16,coord!$C$14,coord!$D$14)*1000</f>
        <v>328.16830545471561</v>
      </c>
      <c r="P18" s="30">
        <f>getDistance(coord!$C16,coord!$D16,coord!$C$15,coord!$D$15)*1000</f>
        <v>109.24350736136221</v>
      </c>
      <c r="Q18" s="31">
        <f>getDistance(coord!$C16,coord!$D16,coord!$C$16,coord!$D$16)*1000</f>
        <v>0</v>
      </c>
      <c r="R18" s="32">
        <f>getDistance(coord!$C16,coord!$D16,coord!$C$17,coord!$D$17)*1000</f>
        <v>81.447413962744818</v>
      </c>
      <c r="S18" s="5" t="s">
        <v>29</v>
      </c>
      <c r="T18" s="13">
        <v>23</v>
      </c>
      <c r="U18" s="8">
        <v>10</v>
      </c>
      <c r="V18" s="8">
        <v>5</v>
      </c>
      <c r="W18" s="8">
        <v>10</v>
      </c>
      <c r="X18" s="8">
        <v>5</v>
      </c>
      <c r="Y18" s="8">
        <v>20</v>
      </c>
      <c r="Z18" s="8">
        <v>15</v>
      </c>
      <c r="AA18" s="8">
        <v>10</v>
      </c>
      <c r="AB18" s="8">
        <v>10</v>
      </c>
      <c r="AC18" s="8">
        <v>15</v>
      </c>
      <c r="AD18" s="8">
        <v>35</v>
      </c>
      <c r="AE18" s="8">
        <v>7.5</v>
      </c>
      <c r="AF18" s="8">
        <v>5</v>
      </c>
      <c r="AG18" s="8">
        <v>5</v>
      </c>
      <c r="AH18" s="8">
        <v>10</v>
      </c>
      <c r="AI18" s="8">
        <v>5</v>
      </c>
      <c r="AJ18" s="8">
        <v>17.5</v>
      </c>
      <c r="AK18" s="14">
        <v>10</v>
      </c>
      <c r="AL18">
        <f t="shared" si="0"/>
        <v>11.470588235294118</v>
      </c>
      <c r="AM18">
        <f t="shared" si="1"/>
        <v>5</v>
      </c>
    </row>
    <row r="19" spans="1:39" ht="15.75" thickBot="1">
      <c r="A19" s="15">
        <v>17</v>
      </c>
      <c r="B19" s="33">
        <f>getDistance(coord!C17,coord!D17,coord!$C$1,coord!$D$1)*1000</f>
        <v>231.45532036128384</v>
      </c>
      <c r="C19" s="33">
        <f>getDistance(coord!C17,coord!D17,coord!$C$2,coord!$D$2)*1000</f>
        <v>196.0671434542468</v>
      </c>
      <c r="D19" s="33">
        <f>getDistance(coord!$C17,coord!$D17,coord!$C$3,coord!$D$3)*1000</f>
        <v>162.77018054803818</v>
      </c>
      <c r="E19" s="33">
        <f>getDistance(coord!$C17,coord!$D17,coord!$C$4,coord!$D$4)*1000</f>
        <v>450.94909994727891</v>
      </c>
      <c r="F19" s="33">
        <f>getDistance(coord!$C17,coord!$D17,coord!$C$5,coord!$D$5)*1000</f>
        <v>162.97627457082967</v>
      </c>
      <c r="G19" s="33">
        <f>getDistance(coord!$C17,coord!$D17,coord!$C$6,coord!$D$6)*1000</f>
        <v>220.94920483065883</v>
      </c>
      <c r="H19" s="33">
        <f>getDistance(coord!$C17,coord!$D17,coord!$C$7,coord!$D$7)*1000</f>
        <v>299.2056517337632</v>
      </c>
      <c r="I19" s="33">
        <f>getDistance(coord!$C17,coord!$D17,coord!$C$8,coord!$D$8)*1000</f>
        <v>184.93928790034644</v>
      </c>
      <c r="J19" s="33">
        <f>getDistance(coord!$C17,coord!$D17,coord!$C$9,coord!$D$9)*1000</f>
        <v>132.68848704068344</v>
      </c>
      <c r="K19" s="33">
        <f>getDistance(coord!$C17,coord!$D17,coord!$C$10,coord!$D$10)*1000</f>
        <v>170.59544177993732</v>
      </c>
      <c r="L19" s="33">
        <f>getDistance(coord!$C17,coord!$D17,coord!$C$11,coord!$D$11)*1000</f>
        <v>274.98992588644165</v>
      </c>
      <c r="M19" s="33">
        <f>getDistance(coord!$C17,coord!$D17,coord!$C$12,coord!$D$12)*1000</f>
        <v>376.39033374729303</v>
      </c>
      <c r="N19" s="33">
        <f>getDistance(coord!$C17,coord!$D17,coord!$C$13,coord!$D$13)*1000</f>
        <v>388.07023356065002</v>
      </c>
      <c r="O19" s="33">
        <f>getDistance(coord!$C17,coord!$D17,coord!$C$14,coord!$D$14)*1000</f>
        <v>275.07923904373905</v>
      </c>
      <c r="P19" s="33">
        <f>getDistance(coord!$C17,coord!$D17,coord!$C$15,coord!$D$15)*1000</f>
        <v>32.923290655312897</v>
      </c>
      <c r="Q19" s="33">
        <f>getDistance(coord!$C17,coord!$D17,coord!$C$16,coord!$D$16)*1000</f>
        <v>81.447413962744818</v>
      </c>
      <c r="R19" s="34">
        <f>getDistance(coord!$C17,coord!$D17,coord!$C$17,coord!$D$17)*1000</f>
        <v>0</v>
      </c>
      <c r="S19" s="5" t="s">
        <v>30</v>
      </c>
      <c r="T19" s="15">
        <v>24</v>
      </c>
      <c r="U19" s="16">
        <v>10</v>
      </c>
      <c r="V19" s="16">
        <v>5</v>
      </c>
      <c r="W19" s="16">
        <v>5</v>
      </c>
      <c r="X19" s="16">
        <v>5</v>
      </c>
      <c r="Y19" s="16">
        <v>20</v>
      </c>
      <c r="Z19" s="16">
        <v>15</v>
      </c>
      <c r="AA19" s="16">
        <v>10</v>
      </c>
      <c r="AB19" s="16">
        <v>10</v>
      </c>
      <c r="AC19" s="16">
        <v>15</v>
      </c>
      <c r="AD19" s="16">
        <v>35</v>
      </c>
      <c r="AE19" s="16">
        <v>7.5</v>
      </c>
      <c r="AF19" s="16">
        <v>2.5</v>
      </c>
      <c r="AG19" s="16">
        <v>2.5</v>
      </c>
      <c r="AH19" s="16">
        <v>10</v>
      </c>
      <c r="AI19" s="16">
        <v>5</v>
      </c>
      <c r="AJ19" s="16">
        <v>15</v>
      </c>
      <c r="AK19" s="17">
        <v>7.5</v>
      </c>
      <c r="AL19">
        <f t="shared" si="0"/>
        <v>10.588235294117647</v>
      </c>
      <c r="AM19">
        <f t="shared" si="1"/>
        <v>3.75</v>
      </c>
    </row>
    <row r="20" spans="1:39" ht="15" thickBot="1">
      <c r="A20" s="4"/>
    </row>
    <row r="21" spans="1:39" ht="15" thickBot="1">
      <c r="A21" s="50" t="s">
        <v>4</v>
      </c>
      <c r="B21" s="42" t="s">
        <v>7</v>
      </c>
      <c r="C21" s="42" t="s">
        <v>9</v>
      </c>
      <c r="D21" s="42" t="s">
        <v>2</v>
      </c>
      <c r="E21" s="42" t="s">
        <v>1</v>
      </c>
      <c r="F21" s="42" t="s">
        <v>0</v>
      </c>
      <c r="G21" s="42"/>
      <c r="H21" s="43"/>
    </row>
    <row r="22" spans="1:39">
      <c r="A22" s="13">
        <v>8</v>
      </c>
      <c r="B22" s="13">
        <v>17</v>
      </c>
      <c r="C22" s="2" t="str">
        <f>VLOOKUP(B22,$A$3:$S$19,19,1)</f>
        <v>Star Tours</v>
      </c>
      <c r="D22" s="36">
        <f>ABS(E22)</f>
        <v>0</v>
      </c>
      <c r="E22" s="8"/>
      <c r="F22" s="8">
        <f>INDEX($T$2:$AK$19,MATCH(A22,$T$2:$T$19,0),MATCH(B22,$T$2:$AK$2,0))</f>
        <v>2.5</v>
      </c>
      <c r="G22" s="8"/>
      <c r="H22" s="14"/>
      <c r="M22" t="s">
        <v>17</v>
      </c>
    </row>
    <row r="23" spans="1:39">
      <c r="A23" s="13">
        <v>9</v>
      </c>
      <c r="B23" s="13">
        <v>15</v>
      </c>
      <c r="C23" s="2" t="str">
        <f t="shared" ref="C23:C38" si="2">VLOOKUP(B23,$A$3:$S$19,19,1)</f>
        <v>Buzz Lightyear</v>
      </c>
      <c r="D23" s="36">
        <f t="shared" ref="D23:D38" si="3">ABS(E23)</f>
        <v>32.923290655312897</v>
      </c>
      <c r="E23" s="30">
        <f t="shared" ref="E23:E38" si="4">INDEX($A$2:$R$19,MATCH(B22,$A$2:$A$19,0),MATCH(B23,$A$2:$R$2,0))</f>
        <v>32.923290655312897</v>
      </c>
      <c r="F23" s="8">
        <f t="shared" ref="F23:F38" si="5">INDEX($T$2:$AK$19,MATCH(A23,$T$2:$T$19,0),MATCH(B23,$T$2:$AK$2,0))</f>
        <v>7.5</v>
      </c>
      <c r="G23" s="30"/>
      <c r="H23" s="14"/>
      <c r="M23" t="s">
        <v>14</v>
      </c>
    </row>
    <row r="24" spans="1:39">
      <c r="A24" s="13">
        <v>10</v>
      </c>
      <c r="B24" s="13">
        <v>16</v>
      </c>
      <c r="C24" s="2" t="str">
        <f t="shared" si="2"/>
        <v>Space Mtn</v>
      </c>
      <c r="D24" s="36">
        <f t="shared" si="3"/>
        <v>109.24350736136221</v>
      </c>
      <c r="E24" s="30">
        <f t="shared" si="4"/>
        <v>109.24350736136221</v>
      </c>
      <c r="F24" s="8">
        <f t="shared" si="5"/>
        <v>12.5</v>
      </c>
      <c r="G24" s="30"/>
      <c r="H24" s="14"/>
      <c r="M24" t="s">
        <v>25</v>
      </c>
    </row>
    <row r="25" spans="1:39">
      <c r="A25" s="13">
        <v>11</v>
      </c>
      <c r="B25" s="13">
        <v>6</v>
      </c>
      <c r="C25" s="2" t="str">
        <f t="shared" si="2"/>
        <v>Dumbo</v>
      </c>
      <c r="D25" s="36">
        <f t="shared" si="3"/>
        <v>297.2839405593038</v>
      </c>
      <c r="E25" s="30">
        <f t="shared" si="4"/>
        <v>297.2839405593038</v>
      </c>
      <c r="F25" s="8">
        <f t="shared" si="5"/>
        <v>15</v>
      </c>
      <c r="G25" s="30"/>
      <c r="H25" s="14"/>
      <c r="M25" t="s">
        <v>29</v>
      </c>
    </row>
    <row r="26" spans="1:39">
      <c r="A26" s="13">
        <v>12</v>
      </c>
      <c r="B26" s="13">
        <v>9</v>
      </c>
      <c r="C26" s="2" t="str">
        <f t="shared" si="2"/>
        <v>Matterhorn</v>
      </c>
      <c r="D26" s="36">
        <f t="shared" si="3"/>
        <v>115.54084629340073</v>
      </c>
      <c r="E26" s="30">
        <f t="shared" si="4"/>
        <v>115.54084629340073</v>
      </c>
      <c r="F26" s="8">
        <f t="shared" si="5"/>
        <v>12.5</v>
      </c>
      <c r="G26" s="30"/>
      <c r="H26" s="14"/>
      <c r="M26" t="s">
        <v>28</v>
      </c>
    </row>
    <row r="27" spans="1:39">
      <c r="A27" s="13">
        <v>13</v>
      </c>
      <c r="B27" s="13">
        <v>8</v>
      </c>
      <c r="C27" s="2" t="str">
        <f t="shared" si="2"/>
        <v>Mad Tea</v>
      </c>
      <c r="D27" s="36">
        <f t="shared" si="3"/>
        <v>63.794208341811625</v>
      </c>
      <c r="E27" s="30">
        <f t="shared" si="4"/>
        <v>63.794208341811625</v>
      </c>
      <c r="F27" s="8">
        <f t="shared" si="5"/>
        <v>15</v>
      </c>
      <c r="G27" s="30"/>
      <c r="H27" s="14"/>
      <c r="M27" t="s">
        <v>30</v>
      </c>
    </row>
    <row r="28" spans="1:39">
      <c r="A28" s="13">
        <v>14</v>
      </c>
      <c r="B28" s="13">
        <v>12</v>
      </c>
      <c r="C28" s="2" t="str">
        <f t="shared" si="2"/>
        <v>Toon Spin</v>
      </c>
      <c r="D28" s="36">
        <f t="shared" si="3"/>
        <v>196.24129880676139</v>
      </c>
      <c r="E28" s="30">
        <f t="shared" si="4"/>
        <v>196.24129880676139</v>
      </c>
      <c r="F28" s="8">
        <f t="shared" si="5"/>
        <v>17.5</v>
      </c>
      <c r="G28" s="30"/>
      <c r="H28" s="14"/>
      <c r="M28" t="s">
        <v>24</v>
      </c>
    </row>
    <row r="29" spans="1:39">
      <c r="A29" s="13">
        <v>15</v>
      </c>
      <c r="B29" s="13">
        <v>5</v>
      </c>
      <c r="C29" s="22" t="str">
        <f t="shared" si="2"/>
        <v>Alice in Wonderland</v>
      </c>
      <c r="D29" s="35">
        <f t="shared" si="3"/>
        <v>217.34893875517614</v>
      </c>
      <c r="E29" s="28">
        <f t="shared" si="4"/>
        <v>217.34893875517614</v>
      </c>
      <c r="F29" s="20">
        <f t="shared" si="5"/>
        <v>40</v>
      </c>
      <c r="G29" s="30"/>
      <c r="H29" s="14"/>
      <c r="M29" t="s">
        <v>26</v>
      </c>
    </row>
    <row r="30" spans="1:39">
      <c r="A30" s="13">
        <v>16</v>
      </c>
      <c r="B30" s="13">
        <v>7</v>
      </c>
      <c r="C30" s="2" t="str">
        <f t="shared" si="2"/>
        <v>Small World</v>
      </c>
      <c r="D30" s="36">
        <f t="shared" si="3"/>
        <v>146.08932876096961</v>
      </c>
      <c r="E30" s="30">
        <f t="shared" si="4"/>
        <v>146.08932876096961</v>
      </c>
      <c r="F30" s="1">
        <f t="shared" si="5"/>
        <v>20</v>
      </c>
      <c r="G30" s="30"/>
      <c r="H30" s="14"/>
      <c r="M30" t="s">
        <v>22</v>
      </c>
    </row>
    <row r="31" spans="1:39">
      <c r="A31" s="13">
        <v>17</v>
      </c>
      <c r="B31" s="13">
        <v>10</v>
      </c>
      <c r="C31" s="2" t="str">
        <f t="shared" si="2"/>
        <v>Peter Pan</v>
      </c>
      <c r="D31" s="36">
        <f t="shared" si="3"/>
        <v>178.79249083232051</v>
      </c>
      <c r="E31" s="30">
        <f t="shared" si="4"/>
        <v>178.79249083232051</v>
      </c>
      <c r="F31" s="1">
        <f t="shared" si="5"/>
        <v>40</v>
      </c>
      <c r="G31" s="30"/>
      <c r="H31" s="14"/>
    </row>
    <row r="32" spans="1:39">
      <c r="A32" s="13">
        <v>18</v>
      </c>
      <c r="B32" s="13">
        <v>11</v>
      </c>
      <c r="C32" s="19" t="str">
        <f t="shared" si="2"/>
        <v>Thunder Mtn</v>
      </c>
      <c r="D32" s="37">
        <f t="shared" si="3"/>
        <v>144.14840241197871</v>
      </c>
      <c r="E32" s="33">
        <f t="shared" si="4"/>
        <v>144.14840241197871</v>
      </c>
      <c r="F32" s="21">
        <f t="shared" si="5"/>
        <v>17.5</v>
      </c>
      <c r="G32" s="30"/>
      <c r="H32" s="14"/>
    </row>
    <row r="33" spans="1:19">
      <c r="A33" s="13">
        <v>19</v>
      </c>
      <c r="B33" s="13">
        <v>13</v>
      </c>
      <c r="C33" s="2" t="str">
        <f t="shared" si="2"/>
        <v>Haunted Mansion</v>
      </c>
      <c r="D33" s="36">
        <f t="shared" si="3"/>
        <v>229.52406256746684</v>
      </c>
      <c r="E33" s="30">
        <f t="shared" si="4"/>
        <v>229.52406256746684</v>
      </c>
      <c r="F33" s="8">
        <f t="shared" si="5"/>
        <v>12.5</v>
      </c>
      <c r="G33" s="30"/>
      <c r="H33" s="14"/>
    </row>
    <row r="34" spans="1:19">
      <c r="A34" s="13">
        <v>20</v>
      </c>
      <c r="B34" s="13">
        <v>14</v>
      </c>
      <c r="C34" s="2" t="str">
        <f t="shared" si="2"/>
        <v>Pirates</v>
      </c>
      <c r="D34" s="36">
        <f t="shared" si="3"/>
        <v>127.9721607205676</v>
      </c>
      <c r="E34" s="30">
        <f t="shared" si="4"/>
        <v>127.9721607205676</v>
      </c>
      <c r="F34" s="8">
        <f t="shared" si="5"/>
        <v>15</v>
      </c>
      <c r="G34" s="30"/>
      <c r="H34" s="14"/>
    </row>
    <row r="35" spans="1:19">
      <c r="A35" s="13">
        <v>21</v>
      </c>
      <c r="B35" s="13">
        <v>4</v>
      </c>
      <c r="C35" s="2" t="str">
        <f t="shared" si="2"/>
        <v>Splash Mtn</v>
      </c>
      <c r="D35" s="36">
        <f t="shared" si="3"/>
        <v>209.16282830150311</v>
      </c>
      <c r="E35" s="30">
        <f t="shared" si="4"/>
        <v>209.16282830150311</v>
      </c>
      <c r="F35" s="8">
        <f t="shared" si="5"/>
        <v>12.5</v>
      </c>
      <c r="G35" s="30"/>
      <c r="H35" s="14"/>
    </row>
    <row r="36" spans="1:19">
      <c r="A36" s="13">
        <v>22</v>
      </c>
      <c r="B36" s="13">
        <v>2</v>
      </c>
      <c r="C36" s="2" t="str">
        <f t="shared" si="2"/>
        <v>Jungle Cruise</v>
      </c>
      <c r="D36" s="36">
        <f t="shared" si="3"/>
        <v>273.1282170184997</v>
      </c>
      <c r="E36" s="30">
        <f t="shared" si="4"/>
        <v>273.1282170184997</v>
      </c>
      <c r="F36" s="8">
        <f t="shared" si="5"/>
        <v>5</v>
      </c>
      <c r="G36" s="30"/>
      <c r="H36" s="14"/>
    </row>
    <row r="37" spans="1:19">
      <c r="A37" s="13">
        <v>23</v>
      </c>
      <c r="B37" s="13">
        <v>1</v>
      </c>
      <c r="C37" s="2" t="str">
        <f t="shared" si="2"/>
        <v>Indian Jones</v>
      </c>
      <c r="D37" s="36">
        <f t="shared" si="3"/>
        <v>35.41571747416252</v>
      </c>
      <c r="E37" s="30">
        <f t="shared" si="4"/>
        <v>35.41571747416252</v>
      </c>
      <c r="F37" s="8">
        <f t="shared" si="5"/>
        <v>10</v>
      </c>
      <c r="G37" s="30"/>
      <c r="H37" s="14"/>
    </row>
    <row r="38" spans="1:19" ht="15" thickBot="1">
      <c r="A38" s="15">
        <v>24</v>
      </c>
      <c r="B38" s="15">
        <v>3</v>
      </c>
      <c r="C38" s="2" t="str">
        <f t="shared" si="2"/>
        <v>Tiki room</v>
      </c>
      <c r="D38" s="36">
        <f t="shared" si="3"/>
        <v>75.235308449802986</v>
      </c>
      <c r="E38" s="30">
        <f t="shared" si="4"/>
        <v>75.235308449802986</v>
      </c>
      <c r="F38" s="8">
        <f t="shared" si="5"/>
        <v>5</v>
      </c>
      <c r="G38" s="30"/>
      <c r="H38" s="14"/>
      <c r="J38">
        <f>D39-SUM(D29:D32)</f>
        <v>1765.4653865499558</v>
      </c>
      <c r="K38" t="s">
        <v>31</v>
      </c>
    </row>
    <row r="39" spans="1:19" ht="15">
      <c r="A39" s="12"/>
      <c r="B39" s="8"/>
      <c r="C39" s="8"/>
      <c r="D39" s="36">
        <f>SUM(D22:D38)</f>
        <v>2451.8445473104007</v>
      </c>
      <c r="E39" s="8"/>
      <c r="F39" s="8">
        <f>SUM(F22:F38)</f>
        <v>260</v>
      </c>
      <c r="G39" s="31"/>
      <c r="H39" s="44"/>
      <c r="J39">
        <f>F39-SUM(F29:F32)</f>
        <v>142.5</v>
      </c>
      <c r="K39" t="s">
        <v>32</v>
      </c>
    </row>
    <row r="40" spans="1:19">
      <c r="A40" s="12"/>
      <c r="B40" s="8" t="s">
        <v>3</v>
      </c>
      <c r="C40" s="8"/>
      <c r="D40" s="45">
        <v>0.9</v>
      </c>
      <c r="E40" s="8"/>
      <c r="F40" s="45">
        <v>0.1</v>
      </c>
      <c r="G40" s="8"/>
      <c r="H40" s="14"/>
    </row>
    <row r="41" spans="1:19">
      <c r="A41" s="12"/>
      <c r="B41" s="8"/>
      <c r="C41" s="8"/>
      <c r="D41" s="8"/>
      <c r="E41" s="8"/>
      <c r="F41" s="8"/>
      <c r="G41" s="8"/>
      <c r="H41" s="14"/>
    </row>
    <row r="42" spans="1:19" ht="15" thickBot="1">
      <c r="A42" s="41"/>
      <c r="B42" s="16"/>
      <c r="C42" s="46">
        <f>D40*D39</f>
        <v>2206.6600925793605</v>
      </c>
      <c r="D42" s="16"/>
      <c r="E42" s="16">
        <f>F40*F39</f>
        <v>26</v>
      </c>
      <c r="F42" s="16" t="s">
        <v>8</v>
      </c>
      <c r="G42" s="16"/>
      <c r="H42" s="47">
        <f>E42+C42</f>
        <v>2232.6600925793605</v>
      </c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</row>
  </sheetData>
  <scenarios current="0" show="0">
    <scenario name="Best Course" count="17" user="Jon Hager" comment="Created by Jon Hager on 5/8/2018">
      <inputCells r="B22" val="5"/>
      <inputCells r="B23" val="6"/>
      <inputCells r="B24" val="9"/>
      <inputCells r="B25" val="8"/>
      <inputCells r="B26" val="11"/>
      <inputCells r="B27" val="16"/>
      <inputCells r="B28" val="17"/>
      <inputCells r="B29" val="15"/>
      <inputCells r="B30" val="7"/>
      <inputCells r="B31" val="10"/>
      <inputCells r="B32" val="12"/>
      <inputCells r="B33" val="13"/>
      <inputCells r="B34" val="14"/>
      <inputCells r="B35" val="4"/>
      <inputCells r="B36" val="2"/>
      <inputCells r="B37" val="1"/>
      <inputCells r="B38" val="3"/>
    </scenario>
    <scenario name="Original" locked="1" count="17" user="Jon Hager" comment="Created by Jon Hager on 5/8/2018_x000a_Modified by Jon Hager on 5/8/2018">
      <inputCells r="B22" val="4"/>
      <inputCells r="B23" val="1"/>
      <inputCells r="B24" val="14"/>
      <inputCells r="B25" val="7"/>
      <inputCells r="B26" val="12"/>
      <inputCells r="B27" val="2"/>
      <inputCells r="B28" val="3"/>
      <inputCells r="B29" val="5"/>
      <inputCells r="B30" val="6"/>
      <inputCells r="B31" val="10"/>
      <inputCells r="B32" val="17"/>
      <inputCells r="B33" val="16"/>
      <inputCells r="B34" val="15"/>
      <inputCells r="B35" val="8"/>
      <inputCells r="B36" val="11"/>
      <inputCells r="B37" val="13"/>
      <inputCells r="B38" val="9"/>
    </scenario>
  </scenarios>
  <conditionalFormatting sqref="C22:C38">
    <cfRule type="expression" dxfId="4" priority="1">
      <formula>MATCH(C22,$M$22:$M$30,0)</formula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B31ACB-1129-4089-94BB-BBD75C3B62EA}">
  <sheetPr codeName="Sheet4"/>
  <dimension ref="A1:D17"/>
  <sheetViews>
    <sheetView workbookViewId="0">
      <selection activeCell="E30" sqref="E30"/>
    </sheetView>
  </sheetViews>
  <sheetFormatPr defaultRowHeight="14.25"/>
  <cols>
    <col min="2" max="2" width="17.25" bestFit="1" customWidth="1"/>
    <col min="3" max="3" width="9.875" bestFit="1" customWidth="1"/>
    <col min="4" max="4" width="11.5" bestFit="1" customWidth="1"/>
  </cols>
  <sheetData>
    <row r="1" spans="1:4">
      <c r="A1">
        <v>1</v>
      </c>
      <c r="B1" t="s">
        <v>39</v>
      </c>
      <c r="C1">
        <v>33.811404000000003</v>
      </c>
      <c r="D1">
        <v>-117.92035799999999</v>
      </c>
    </row>
    <row r="2" spans="1:4">
      <c r="A2">
        <v>2</v>
      </c>
      <c r="B2" t="s">
        <v>15</v>
      </c>
      <c r="C2">
        <v>33.811466000000003</v>
      </c>
      <c r="D2">
        <v>-117.919982</v>
      </c>
    </row>
    <row r="3" spans="1:4">
      <c r="A3">
        <v>3</v>
      </c>
      <c r="B3" t="s">
        <v>16</v>
      </c>
      <c r="C3">
        <v>33.811774999999997</v>
      </c>
      <c r="D3">
        <v>-117.91967699999999</v>
      </c>
    </row>
    <row r="4" spans="1:4">
      <c r="A4">
        <v>4</v>
      </c>
      <c r="B4" t="s">
        <v>17</v>
      </c>
      <c r="C4">
        <v>33.812258999999997</v>
      </c>
      <c r="D4">
        <v>-117.92278</v>
      </c>
    </row>
    <row r="5" spans="1:4">
      <c r="A5">
        <v>5</v>
      </c>
      <c r="B5" t="s">
        <v>18</v>
      </c>
      <c r="C5">
        <v>33.813315000000003</v>
      </c>
      <c r="D5">
        <v>-117.918296</v>
      </c>
    </row>
    <row r="6" spans="1:4">
      <c r="A6">
        <v>6</v>
      </c>
      <c r="B6" t="s">
        <v>19</v>
      </c>
      <c r="C6">
        <v>33.813699999999997</v>
      </c>
      <c r="D6">
        <v>-117.918888</v>
      </c>
    </row>
    <row r="7" spans="1:4">
      <c r="A7">
        <v>7</v>
      </c>
      <c r="B7" t="s">
        <v>20</v>
      </c>
      <c r="C7">
        <v>33.814573000000003</v>
      </c>
      <c r="D7">
        <v>-117.91784</v>
      </c>
    </row>
    <row r="8" spans="1:4">
      <c r="A8">
        <v>8</v>
      </c>
      <c r="B8" t="s">
        <v>21</v>
      </c>
      <c r="C8">
        <v>33.813509000000003</v>
      </c>
      <c r="D8">
        <v>-117.918341</v>
      </c>
    </row>
    <row r="9" spans="1:4">
      <c r="A9">
        <v>9</v>
      </c>
      <c r="B9" t="s">
        <v>22</v>
      </c>
      <c r="C9">
        <v>33.813076000000002</v>
      </c>
      <c r="D9">
        <v>-117.917888</v>
      </c>
    </row>
    <row r="10" spans="1:4">
      <c r="A10">
        <v>10</v>
      </c>
      <c r="B10" t="s">
        <v>23</v>
      </c>
      <c r="C10">
        <v>33.813205000000004</v>
      </c>
      <c r="D10">
        <v>-117.918857</v>
      </c>
    </row>
    <row r="11" spans="1:4">
      <c r="A11">
        <v>11</v>
      </c>
      <c r="B11" t="s">
        <v>24</v>
      </c>
      <c r="C11">
        <v>33.813229</v>
      </c>
      <c r="D11">
        <v>-117.920417</v>
      </c>
    </row>
    <row r="12" spans="1:4">
      <c r="A12">
        <v>12</v>
      </c>
      <c r="B12" t="s">
        <v>25</v>
      </c>
      <c r="C12">
        <v>33.815263999999999</v>
      </c>
      <c r="D12">
        <v>-117.918117</v>
      </c>
    </row>
    <row r="13" spans="1:4">
      <c r="A13">
        <v>13</v>
      </c>
      <c r="B13" t="s">
        <v>26</v>
      </c>
      <c r="C13">
        <v>33.811723000000001</v>
      </c>
      <c r="D13">
        <v>-117.922116</v>
      </c>
    </row>
    <row r="14" spans="1:4">
      <c r="A14">
        <v>14</v>
      </c>
      <c r="B14" t="s">
        <v>27</v>
      </c>
      <c r="C14">
        <v>33.811318999999997</v>
      </c>
      <c r="D14">
        <v>-117.92081899999999</v>
      </c>
    </row>
    <row r="15" spans="1:4">
      <c r="A15">
        <v>15</v>
      </c>
      <c r="B15" t="s">
        <v>28</v>
      </c>
      <c r="C15">
        <v>33.812175000000003</v>
      </c>
      <c r="D15">
        <v>-117.917979</v>
      </c>
    </row>
    <row r="16" spans="1:4">
      <c r="A16">
        <v>16</v>
      </c>
      <c r="B16" t="s">
        <v>29</v>
      </c>
      <c r="C16">
        <v>33.811390000000003</v>
      </c>
      <c r="D16">
        <v>-117.91726800000001</v>
      </c>
    </row>
    <row r="17" spans="1:4">
      <c r="A17">
        <v>17</v>
      </c>
      <c r="B17" t="s">
        <v>30</v>
      </c>
      <c r="C17">
        <v>33.811883000000002</v>
      </c>
      <c r="D17">
        <v>-117.91792</v>
      </c>
    </row>
  </sheetData>
  <sortState xmlns:xlrd2="http://schemas.microsoft.com/office/spreadsheetml/2017/richdata2" ref="A1:D17">
    <sortCondition ref="A1:A17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D8EFAA-7D00-4410-9761-438E610C7A7F}">
  <dimension ref="A1:O129"/>
  <sheetViews>
    <sheetView tabSelected="1" workbookViewId="0"/>
  </sheetViews>
  <sheetFormatPr defaultRowHeight="14.25"/>
  <sheetData>
    <row r="1" spans="1:15">
      <c r="C1" s="164" t="str">
        <f>'Scenario1-BestPath'!A21</f>
        <v>time factor</v>
      </c>
      <c r="D1" s="164" t="str">
        <f>'Scenario1-BestPath'!B21</f>
        <v>ride number</v>
      </c>
      <c r="E1" s="164" t="str">
        <f>'Scenario1-BestPath'!C21</f>
        <v>name</v>
      </c>
      <c r="F1" s="164" t="str">
        <f>'Scenario1-BestPath'!D21</f>
        <v>distance (abs)</v>
      </c>
      <c r="G1" s="164" t="str">
        <f>'Scenario1-BestPath'!E21</f>
        <v>distance</v>
      </c>
      <c r="H1" s="164" t="str">
        <f>'Scenario1-BestPath'!F21</f>
        <v>times</v>
      </c>
      <c r="I1" s="164">
        <f>'Scenario1-BestPath'!G21</f>
        <v>0</v>
      </c>
      <c r="J1" s="164">
        <f>'Scenario1-BestPath'!H21</f>
        <v>0</v>
      </c>
      <c r="K1" s="164" t="str">
        <f>'Scenario1-BestPath'!I21</f>
        <v>Line</v>
      </c>
      <c r="L1" s="164" t="str">
        <f>'Scenario1-BestPath'!J21</f>
        <v>Line Group (Path ID)</v>
      </c>
      <c r="M1" s="164" t="str">
        <f>'Scenario1-BestPath'!K21</f>
        <v>Order of Points</v>
      </c>
      <c r="N1" s="164" t="str">
        <f>'Scenario1-BestPath'!L21</f>
        <v>lat</v>
      </c>
      <c r="O1" s="164" t="str">
        <f>'Scenario1-BestPath'!M21</f>
        <v>long</v>
      </c>
    </row>
    <row r="2" spans="1:15">
      <c r="A2" s="165" t="s">
        <v>90</v>
      </c>
      <c r="B2" s="165" t="s">
        <v>86</v>
      </c>
      <c r="C2" s="164">
        <f>'Scenario1-BestPath'!A22</f>
        <v>8</v>
      </c>
      <c r="D2" s="164">
        <f>'Scenario1-BestPath'!B22</f>
        <v>11</v>
      </c>
      <c r="E2" s="164" t="str">
        <f>'Scenario1-BestPath'!C22</f>
        <v>Thunder Mtn</v>
      </c>
      <c r="F2" s="164">
        <f>'Scenario1-BestPath'!D22</f>
        <v>0</v>
      </c>
      <c r="G2" s="164">
        <f>'Scenario1-BestPath'!E22</f>
        <v>0</v>
      </c>
      <c r="H2" s="164">
        <f>'Scenario1-BestPath'!F22</f>
        <v>1.2048192771084338E-2</v>
      </c>
      <c r="I2" s="164">
        <f>'Scenario1-BestPath'!G22</f>
        <v>0</v>
      </c>
      <c r="J2" s="164">
        <f>'Scenario1-BestPath'!H22</f>
        <v>5</v>
      </c>
      <c r="K2" s="164">
        <f>'Scenario1-BestPath'!I22</f>
        <v>1</v>
      </c>
      <c r="L2" s="164">
        <f>'Scenario1-BestPath'!J22</f>
        <v>1</v>
      </c>
      <c r="M2" s="164">
        <f>'Scenario1-BestPath'!K22</f>
        <v>8</v>
      </c>
      <c r="N2" s="164">
        <f>'Scenario1-BestPath'!L22</f>
        <v>33.813229</v>
      </c>
      <c r="O2" s="164">
        <f>'Scenario1-BestPath'!M22</f>
        <v>-117.920417</v>
      </c>
    </row>
    <row r="3" spans="1:15">
      <c r="A3" s="165" t="s">
        <v>90</v>
      </c>
      <c r="B3" s="165" t="s">
        <v>86</v>
      </c>
      <c r="C3" s="164">
        <f>'Scenario1-BestPath'!A23</f>
        <v>9</v>
      </c>
      <c r="D3" s="164">
        <f>'Scenario1-BestPath'!B23</f>
        <v>12</v>
      </c>
      <c r="E3" s="164" t="str">
        <f>'Scenario1-BestPath'!C23</f>
        <v>Toon Spin</v>
      </c>
      <c r="F3" s="164">
        <f>'Scenario1-BestPath'!D23</f>
        <v>5.572497415185388E-2</v>
      </c>
      <c r="G3" s="164">
        <f>'Scenario1-BestPath'!E23</f>
        <v>5.572497415185388E-2</v>
      </c>
      <c r="H3" s="164">
        <f>'Scenario1-BestPath'!F23</f>
        <v>2.3529411764705882E-2</v>
      </c>
      <c r="I3" s="164">
        <f>'Scenario1-BestPath'!G23</f>
        <v>310.40995171196965</v>
      </c>
      <c r="J3" s="164">
        <f>'Scenario1-BestPath'!H23</f>
        <v>10</v>
      </c>
      <c r="K3" s="164">
        <f>'Scenario1-BestPath'!I23</f>
        <v>1</v>
      </c>
      <c r="L3" s="164">
        <f>'Scenario1-BestPath'!J23</f>
        <v>1</v>
      </c>
      <c r="M3" s="164">
        <f>'Scenario1-BestPath'!K23</f>
        <v>9</v>
      </c>
      <c r="N3" s="164">
        <f>'Scenario1-BestPath'!L23</f>
        <v>33.815263999999999</v>
      </c>
      <c r="O3" s="164">
        <f>'Scenario1-BestPath'!M23</f>
        <v>-117.918117</v>
      </c>
    </row>
    <row r="4" spans="1:15">
      <c r="A4" s="165" t="s">
        <v>90</v>
      </c>
      <c r="B4" s="165" t="s">
        <v>86</v>
      </c>
      <c r="C4" s="164">
        <f>'Scenario1-BestPath'!A24</f>
        <v>10</v>
      </c>
      <c r="D4" s="164">
        <f>'Scenario1-BestPath'!B24</f>
        <v>7</v>
      </c>
      <c r="E4" s="164" t="str">
        <f>'Scenario1-BestPath'!C24</f>
        <v>Small World</v>
      </c>
      <c r="F4" s="164">
        <f>'Scenario1-BestPath'!D24</f>
        <v>1.722571046413977E-2</v>
      </c>
      <c r="G4" s="164">
        <f>'Scenario1-BestPath'!E24</f>
        <v>1.722571046413977E-2</v>
      </c>
      <c r="H4" s="164">
        <f>'Scenario1-BestPath'!F24</f>
        <v>4.3478260869565216E-2</v>
      </c>
      <c r="I4" s="164">
        <f>'Scenario1-BestPath'!G24</f>
        <v>80.985227741250185</v>
      </c>
      <c r="J4" s="164">
        <f>'Scenario1-BestPath'!H24</f>
        <v>10</v>
      </c>
      <c r="K4" s="164">
        <f>'Scenario1-BestPath'!I24</f>
        <v>1</v>
      </c>
      <c r="L4" s="164">
        <f>'Scenario1-BestPath'!J24</f>
        <v>1</v>
      </c>
      <c r="M4" s="164">
        <f>'Scenario1-BestPath'!K24</f>
        <v>10</v>
      </c>
      <c r="N4" s="164">
        <f>'Scenario1-BestPath'!L24</f>
        <v>33.814573000000003</v>
      </c>
      <c r="O4" s="164">
        <f>'Scenario1-BestPath'!M24</f>
        <v>-117.91784</v>
      </c>
    </row>
    <row r="5" spans="1:15">
      <c r="A5" s="165" t="s">
        <v>90</v>
      </c>
      <c r="B5" s="165" t="s">
        <v>86</v>
      </c>
      <c r="C5" s="164">
        <f>'Scenario1-BestPath'!A25</f>
        <v>11</v>
      </c>
      <c r="D5" s="164">
        <f>'Scenario1-BestPath'!B25</f>
        <v>6</v>
      </c>
      <c r="E5" s="164" t="str">
        <f>'Scenario1-BestPath'!C25</f>
        <v>Dumbo</v>
      </c>
      <c r="F5" s="164">
        <f>'Scenario1-BestPath'!D25</f>
        <v>4.0988037398308211E-2</v>
      </c>
      <c r="G5" s="164">
        <f>'Scenario1-BestPath'!E25</f>
        <v>4.0988037398308211E-2</v>
      </c>
      <c r="H5" s="164">
        <f>'Scenario1-BestPath'!F25</f>
        <v>3.9577836411609502E-2</v>
      </c>
      <c r="I5" s="164">
        <f>'Scenario1-BestPath'!G25</f>
        <v>137.10365996034804</v>
      </c>
      <c r="J5" s="164">
        <f>'Scenario1-BestPath'!H25</f>
        <v>15.000000000000002</v>
      </c>
      <c r="K5" s="164">
        <f>'Scenario1-BestPath'!I25</f>
        <v>1</v>
      </c>
      <c r="L5" s="164">
        <f>'Scenario1-BestPath'!J25</f>
        <v>1</v>
      </c>
      <c r="M5" s="164">
        <f>'Scenario1-BestPath'!K25</f>
        <v>11</v>
      </c>
      <c r="N5" s="164">
        <f>'Scenario1-BestPath'!L25</f>
        <v>33.813699999999997</v>
      </c>
      <c r="O5" s="164">
        <f>'Scenario1-BestPath'!M25</f>
        <v>-117.918888</v>
      </c>
    </row>
    <row r="6" spans="1:15">
      <c r="A6" s="165" t="s">
        <v>90</v>
      </c>
      <c r="B6" s="165" t="s">
        <v>86</v>
      </c>
      <c r="C6" s="164">
        <f>'Scenario1-BestPath'!A26</f>
        <v>12</v>
      </c>
      <c r="D6" s="164">
        <f>'Scenario1-BestPath'!B26</f>
        <v>9</v>
      </c>
      <c r="E6" s="164" t="str">
        <f>'Scenario1-BestPath'!C26</f>
        <v>Matterhorn</v>
      </c>
      <c r="F6" s="164">
        <f>'Scenario1-BestPath'!D26</f>
        <v>3.4169011585670317E-2</v>
      </c>
      <c r="G6" s="164">
        <f>'Scenario1-BestPath'!E26</f>
        <v>3.4169011585670317E-2</v>
      </c>
      <c r="H6" s="164">
        <f>'Scenario1-BestPath'!F26</f>
        <v>0.04</v>
      </c>
      <c r="I6" s="164">
        <f>'Scenario1-BestPath'!G26</f>
        <v>115.54084629340073</v>
      </c>
      <c r="J6" s="164">
        <f>'Scenario1-BestPath'!H26</f>
        <v>25</v>
      </c>
      <c r="K6" s="164">
        <f>'Scenario1-BestPath'!I26</f>
        <v>1</v>
      </c>
      <c r="L6" s="164">
        <f>'Scenario1-BestPath'!J26</f>
        <v>1</v>
      </c>
      <c r="M6" s="164">
        <f>'Scenario1-BestPath'!K26</f>
        <v>12</v>
      </c>
      <c r="N6" s="164">
        <f>'Scenario1-BestPath'!L26</f>
        <v>33.813076000000002</v>
      </c>
      <c r="O6" s="164">
        <f>'Scenario1-BestPath'!M26</f>
        <v>-117.917888</v>
      </c>
    </row>
    <row r="7" spans="1:15">
      <c r="A7" s="165" t="s">
        <v>90</v>
      </c>
      <c r="B7" s="165" t="s">
        <v>86</v>
      </c>
      <c r="C7" s="164">
        <f>'Scenario1-BestPath'!A27</f>
        <v>13</v>
      </c>
      <c r="D7" s="164">
        <f>'Scenario1-BestPath'!B27</f>
        <v>8</v>
      </c>
      <c r="E7" s="164" t="str">
        <f>'Scenario1-BestPath'!C27</f>
        <v>Mad Tea</v>
      </c>
      <c r="F7" s="164">
        <f>'Scenario1-BestPath'!D27</f>
        <v>1.9454992196515256E-2</v>
      </c>
      <c r="G7" s="164">
        <f>'Scenario1-BestPath'!E27</f>
        <v>1.9454992196515256E-2</v>
      </c>
      <c r="H7" s="164">
        <f>'Scenario1-BestPath'!F27</f>
        <v>5.4545454545454543E-2</v>
      </c>
      <c r="I7" s="164">
        <f>'Scenario1-BestPath'!G27</f>
        <v>63.794208341811625</v>
      </c>
      <c r="J7" s="164">
        <f>'Scenario1-BestPath'!H27</f>
        <v>15</v>
      </c>
      <c r="K7" s="164">
        <f>'Scenario1-BestPath'!I27</f>
        <v>1</v>
      </c>
      <c r="L7" s="164">
        <f>'Scenario1-BestPath'!J27</f>
        <v>1</v>
      </c>
      <c r="M7" s="164">
        <f>'Scenario1-BestPath'!K27</f>
        <v>13</v>
      </c>
      <c r="N7" s="164">
        <f>'Scenario1-BestPath'!L27</f>
        <v>33.813509000000003</v>
      </c>
      <c r="O7" s="164">
        <f>'Scenario1-BestPath'!M27</f>
        <v>-117.918341</v>
      </c>
    </row>
    <row r="8" spans="1:15">
      <c r="A8" s="165" t="s">
        <v>90</v>
      </c>
      <c r="B8" s="165" t="s">
        <v>86</v>
      </c>
      <c r="C8" s="164">
        <f>'Scenario1-BestPath'!A28</f>
        <v>14</v>
      </c>
      <c r="D8" s="164">
        <f>'Scenario1-BestPath'!B28</f>
        <v>5</v>
      </c>
      <c r="E8" s="164" t="str">
        <f>'Scenario1-BestPath'!C28</f>
        <v>Alice in Wonderland</v>
      </c>
      <c r="F8" s="164">
        <f>'Scenario1-BestPath'!D28</f>
        <v>6.9044686187920493E-3</v>
      </c>
      <c r="G8" s="164">
        <f>'Scenario1-BestPath'!E28</f>
        <v>6.9044686187920493E-3</v>
      </c>
      <c r="H8" s="164">
        <f>'Scenario1-BestPath'!F28</f>
        <v>7.0175438596491224E-2</v>
      </c>
      <c r="I8" s="164">
        <f>'Scenario1-BestPath'!G28</f>
        <v>21.968778976333269</v>
      </c>
      <c r="J8" s="164">
        <f>'Scenario1-BestPath'!H28</f>
        <v>40</v>
      </c>
      <c r="K8" s="164">
        <f>'Scenario1-BestPath'!I28</f>
        <v>1</v>
      </c>
      <c r="L8" s="164">
        <f>'Scenario1-BestPath'!J28</f>
        <v>1</v>
      </c>
      <c r="M8" s="164">
        <f>'Scenario1-BestPath'!K28</f>
        <v>14</v>
      </c>
      <c r="N8" s="164">
        <f>'Scenario1-BestPath'!L28</f>
        <v>33.813315000000003</v>
      </c>
      <c r="O8" s="164">
        <f>'Scenario1-BestPath'!M28</f>
        <v>-117.918296</v>
      </c>
    </row>
    <row r="9" spans="1:15">
      <c r="A9" s="165" t="s">
        <v>90</v>
      </c>
      <c r="B9" s="165" t="s">
        <v>86</v>
      </c>
      <c r="C9" s="164">
        <f>'Scenario1-BestPath'!A29</f>
        <v>15</v>
      </c>
      <c r="D9" s="164">
        <f>'Scenario1-BestPath'!B29</f>
        <v>10</v>
      </c>
      <c r="E9" s="164" t="str">
        <f>'Scenario1-BestPath'!C29</f>
        <v>Peter Pan</v>
      </c>
      <c r="F9" s="164">
        <f>'Scenario1-BestPath'!D29</f>
        <v>1.7651267526811714E-2</v>
      </c>
      <c r="G9" s="164">
        <f>'Scenario1-BestPath'!E29</f>
        <v>1.7651267526811714E-2</v>
      </c>
      <c r="H9" s="164">
        <f>'Scenario1-BestPath'!F29</f>
        <v>6.3380281690140844E-2</v>
      </c>
      <c r="I9" s="164">
        <f>'Scenario1-BestPath'!G29</f>
        <v>53.25280228115453</v>
      </c>
      <c r="J9" s="164">
        <f>'Scenario1-BestPath'!H29</f>
        <v>45</v>
      </c>
      <c r="K9" s="164">
        <f>'Scenario1-BestPath'!I29</f>
        <v>1</v>
      </c>
      <c r="L9" s="164">
        <f>'Scenario1-BestPath'!J29</f>
        <v>1</v>
      </c>
      <c r="M9" s="164">
        <f>'Scenario1-BestPath'!K29</f>
        <v>15</v>
      </c>
      <c r="N9" s="164">
        <f>'Scenario1-BestPath'!L29</f>
        <v>33.813205000000004</v>
      </c>
      <c r="O9" s="164">
        <f>'Scenario1-BestPath'!M29</f>
        <v>-117.918857</v>
      </c>
    </row>
    <row r="10" spans="1:15">
      <c r="A10" s="165" t="s">
        <v>90</v>
      </c>
      <c r="B10" s="165" t="s">
        <v>86</v>
      </c>
      <c r="C10" s="164">
        <f>'Scenario1-BestPath'!A30</f>
        <v>16</v>
      </c>
      <c r="D10" s="164">
        <f>'Scenario1-BestPath'!B30</f>
        <v>16</v>
      </c>
      <c r="E10" s="164" t="str">
        <f>'Scenario1-BestPath'!C30</f>
        <v>Space Mtn</v>
      </c>
      <c r="F10" s="164">
        <f>'Scenario1-BestPath'!D30</f>
        <v>5.3859370950850576E-2</v>
      </c>
      <c r="G10" s="164">
        <f>'Scenario1-BestPath'!E30</f>
        <v>5.3859370950850576E-2</v>
      </c>
      <c r="H10" s="164">
        <f>'Scenario1-BestPath'!F30</f>
        <v>9.1463414634146339E-2</v>
      </c>
      <c r="I10" s="164">
        <f>'Scenario1-BestPath'!G30</f>
        <v>249.56439084237218</v>
      </c>
      <c r="J10" s="164">
        <f>'Scenario1-BestPath'!H30</f>
        <v>75</v>
      </c>
      <c r="K10" s="164">
        <f>'Scenario1-BestPath'!I30</f>
        <v>1</v>
      </c>
      <c r="L10" s="164">
        <f>'Scenario1-BestPath'!J30</f>
        <v>1</v>
      </c>
      <c r="M10" s="164">
        <f>'Scenario1-BestPath'!K30</f>
        <v>16</v>
      </c>
      <c r="N10" s="164">
        <f>'Scenario1-BestPath'!L30</f>
        <v>33.811390000000003</v>
      </c>
      <c r="O10" s="164">
        <f>'Scenario1-BestPath'!M30</f>
        <v>-117.91726800000001</v>
      </c>
    </row>
    <row r="11" spans="1:15">
      <c r="A11" s="165" t="s">
        <v>90</v>
      </c>
      <c r="B11" s="165" t="s">
        <v>86</v>
      </c>
      <c r="C11" s="164">
        <f>'Scenario1-BestPath'!A31</f>
        <v>17</v>
      </c>
      <c r="D11" s="164">
        <f>'Scenario1-BestPath'!B31</f>
        <v>17</v>
      </c>
      <c r="E11" s="164" t="str">
        <f>'Scenario1-BestPath'!C31</f>
        <v>Star Tours</v>
      </c>
      <c r="F11" s="164">
        <f>'Scenario1-BestPath'!D31</f>
        <v>2.2366467553544888E-2</v>
      </c>
      <c r="G11" s="164">
        <f>'Scenario1-BestPath'!E31</f>
        <v>2.2366467553544888E-2</v>
      </c>
      <c r="H11" s="164">
        <f>'Scenario1-BestPath'!F31</f>
        <v>7.3394495412844041E-2</v>
      </c>
      <c r="I11" s="164">
        <f>'Scenario1-BestPath'!G31</f>
        <v>81.447413962744818</v>
      </c>
      <c r="J11" s="164">
        <f>'Scenario1-BestPath'!H31</f>
        <v>40</v>
      </c>
      <c r="K11" s="164">
        <f>'Scenario1-BestPath'!I31</f>
        <v>1</v>
      </c>
      <c r="L11" s="164">
        <f>'Scenario1-BestPath'!J31</f>
        <v>1</v>
      </c>
      <c r="M11" s="164">
        <f>'Scenario1-BestPath'!K31</f>
        <v>17</v>
      </c>
      <c r="N11" s="164">
        <f>'Scenario1-BestPath'!L31</f>
        <v>33.811883000000002</v>
      </c>
      <c r="O11" s="164">
        <f>'Scenario1-BestPath'!M31</f>
        <v>-117.91792</v>
      </c>
    </row>
    <row r="12" spans="1:15">
      <c r="A12" s="165" t="s">
        <v>90</v>
      </c>
      <c r="B12" s="165" t="s">
        <v>86</v>
      </c>
      <c r="C12" s="164">
        <f>'Scenario1-BestPath'!A32</f>
        <v>18</v>
      </c>
      <c r="D12" s="164">
        <f>'Scenario1-BestPath'!B32</f>
        <v>15</v>
      </c>
      <c r="E12" s="164" t="str">
        <f>'Scenario1-BestPath'!C32</f>
        <v>Buzz Lightyear</v>
      </c>
      <c r="F12" s="164">
        <f>'Scenario1-BestPath'!D32</f>
        <v>9.6058656335458042E-3</v>
      </c>
      <c r="G12" s="164">
        <f>'Scenario1-BestPath'!E32</f>
        <v>9.6058656335458042E-3</v>
      </c>
      <c r="H12" s="164">
        <f>'Scenario1-BestPath'!F32</f>
        <v>6.7567567567567571E-2</v>
      </c>
      <c r="I12" s="164">
        <f>'Scenario1-BestPath'!G32</f>
        <v>32.923290655312897</v>
      </c>
      <c r="J12" s="164">
        <f>'Scenario1-BestPath'!H32</f>
        <v>25</v>
      </c>
      <c r="K12" s="164">
        <f>'Scenario1-BestPath'!I32</f>
        <v>1</v>
      </c>
      <c r="L12" s="164">
        <f>'Scenario1-BestPath'!J32</f>
        <v>1</v>
      </c>
      <c r="M12" s="164">
        <f>'Scenario1-BestPath'!K32</f>
        <v>18</v>
      </c>
      <c r="N12" s="164">
        <f>'Scenario1-BestPath'!L32</f>
        <v>33.812175000000003</v>
      </c>
      <c r="O12" s="164">
        <f>'Scenario1-BestPath'!M32</f>
        <v>-117.917979</v>
      </c>
    </row>
    <row r="13" spans="1:15">
      <c r="A13" s="165" t="s">
        <v>90</v>
      </c>
      <c r="B13" s="165" t="s">
        <v>86</v>
      </c>
      <c r="C13" s="164">
        <f>'Scenario1-BestPath'!A33</f>
        <v>19</v>
      </c>
      <c r="D13" s="164">
        <f>'Scenario1-BestPath'!B33</f>
        <v>3</v>
      </c>
      <c r="E13" s="164" t="str">
        <f>'Scenario1-BestPath'!C33</f>
        <v>Tiki room</v>
      </c>
      <c r="F13" s="164">
        <f>'Scenario1-BestPath'!D33</f>
        <v>4.9195690408532458E-2</v>
      </c>
      <c r="G13" s="164">
        <f>'Scenario1-BestPath'!E33</f>
        <v>4.9195690408532458E-2</v>
      </c>
      <c r="H13" s="164">
        <f>'Scenario1-BestPath'!F33</f>
        <v>6.0606060606060608E-2</v>
      </c>
      <c r="I13" s="164">
        <f>'Scenario1-BestPath'!G33</f>
        <v>163.05880626550467</v>
      </c>
      <c r="J13" s="164">
        <f>'Scenario1-BestPath'!H33</f>
        <v>10</v>
      </c>
      <c r="K13" s="164">
        <f>'Scenario1-BestPath'!I33</f>
        <v>1</v>
      </c>
      <c r="L13" s="164">
        <f>'Scenario1-BestPath'!J33</f>
        <v>1</v>
      </c>
      <c r="M13" s="164">
        <f>'Scenario1-BestPath'!K33</f>
        <v>19</v>
      </c>
      <c r="N13" s="164">
        <f>'Scenario1-BestPath'!L33</f>
        <v>33.811774999999997</v>
      </c>
      <c r="O13" s="164">
        <f>'Scenario1-BestPath'!M33</f>
        <v>-117.91967699999999</v>
      </c>
    </row>
    <row r="14" spans="1:15">
      <c r="A14" s="165" t="s">
        <v>90</v>
      </c>
      <c r="B14" s="165" t="s">
        <v>86</v>
      </c>
      <c r="C14" s="164">
        <f>'Scenario1-BestPath'!A34</f>
        <v>20</v>
      </c>
      <c r="D14" s="164">
        <f>'Scenario1-BestPath'!B34</f>
        <v>1</v>
      </c>
      <c r="E14" s="164" t="str">
        <f>'Scenario1-BestPath'!C34</f>
        <v>Indiana Jones</v>
      </c>
      <c r="F14" s="164">
        <f>'Scenario1-BestPath'!D34</f>
        <v>1.9643791909343934E-2</v>
      </c>
      <c r="G14" s="164">
        <f>'Scenario1-BestPath'!E34</f>
        <v>1.9643791909343934E-2</v>
      </c>
      <c r="H14" s="164">
        <f>'Scenario1-BestPath'!F34</f>
        <v>6.2068965517241378E-2</v>
      </c>
      <c r="I14" s="164">
        <f>'Scenario1-BestPath'!G34</f>
        <v>75.235308449802986</v>
      </c>
      <c r="J14" s="164">
        <f>'Scenario1-BestPath'!H34</f>
        <v>45</v>
      </c>
      <c r="K14" s="164">
        <f>'Scenario1-BestPath'!I34</f>
        <v>1</v>
      </c>
      <c r="L14" s="164">
        <f>'Scenario1-BestPath'!J34</f>
        <v>1</v>
      </c>
      <c r="M14" s="164">
        <f>'Scenario1-BestPath'!K34</f>
        <v>20</v>
      </c>
      <c r="N14" s="164">
        <f>'Scenario1-BestPath'!L34</f>
        <v>33.811404000000003</v>
      </c>
      <c r="O14" s="164">
        <f>'Scenario1-BestPath'!M34</f>
        <v>-117.92035799999999</v>
      </c>
    </row>
    <row r="15" spans="1:15">
      <c r="A15" s="165" t="s">
        <v>90</v>
      </c>
      <c r="B15" s="165" t="s">
        <v>86</v>
      </c>
      <c r="C15" s="164">
        <f>'Scenario1-BestPath'!A35</f>
        <v>21</v>
      </c>
      <c r="D15" s="164">
        <f>'Scenario1-BestPath'!B35</f>
        <v>14</v>
      </c>
      <c r="E15" s="164" t="str">
        <f>'Scenario1-BestPath'!C35</f>
        <v>Pirates</v>
      </c>
      <c r="F15" s="164">
        <f>'Scenario1-BestPath'!D35</f>
        <v>1.0336778634729865E-2</v>
      </c>
      <c r="G15" s="164">
        <f>'Scenario1-BestPath'!E35</f>
        <v>1.0336778634729865E-2</v>
      </c>
      <c r="H15" s="164">
        <f>'Scenario1-BestPath'!F35</f>
        <v>2.6315789473684209E-2</v>
      </c>
      <c r="I15" s="164">
        <f>'Scenario1-BestPath'!G35</f>
        <v>43.627434418712667</v>
      </c>
      <c r="J15" s="164">
        <f>'Scenario1-BestPath'!H35</f>
        <v>10</v>
      </c>
      <c r="K15" s="164">
        <f>'Scenario1-BestPath'!I35</f>
        <v>1</v>
      </c>
      <c r="L15" s="164">
        <f>'Scenario1-BestPath'!J35</f>
        <v>1</v>
      </c>
      <c r="M15" s="164">
        <f>'Scenario1-BestPath'!K35</f>
        <v>21</v>
      </c>
      <c r="N15" s="164">
        <f>'Scenario1-BestPath'!L35</f>
        <v>33.811318999999997</v>
      </c>
      <c r="O15" s="164">
        <f>'Scenario1-BestPath'!M35</f>
        <v>-117.92081899999999</v>
      </c>
    </row>
    <row r="16" spans="1:15">
      <c r="A16" s="165" t="s">
        <v>90</v>
      </c>
      <c r="B16" s="165" t="s">
        <v>86</v>
      </c>
      <c r="C16" s="164">
        <f>'Scenario1-BestPath'!A36</f>
        <v>22</v>
      </c>
      <c r="D16" s="164">
        <f>'Scenario1-BestPath'!B36</f>
        <v>2</v>
      </c>
      <c r="E16" s="164" t="str">
        <f>'Scenario1-BestPath'!C36</f>
        <v>Jungle Cruise</v>
      </c>
      <c r="F16" s="164">
        <f>'Scenario1-BestPath'!D36</f>
        <v>2.1857505644037514E-2</v>
      </c>
      <c r="G16" s="164">
        <f>'Scenario1-BestPath'!E36</f>
        <v>2.1857505644037514E-2</v>
      </c>
      <c r="H16" s="164">
        <f>'Scenario1-BestPath'!F36</f>
        <v>1.9607843137254902E-2</v>
      </c>
      <c r="I16" s="164">
        <f>'Scenario1-BestPath'!G36</f>
        <v>79.03822260954027</v>
      </c>
      <c r="J16" s="164">
        <f>'Scenario1-BestPath'!H36</f>
        <v>5</v>
      </c>
      <c r="K16" s="164">
        <f>'Scenario1-BestPath'!I36</f>
        <v>1</v>
      </c>
      <c r="L16" s="164">
        <f>'Scenario1-BestPath'!J36</f>
        <v>1</v>
      </c>
      <c r="M16" s="164">
        <f>'Scenario1-BestPath'!K36</f>
        <v>22</v>
      </c>
      <c r="N16" s="164">
        <f>'Scenario1-BestPath'!L36</f>
        <v>33.811466000000003</v>
      </c>
      <c r="O16" s="164">
        <f>'Scenario1-BestPath'!M36</f>
        <v>-117.919982</v>
      </c>
    </row>
    <row r="17" spans="1:15">
      <c r="A17" s="165" t="s">
        <v>90</v>
      </c>
      <c r="B17" s="165" t="s">
        <v>86</v>
      </c>
      <c r="C17" s="164">
        <f>'Scenario1-BestPath'!A37</f>
        <v>23</v>
      </c>
      <c r="D17" s="164">
        <f>'Scenario1-BestPath'!B37</f>
        <v>4</v>
      </c>
      <c r="E17" s="164" t="str">
        <f>'Scenario1-BestPath'!C37</f>
        <v>Splash Mtn</v>
      </c>
      <c r="F17" s="164">
        <f>'Scenario1-BestPath'!D37</f>
        <v>4.6106558172381198E-2</v>
      </c>
      <c r="G17" s="164">
        <f>'Scenario1-BestPath'!E37</f>
        <v>4.6106558172381198E-2</v>
      </c>
      <c r="H17" s="164">
        <f>'Scenario1-BestPath'!F37</f>
        <v>1.9047619047619049E-2</v>
      </c>
      <c r="I17" s="164">
        <f>'Scenario1-BestPath'!G37</f>
        <v>273.1282170184997</v>
      </c>
      <c r="J17" s="164">
        <f>'Scenario1-BestPath'!H37</f>
        <v>10.000000000000002</v>
      </c>
      <c r="K17" s="164">
        <f>'Scenario1-BestPath'!I37</f>
        <v>1</v>
      </c>
      <c r="L17" s="164">
        <f>'Scenario1-BestPath'!J37</f>
        <v>1</v>
      </c>
      <c r="M17" s="164">
        <f>'Scenario1-BestPath'!K37</f>
        <v>23</v>
      </c>
      <c r="N17" s="164">
        <f>'Scenario1-BestPath'!L37</f>
        <v>33.812258999999997</v>
      </c>
      <c r="O17" s="164">
        <f>'Scenario1-BestPath'!M37</f>
        <v>-117.92278</v>
      </c>
    </row>
    <row r="18" spans="1:15">
      <c r="A18" s="165" t="s">
        <v>90</v>
      </c>
      <c r="B18" s="165" t="s">
        <v>86</v>
      </c>
      <c r="C18" s="164">
        <f>'Scenario1-BestPath'!A38</f>
        <v>24</v>
      </c>
      <c r="D18" s="164">
        <f>'Scenario1-BestPath'!B38</f>
        <v>13</v>
      </c>
      <c r="E18" s="164" t="str">
        <f>'Scenario1-BestPath'!C38</f>
        <v>Haunted Mansion</v>
      </c>
      <c r="F18" s="164">
        <f>'Scenario1-BestPath'!D38</f>
        <v>1.6348341587255268E-2</v>
      </c>
      <c r="G18" s="164">
        <f>'Scenario1-BestPath'!E38</f>
        <v>1.6348341587255268E-2</v>
      </c>
      <c r="H18" s="164">
        <f>'Scenario1-BestPath'!F38</f>
        <v>1.2345679012345678E-2</v>
      </c>
      <c r="I18" s="164">
        <f>'Scenario1-BestPath'!G38</f>
        <v>85.530866119049492</v>
      </c>
      <c r="J18" s="164">
        <f>'Scenario1-BestPath'!H38</f>
        <v>5</v>
      </c>
      <c r="K18" s="164">
        <f>'Scenario1-BestPath'!I38</f>
        <v>1</v>
      </c>
      <c r="L18" s="164">
        <f>'Scenario1-BestPath'!J38</f>
        <v>1</v>
      </c>
      <c r="M18" s="164">
        <f>'Scenario1-BestPath'!K38</f>
        <v>24</v>
      </c>
      <c r="N18" s="164">
        <f>'Scenario1-BestPath'!L38</f>
        <v>33.811723000000001</v>
      </c>
      <c r="O18" s="164">
        <f>'Scenario1-BestPath'!M38</f>
        <v>-117.922116</v>
      </c>
    </row>
    <row r="19" spans="1:15">
      <c r="A19" s="165" t="s">
        <v>90</v>
      </c>
      <c r="B19" s="165" t="s">
        <v>87</v>
      </c>
      <c r="C19" s="164">
        <f>'Scenario2-MinWalk'!A22</f>
        <v>8</v>
      </c>
      <c r="D19" s="164">
        <f>'Scenario2-MinWalk'!B22</f>
        <v>16</v>
      </c>
      <c r="E19" s="164" t="str">
        <f>'Scenario2-MinWalk'!C22</f>
        <v>Space Mtn</v>
      </c>
      <c r="F19" s="164">
        <f>'Scenario2-MinWalk'!D22</f>
        <v>0</v>
      </c>
      <c r="G19" s="164">
        <f>'Scenario2-MinWalk'!E22</f>
        <v>0</v>
      </c>
      <c r="H19" s="164">
        <f>'Scenario2-MinWalk'!F22</f>
        <v>1.8292682926829267E-2</v>
      </c>
      <c r="I19" s="164">
        <f>'Scenario2-MinWalk'!G22</f>
        <v>0</v>
      </c>
      <c r="J19" s="164">
        <f>'Scenario2-MinWalk'!H22</f>
        <v>14.999999999999998</v>
      </c>
      <c r="K19" s="164">
        <f>'Scenario2-MinWalk'!I22</f>
        <v>1</v>
      </c>
      <c r="L19" s="164">
        <f>'Scenario2-MinWalk'!J22</f>
        <v>1</v>
      </c>
      <c r="M19" s="164">
        <f>'Scenario2-MinWalk'!K22</f>
        <v>8</v>
      </c>
      <c r="N19" s="164">
        <f>'Scenario2-MinWalk'!L22</f>
        <v>33.811390000000003</v>
      </c>
      <c r="O19" s="164">
        <f>'Scenario2-MinWalk'!M22</f>
        <v>-117.91726800000001</v>
      </c>
    </row>
    <row r="20" spans="1:15">
      <c r="A20" s="165" t="s">
        <v>90</v>
      </c>
      <c r="B20" s="165" t="s">
        <v>87</v>
      </c>
      <c r="C20" s="164">
        <f>'Scenario2-MinWalk'!A23</f>
        <v>9</v>
      </c>
      <c r="D20" s="164">
        <f>'Scenario2-MinWalk'!B23</f>
        <v>17</v>
      </c>
      <c r="E20" s="164" t="str">
        <f>'Scenario2-MinWalk'!C23</f>
        <v>Star Tours</v>
      </c>
      <c r="F20" s="164">
        <f>'Scenario2-MinWalk'!D23</f>
        <v>2.2366467553544888E-2</v>
      </c>
      <c r="G20" s="164">
        <f>'Scenario2-MinWalk'!E23</f>
        <v>2.2366467553544888E-2</v>
      </c>
      <c r="H20" s="164">
        <f>'Scenario2-MinWalk'!F23</f>
        <v>3.669724770642202E-2</v>
      </c>
      <c r="I20" s="164">
        <f>'Scenario2-MinWalk'!G23</f>
        <v>81.447413962744818</v>
      </c>
      <c r="J20" s="164">
        <f>'Scenario2-MinWalk'!H23</f>
        <v>20</v>
      </c>
      <c r="K20" s="164">
        <f>'Scenario2-MinWalk'!I23</f>
        <v>1</v>
      </c>
      <c r="L20" s="164">
        <f>'Scenario2-MinWalk'!J23</f>
        <v>1</v>
      </c>
      <c r="M20" s="164">
        <f>'Scenario2-MinWalk'!K23</f>
        <v>9</v>
      </c>
      <c r="N20" s="164">
        <f>'Scenario2-MinWalk'!L23</f>
        <v>33.811883000000002</v>
      </c>
      <c r="O20" s="164">
        <f>'Scenario2-MinWalk'!M23</f>
        <v>-117.91792</v>
      </c>
    </row>
    <row r="21" spans="1:15">
      <c r="A21" s="165" t="s">
        <v>90</v>
      </c>
      <c r="B21" s="165" t="s">
        <v>87</v>
      </c>
      <c r="C21" s="164">
        <f>'Scenario2-MinWalk'!A24</f>
        <v>10</v>
      </c>
      <c r="D21" s="164">
        <f>'Scenario2-MinWalk'!B24</f>
        <v>15</v>
      </c>
      <c r="E21" s="164" t="str">
        <f>'Scenario2-MinWalk'!C24</f>
        <v>Buzz Lightyear</v>
      </c>
      <c r="F21" s="164">
        <f>'Scenario2-MinWalk'!D24</f>
        <v>9.6058656335458042E-3</v>
      </c>
      <c r="G21" s="164">
        <f>'Scenario2-MinWalk'!E24</f>
        <v>9.6058656335458042E-3</v>
      </c>
      <c r="H21" s="164">
        <f>'Scenario2-MinWalk'!F24</f>
        <v>6.7567567567567571E-2</v>
      </c>
      <c r="I21" s="164">
        <f>'Scenario2-MinWalk'!G24</f>
        <v>32.923290655312897</v>
      </c>
      <c r="J21" s="164">
        <f>'Scenario2-MinWalk'!H24</f>
        <v>25</v>
      </c>
      <c r="K21" s="164">
        <f>'Scenario2-MinWalk'!I24</f>
        <v>1</v>
      </c>
      <c r="L21" s="164">
        <f>'Scenario2-MinWalk'!J24</f>
        <v>1</v>
      </c>
      <c r="M21" s="164">
        <f>'Scenario2-MinWalk'!K24</f>
        <v>10</v>
      </c>
      <c r="N21" s="164">
        <f>'Scenario2-MinWalk'!L24</f>
        <v>33.812175000000003</v>
      </c>
      <c r="O21" s="164">
        <f>'Scenario2-MinWalk'!M24</f>
        <v>-117.917979</v>
      </c>
    </row>
    <row r="22" spans="1:15">
      <c r="A22" s="165" t="s">
        <v>90</v>
      </c>
      <c r="B22" s="165" t="s">
        <v>87</v>
      </c>
      <c r="C22" s="164">
        <f>'Scenario2-MinWalk'!A25</f>
        <v>11</v>
      </c>
      <c r="D22" s="164">
        <f>'Scenario2-MinWalk'!B25</f>
        <v>9</v>
      </c>
      <c r="E22" s="164" t="str">
        <f>'Scenario2-MinWalk'!C25</f>
        <v>Matterhorn</v>
      </c>
      <c r="F22" s="164">
        <f>'Scenario2-MinWalk'!D25</f>
        <v>2.9732430251815069E-2</v>
      </c>
      <c r="G22" s="164">
        <f>'Scenario2-MinWalk'!E25</f>
        <v>2.9732430251815069E-2</v>
      </c>
      <c r="H22" s="164">
        <f>'Scenario2-MinWalk'!F25</f>
        <v>3.2000000000000001E-2</v>
      </c>
      <c r="I22" s="164">
        <f>'Scenario2-MinWalk'!G25</f>
        <v>100.53876287995733</v>
      </c>
      <c r="J22" s="164">
        <f>'Scenario2-MinWalk'!H25</f>
        <v>20</v>
      </c>
      <c r="K22" s="164">
        <f>'Scenario2-MinWalk'!I25</f>
        <v>1</v>
      </c>
      <c r="L22" s="164">
        <f>'Scenario2-MinWalk'!J25</f>
        <v>1</v>
      </c>
      <c r="M22" s="164">
        <f>'Scenario2-MinWalk'!K25</f>
        <v>11</v>
      </c>
      <c r="N22" s="164">
        <f>'Scenario2-MinWalk'!L25</f>
        <v>33.813076000000002</v>
      </c>
      <c r="O22" s="164">
        <f>'Scenario2-MinWalk'!M25</f>
        <v>-117.917888</v>
      </c>
    </row>
    <row r="23" spans="1:15">
      <c r="A23" s="165" t="s">
        <v>90</v>
      </c>
      <c r="B23" s="165" t="s">
        <v>87</v>
      </c>
      <c r="C23" s="164">
        <f>'Scenario2-MinWalk'!A26</f>
        <v>12</v>
      </c>
      <c r="D23" s="164">
        <f>'Scenario2-MinWalk'!B26</f>
        <v>5</v>
      </c>
      <c r="E23" s="164" t="str">
        <f>'Scenario2-MinWalk'!C26</f>
        <v>Alice in Wonderland</v>
      </c>
      <c r="F23" s="164">
        <f>'Scenario2-MinWalk'!D26</f>
        <v>1.4494974915072205E-2</v>
      </c>
      <c r="G23" s="164">
        <f>'Scenario2-MinWalk'!E26</f>
        <v>1.4494974915072205E-2</v>
      </c>
      <c r="H23" s="164">
        <f>'Scenario2-MinWalk'!F26</f>
        <v>7.0175438596491224E-2</v>
      </c>
      <c r="I23" s="164">
        <f>'Scenario2-MinWalk'!G26</f>
        <v>46.120406617537434</v>
      </c>
      <c r="J23" s="164">
        <f>'Scenario2-MinWalk'!H26</f>
        <v>40</v>
      </c>
      <c r="K23" s="164">
        <f>'Scenario2-MinWalk'!I26</f>
        <v>1</v>
      </c>
      <c r="L23" s="164">
        <f>'Scenario2-MinWalk'!J26</f>
        <v>1</v>
      </c>
      <c r="M23" s="164">
        <f>'Scenario2-MinWalk'!K26</f>
        <v>12</v>
      </c>
      <c r="N23" s="164">
        <f>'Scenario2-MinWalk'!L26</f>
        <v>33.813315000000003</v>
      </c>
      <c r="O23" s="164">
        <f>'Scenario2-MinWalk'!M26</f>
        <v>-117.918296</v>
      </c>
    </row>
    <row r="24" spans="1:15">
      <c r="A24" s="165" t="s">
        <v>90</v>
      </c>
      <c r="B24" s="165" t="s">
        <v>87</v>
      </c>
      <c r="C24" s="164">
        <f>'Scenario2-MinWalk'!A27</f>
        <v>13</v>
      </c>
      <c r="D24" s="164">
        <f>'Scenario2-MinWalk'!B27</f>
        <v>8</v>
      </c>
      <c r="E24" s="164" t="str">
        <f>'Scenario2-MinWalk'!C27</f>
        <v>Mad Tea</v>
      </c>
      <c r="F24" s="164">
        <f>'Scenario2-MinWalk'!D27</f>
        <v>6.6997057360049812E-3</v>
      </c>
      <c r="G24" s="164">
        <f>'Scenario2-MinWalk'!E27</f>
        <v>6.6997057360049812E-3</v>
      </c>
      <c r="H24" s="164">
        <f>'Scenario2-MinWalk'!F27</f>
        <v>5.4545454545454543E-2</v>
      </c>
      <c r="I24" s="164">
        <f>'Scenario2-MinWalk'!G27</f>
        <v>21.968778976333269</v>
      </c>
      <c r="J24" s="164">
        <f>'Scenario2-MinWalk'!H27</f>
        <v>15</v>
      </c>
      <c r="K24" s="164">
        <f>'Scenario2-MinWalk'!I27</f>
        <v>1</v>
      </c>
      <c r="L24" s="164">
        <f>'Scenario2-MinWalk'!J27</f>
        <v>1</v>
      </c>
      <c r="M24" s="164">
        <f>'Scenario2-MinWalk'!K27</f>
        <v>13</v>
      </c>
      <c r="N24" s="164">
        <f>'Scenario2-MinWalk'!L27</f>
        <v>33.813509000000003</v>
      </c>
      <c r="O24" s="164">
        <f>'Scenario2-MinWalk'!M27</f>
        <v>-117.918341</v>
      </c>
    </row>
    <row r="25" spans="1:15">
      <c r="A25" s="165" t="s">
        <v>90</v>
      </c>
      <c r="B25" s="165" t="s">
        <v>87</v>
      </c>
      <c r="C25" s="164">
        <f>'Scenario2-MinWalk'!A28</f>
        <v>14</v>
      </c>
      <c r="D25" s="164">
        <f>'Scenario2-MinWalk'!B28</f>
        <v>12</v>
      </c>
      <c r="E25" s="164" t="str">
        <f>'Scenario2-MinWalk'!C28</f>
        <v>Toon Spin</v>
      </c>
      <c r="F25" s="164">
        <f>'Scenario2-MinWalk'!D28</f>
        <v>3.5229351517956919E-2</v>
      </c>
      <c r="G25" s="164">
        <f>'Scenario2-MinWalk'!E28</f>
        <v>3.5229351517956919E-2</v>
      </c>
      <c r="H25" s="164">
        <f>'Scenario2-MinWalk'!F28</f>
        <v>8.2352941176470587E-2</v>
      </c>
      <c r="I25" s="164">
        <f>'Scenario2-MinWalk'!G28</f>
        <v>196.24129880676139</v>
      </c>
      <c r="J25" s="164">
        <f>'Scenario2-MinWalk'!H28</f>
        <v>35</v>
      </c>
      <c r="K25" s="164">
        <f>'Scenario2-MinWalk'!I28</f>
        <v>1</v>
      </c>
      <c r="L25" s="164">
        <f>'Scenario2-MinWalk'!J28</f>
        <v>1</v>
      </c>
      <c r="M25" s="164">
        <f>'Scenario2-MinWalk'!K28</f>
        <v>14</v>
      </c>
      <c r="N25" s="164">
        <f>'Scenario2-MinWalk'!L28</f>
        <v>33.815263999999999</v>
      </c>
      <c r="O25" s="164">
        <f>'Scenario2-MinWalk'!M28</f>
        <v>-117.918117</v>
      </c>
    </row>
    <row r="26" spans="1:15">
      <c r="A26" s="165" t="s">
        <v>90</v>
      </c>
      <c r="B26" s="165" t="s">
        <v>87</v>
      </c>
      <c r="C26" s="164">
        <f>'Scenario2-MinWalk'!A29</f>
        <v>15</v>
      </c>
      <c r="D26" s="164">
        <f>'Scenario2-MinWalk'!B29</f>
        <v>7</v>
      </c>
      <c r="E26" s="164" t="str">
        <f>'Scenario2-MinWalk'!C29</f>
        <v>Small World</v>
      </c>
      <c r="F26" s="164">
        <f>'Scenario2-MinWalk'!D29</f>
        <v>1.722571046413977E-2</v>
      </c>
      <c r="G26" s="164">
        <f>'Scenario2-MinWalk'!E29</f>
        <v>1.722571046413977E-2</v>
      </c>
      <c r="H26" s="164">
        <f>'Scenario2-MinWalk'!F29</f>
        <v>8.6956521739130432E-2</v>
      </c>
      <c r="I26" s="164">
        <f>'Scenario2-MinWalk'!G29</f>
        <v>80.985227741250185</v>
      </c>
      <c r="J26" s="164">
        <f>'Scenario2-MinWalk'!H29</f>
        <v>20</v>
      </c>
      <c r="K26" s="164">
        <f>'Scenario2-MinWalk'!I29</f>
        <v>1</v>
      </c>
      <c r="L26" s="164">
        <f>'Scenario2-MinWalk'!J29</f>
        <v>1</v>
      </c>
      <c r="M26" s="164">
        <f>'Scenario2-MinWalk'!K29</f>
        <v>15</v>
      </c>
      <c r="N26" s="164">
        <f>'Scenario2-MinWalk'!L29</f>
        <v>33.814573000000003</v>
      </c>
      <c r="O26" s="164">
        <f>'Scenario2-MinWalk'!M29</f>
        <v>-117.91784</v>
      </c>
    </row>
    <row r="27" spans="1:15">
      <c r="A27" s="165" t="s">
        <v>90</v>
      </c>
      <c r="B27" s="165" t="s">
        <v>87</v>
      </c>
      <c r="C27" s="164">
        <f>'Scenario2-MinWalk'!A30</f>
        <v>16</v>
      </c>
      <c r="D27" s="164">
        <f>'Scenario2-MinWalk'!B30</f>
        <v>6</v>
      </c>
      <c r="E27" s="164" t="str">
        <f>'Scenario2-MinWalk'!C30</f>
        <v>Dumbo</v>
      </c>
      <c r="F27" s="164">
        <f>'Scenario2-MinWalk'!D30</f>
        <v>4.0988037398308211E-2</v>
      </c>
      <c r="G27" s="164">
        <f>'Scenario2-MinWalk'!E30</f>
        <v>4.0988037398308211E-2</v>
      </c>
      <c r="H27" s="164">
        <f>'Scenario2-MinWalk'!F30</f>
        <v>7.9155672823219003E-2</v>
      </c>
      <c r="I27" s="164">
        <f>'Scenario2-MinWalk'!G30</f>
        <v>137.10365996034804</v>
      </c>
      <c r="J27" s="164">
        <f>'Scenario2-MinWalk'!H30</f>
        <v>30.000000000000004</v>
      </c>
      <c r="K27" s="164">
        <f>'Scenario2-MinWalk'!I30</f>
        <v>1</v>
      </c>
      <c r="L27" s="164">
        <f>'Scenario2-MinWalk'!J30</f>
        <v>1</v>
      </c>
      <c r="M27" s="164">
        <f>'Scenario2-MinWalk'!K30</f>
        <v>16</v>
      </c>
      <c r="N27" s="164">
        <f>'Scenario2-MinWalk'!L30</f>
        <v>33.813699999999997</v>
      </c>
      <c r="O27" s="164">
        <f>'Scenario2-MinWalk'!M30</f>
        <v>-117.918888</v>
      </c>
    </row>
    <row r="28" spans="1:15">
      <c r="A28" s="165" t="s">
        <v>90</v>
      </c>
      <c r="B28" s="165" t="s">
        <v>87</v>
      </c>
      <c r="C28" s="164">
        <f>'Scenario2-MinWalk'!A31</f>
        <v>17</v>
      </c>
      <c r="D28" s="164">
        <f>'Scenario2-MinWalk'!B31</f>
        <v>10</v>
      </c>
      <c r="E28" s="164" t="str">
        <f>'Scenario2-MinWalk'!C31</f>
        <v>Peter Pan</v>
      </c>
      <c r="F28" s="164">
        <f>'Scenario2-MinWalk'!D31</f>
        <v>1.8268829617316084E-2</v>
      </c>
      <c r="G28" s="164">
        <f>'Scenario2-MinWalk'!E31</f>
        <v>1.8268829617316084E-2</v>
      </c>
      <c r="H28" s="164">
        <f>'Scenario2-MinWalk'!F31</f>
        <v>5.6338028169014086E-2</v>
      </c>
      <c r="I28" s="164">
        <f>'Scenario2-MinWalk'!G31</f>
        <v>55.11594960765737</v>
      </c>
      <c r="J28" s="164">
        <f>'Scenario2-MinWalk'!H31</f>
        <v>40</v>
      </c>
      <c r="K28" s="164">
        <f>'Scenario2-MinWalk'!I31</f>
        <v>1</v>
      </c>
      <c r="L28" s="164">
        <f>'Scenario2-MinWalk'!J31</f>
        <v>1</v>
      </c>
      <c r="M28" s="164">
        <f>'Scenario2-MinWalk'!K31</f>
        <v>17</v>
      </c>
      <c r="N28" s="164">
        <f>'Scenario2-MinWalk'!L31</f>
        <v>33.813205000000004</v>
      </c>
      <c r="O28" s="164">
        <f>'Scenario2-MinWalk'!M31</f>
        <v>-117.918857</v>
      </c>
    </row>
    <row r="29" spans="1:15">
      <c r="A29" s="165" t="s">
        <v>90</v>
      </c>
      <c r="B29" s="165" t="s">
        <v>87</v>
      </c>
      <c r="C29" s="164">
        <f>'Scenario2-MinWalk'!A32</f>
        <v>18</v>
      </c>
      <c r="D29" s="164">
        <f>'Scenario2-MinWalk'!B32</f>
        <v>11</v>
      </c>
      <c r="E29" s="164" t="str">
        <f>'Scenario2-MinWalk'!C32</f>
        <v>Thunder Mtn</v>
      </c>
      <c r="F29" s="164">
        <f>'Scenario2-MinWalk'!D32</f>
        <v>3.9354063672278637E-2</v>
      </c>
      <c r="G29" s="164">
        <f>'Scenario2-MinWalk'!E32</f>
        <v>3.9354063672278637E-2</v>
      </c>
      <c r="H29" s="164">
        <f>'Scenario2-MinWalk'!F32</f>
        <v>8.4337349397590355E-2</v>
      </c>
      <c r="I29" s="164">
        <f>'Scenario2-MinWalk'!G32</f>
        <v>144.14840241197871</v>
      </c>
      <c r="J29" s="164">
        <f>'Scenario2-MinWalk'!H32</f>
        <v>35</v>
      </c>
      <c r="K29" s="164">
        <f>'Scenario2-MinWalk'!I32</f>
        <v>1</v>
      </c>
      <c r="L29" s="164">
        <f>'Scenario2-MinWalk'!J32</f>
        <v>1</v>
      </c>
      <c r="M29" s="164">
        <f>'Scenario2-MinWalk'!K32</f>
        <v>18</v>
      </c>
      <c r="N29" s="164">
        <f>'Scenario2-MinWalk'!L32</f>
        <v>33.813229</v>
      </c>
      <c r="O29" s="164">
        <f>'Scenario2-MinWalk'!M32</f>
        <v>-117.920417</v>
      </c>
    </row>
    <row r="30" spans="1:15">
      <c r="A30" s="165" t="s">
        <v>90</v>
      </c>
      <c r="B30" s="165" t="s">
        <v>87</v>
      </c>
      <c r="C30" s="164">
        <f>'Scenario2-MinWalk'!A33</f>
        <v>19</v>
      </c>
      <c r="D30" s="164">
        <f>'Scenario2-MinWalk'!B33</f>
        <v>4</v>
      </c>
      <c r="E30" s="164" t="str">
        <f>'Scenario2-MinWalk'!C33</f>
        <v>Splash Mtn</v>
      </c>
      <c r="F30" s="164">
        <f>'Scenario2-MinWalk'!D33</f>
        <v>4.1105496003302211E-2</v>
      </c>
      <c r="G30" s="164">
        <f>'Scenario2-MinWalk'!E33</f>
        <v>4.1105496003302211E-2</v>
      </c>
      <c r="H30" s="164">
        <f>'Scenario2-MinWalk'!F33</f>
        <v>9.5238095238095233E-2</v>
      </c>
      <c r="I30" s="164">
        <f>'Scenario2-MinWalk'!G33</f>
        <v>243.50268764516565</v>
      </c>
      <c r="J30" s="164">
        <f>'Scenario2-MinWalk'!H33</f>
        <v>50</v>
      </c>
      <c r="K30" s="164">
        <f>'Scenario2-MinWalk'!I33</f>
        <v>1</v>
      </c>
      <c r="L30" s="164">
        <f>'Scenario2-MinWalk'!J33</f>
        <v>1</v>
      </c>
      <c r="M30" s="164">
        <f>'Scenario2-MinWalk'!K33</f>
        <v>19</v>
      </c>
      <c r="N30" s="164">
        <f>'Scenario2-MinWalk'!L33</f>
        <v>33.812258999999997</v>
      </c>
      <c r="O30" s="164">
        <f>'Scenario2-MinWalk'!M33</f>
        <v>-117.92278</v>
      </c>
    </row>
    <row r="31" spans="1:15">
      <c r="A31" s="165" t="s">
        <v>90</v>
      </c>
      <c r="B31" s="165" t="s">
        <v>87</v>
      </c>
      <c r="C31" s="164">
        <f>'Scenario2-MinWalk'!A34</f>
        <v>20</v>
      </c>
      <c r="D31" s="164">
        <f>'Scenario2-MinWalk'!B34</f>
        <v>13</v>
      </c>
      <c r="E31" s="164" t="str">
        <f>'Scenario2-MinWalk'!C34</f>
        <v>Haunted Mansion</v>
      </c>
      <c r="F31" s="164">
        <f>'Scenario2-MinWalk'!D34</f>
        <v>1.6348341587255268E-2</v>
      </c>
      <c r="G31" s="164">
        <f>'Scenario2-MinWalk'!E34</f>
        <v>1.6348341587255268E-2</v>
      </c>
      <c r="H31" s="164">
        <f>'Scenario2-MinWalk'!F34</f>
        <v>4.9382716049382713E-2</v>
      </c>
      <c r="I31" s="164">
        <f>'Scenario2-MinWalk'!G34</f>
        <v>85.530866119049492</v>
      </c>
      <c r="J31" s="164">
        <f>'Scenario2-MinWalk'!H34</f>
        <v>20</v>
      </c>
      <c r="K31" s="164">
        <f>'Scenario2-MinWalk'!I34</f>
        <v>1</v>
      </c>
      <c r="L31" s="164">
        <f>'Scenario2-MinWalk'!J34</f>
        <v>1</v>
      </c>
      <c r="M31" s="164">
        <f>'Scenario2-MinWalk'!K34</f>
        <v>20</v>
      </c>
      <c r="N31" s="164">
        <f>'Scenario2-MinWalk'!L34</f>
        <v>33.811723000000001</v>
      </c>
      <c r="O31" s="164">
        <f>'Scenario2-MinWalk'!M34</f>
        <v>-117.922116</v>
      </c>
    </row>
    <row r="32" spans="1:15">
      <c r="A32" s="165" t="s">
        <v>90</v>
      </c>
      <c r="B32" s="165" t="s">
        <v>87</v>
      </c>
      <c r="C32" s="164">
        <f>'Scenario2-MinWalk'!A35</f>
        <v>21</v>
      </c>
      <c r="D32" s="164">
        <f>'Scenario2-MinWalk'!B35</f>
        <v>14</v>
      </c>
      <c r="E32" s="164" t="str">
        <f>'Scenario2-MinWalk'!C35</f>
        <v>Pirates</v>
      </c>
      <c r="F32" s="164">
        <f>'Scenario2-MinWalk'!D35</f>
        <v>3.0320827121779963E-2</v>
      </c>
      <c r="G32" s="164">
        <f>'Scenario2-MinWalk'!E35</f>
        <v>3.0320827121779963E-2</v>
      </c>
      <c r="H32" s="164">
        <f>'Scenario2-MinWalk'!F35</f>
        <v>2.6315789473684209E-2</v>
      </c>
      <c r="I32" s="164">
        <f>'Scenario2-MinWalk'!G35</f>
        <v>127.9721607205676</v>
      </c>
      <c r="J32" s="164">
        <f>'Scenario2-MinWalk'!H35</f>
        <v>10</v>
      </c>
      <c r="K32" s="164">
        <f>'Scenario2-MinWalk'!I35</f>
        <v>1</v>
      </c>
      <c r="L32" s="164">
        <f>'Scenario2-MinWalk'!J35</f>
        <v>1</v>
      </c>
      <c r="M32" s="164">
        <f>'Scenario2-MinWalk'!K35</f>
        <v>21</v>
      </c>
      <c r="N32" s="164">
        <f>'Scenario2-MinWalk'!L35</f>
        <v>33.811318999999997</v>
      </c>
      <c r="O32" s="164">
        <f>'Scenario2-MinWalk'!M35</f>
        <v>-117.92081899999999</v>
      </c>
    </row>
    <row r="33" spans="1:15">
      <c r="A33" s="165" t="s">
        <v>90</v>
      </c>
      <c r="B33" s="165" t="s">
        <v>87</v>
      </c>
      <c r="C33" s="164">
        <f>'Scenario2-MinWalk'!A36</f>
        <v>22</v>
      </c>
      <c r="D33" s="164">
        <f>'Scenario2-MinWalk'!B36</f>
        <v>1</v>
      </c>
      <c r="E33" s="164" t="str">
        <f>'Scenario2-MinWalk'!C36</f>
        <v>Indiana Jones</v>
      </c>
      <c r="F33" s="164">
        <f>'Scenario2-MinWalk'!D36</f>
        <v>1.1391037810811092E-2</v>
      </c>
      <c r="G33" s="164">
        <f>'Scenario2-MinWalk'!E36</f>
        <v>1.1391037810811092E-2</v>
      </c>
      <c r="H33" s="164">
        <f>'Scenario2-MinWalk'!F36</f>
        <v>4.8275862068965517E-2</v>
      </c>
      <c r="I33" s="164">
        <f>'Scenario2-MinWalk'!G36</f>
        <v>43.627434418712667</v>
      </c>
      <c r="J33" s="164">
        <f>'Scenario2-MinWalk'!H36</f>
        <v>35</v>
      </c>
      <c r="K33" s="164">
        <f>'Scenario2-MinWalk'!I36</f>
        <v>1</v>
      </c>
      <c r="L33" s="164">
        <f>'Scenario2-MinWalk'!J36</f>
        <v>1</v>
      </c>
      <c r="M33" s="164">
        <f>'Scenario2-MinWalk'!K36</f>
        <v>22</v>
      </c>
      <c r="N33" s="164">
        <f>'Scenario2-MinWalk'!L36</f>
        <v>33.811404000000003</v>
      </c>
      <c r="O33" s="164">
        <f>'Scenario2-MinWalk'!M36</f>
        <v>-117.92035799999999</v>
      </c>
    </row>
    <row r="34" spans="1:15">
      <c r="A34" s="165" t="s">
        <v>90</v>
      </c>
      <c r="B34" s="165" t="s">
        <v>87</v>
      </c>
      <c r="C34" s="164">
        <f>'Scenario2-MinWalk'!A37</f>
        <v>23</v>
      </c>
      <c r="D34" s="164">
        <f>'Scenario2-MinWalk'!B37</f>
        <v>2</v>
      </c>
      <c r="E34" s="164" t="str">
        <f>'Scenario2-MinWalk'!C37</f>
        <v>Jungle Cruise</v>
      </c>
      <c r="F34" s="164">
        <f>'Scenario2-MinWalk'!D37</f>
        <v>9.7939859857844019E-3</v>
      </c>
      <c r="G34" s="164">
        <f>'Scenario2-MinWalk'!E37</f>
        <v>9.7939859857844019E-3</v>
      </c>
      <c r="H34" s="164">
        <f>'Scenario2-MinWalk'!F37</f>
        <v>1.9607843137254902E-2</v>
      </c>
      <c r="I34" s="164">
        <f>'Scenario2-MinWalk'!G37</f>
        <v>35.41571747416252</v>
      </c>
      <c r="J34" s="164">
        <f>'Scenario2-MinWalk'!H37</f>
        <v>5</v>
      </c>
      <c r="K34" s="164">
        <f>'Scenario2-MinWalk'!I37</f>
        <v>1</v>
      </c>
      <c r="L34" s="164">
        <f>'Scenario2-MinWalk'!J37</f>
        <v>1</v>
      </c>
      <c r="M34" s="164">
        <f>'Scenario2-MinWalk'!K37</f>
        <v>23</v>
      </c>
      <c r="N34" s="164">
        <f>'Scenario2-MinWalk'!L37</f>
        <v>33.811466000000003</v>
      </c>
      <c r="O34" s="164">
        <f>'Scenario2-MinWalk'!M37</f>
        <v>-117.919982</v>
      </c>
    </row>
    <row r="35" spans="1:15">
      <c r="A35" s="165" t="s">
        <v>90</v>
      </c>
      <c r="B35" s="165" t="s">
        <v>87</v>
      </c>
      <c r="C35" s="164">
        <f>'Scenario2-MinWalk'!A38</f>
        <v>24</v>
      </c>
      <c r="D35" s="164">
        <f>'Scenario2-MinWalk'!B38</f>
        <v>3</v>
      </c>
      <c r="E35" s="164" t="str">
        <f>'Scenario2-MinWalk'!C38</f>
        <v>Tiki room</v>
      </c>
      <c r="F35" s="164">
        <f>'Scenario2-MinWalk'!D38</f>
        <v>1.3406673571440857E-2</v>
      </c>
      <c r="G35" s="164">
        <f>'Scenario2-MinWalk'!E38</f>
        <v>1.3406673571440857E-2</v>
      </c>
      <c r="H35" s="164">
        <f>'Scenario2-MinWalk'!F38</f>
        <v>3.0303030303030304E-2</v>
      </c>
      <c r="I35" s="164">
        <f>'Scenario2-MinWalk'!G38</f>
        <v>44.436335182955069</v>
      </c>
      <c r="J35" s="164">
        <f>'Scenario2-MinWalk'!H38</f>
        <v>5</v>
      </c>
      <c r="K35" s="164">
        <f>'Scenario2-MinWalk'!I38</f>
        <v>1</v>
      </c>
      <c r="L35" s="164">
        <f>'Scenario2-MinWalk'!J38</f>
        <v>1</v>
      </c>
      <c r="M35" s="164">
        <f>'Scenario2-MinWalk'!K38</f>
        <v>24</v>
      </c>
      <c r="N35" s="164">
        <f>'Scenario2-MinWalk'!L38</f>
        <v>33.811774999999997</v>
      </c>
      <c r="O35" s="164">
        <f>'Scenario2-MinWalk'!M38</f>
        <v>-117.91967699999999</v>
      </c>
    </row>
    <row r="36" spans="1:15">
      <c r="A36" s="165" t="s">
        <v>90</v>
      </c>
      <c r="B36" s="165" t="s">
        <v>88</v>
      </c>
      <c r="C36" s="164">
        <f>'Scenario3-MinWait'!A22</f>
        <v>8</v>
      </c>
      <c r="D36" s="164">
        <f>'Scenario3-MinWait'!B22</f>
        <v>11</v>
      </c>
      <c r="E36" s="164" t="str">
        <f>'Scenario3-MinWait'!C22</f>
        <v>Thunder Mtn</v>
      </c>
      <c r="F36" s="164">
        <f>'Scenario3-MinWait'!D22</f>
        <v>0</v>
      </c>
      <c r="G36" s="164">
        <f>'Scenario3-MinWait'!E22</f>
        <v>0</v>
      </c>
      <c r="H36" s="164">
        <f>'Scenario3-MinWait'!F22</f>
        <v>1.2048192771084338E-2</v>
      </c>
      <c r="I36" s="164">
        <f>'Scenario3-MinWait'!G22</f>
        <v>0</v>
      </c>
      <c r="J36" s="164">
        <f>'Scenario3-MinWait'!H22</f>
        <v>5</v>
      </c>
      <c r="K36" s="164">
        <f>'Scenario3-MinWait'!I22</f>
        <v>1</v>
      </c>
      <c r="L36" s="164">
        <f>'Scenario3-MinWait'!J22</f>
        <v>1</v>
      </c>
      <c r="M36" s="164">
        <f>'Scenario3-MinWait'!K22</f>
        <v>8</v>
      </c>
      <c r="N36" s="164">
        <f>'Scenario3-MinWait'!L22</f>
        <v>33.813229</v>
      </c>
      <c r="O36" s="164">
        <f>'Scenario3-MinWait'!M22</f>
        <v>-117.920417</v>
      </c>
    </row>
    <row r="37" spans="1:15">
      <c r="A37" s="165" t="s">
        <v>90</v>
      </c>
      <c r="B37" s="165" t="s">
        <v>88</v>
      </c>
      <c r="C37" s="164">
        <f>'Scenario3-MinWait'!A23</f>
        <v>9</v>
      </c>
      <c r="D37" s="164">
        <f>'Scenario3-MinWait'!B23</f>
        <v>6</v>
      </c>
      <c r="E37" s="164" t="str">
        <f>'Scenario3-MinWait'!C23</f>
        <v>Dumbo</v>
      </c>
      <c r="F37" s="164">
        <f>'Scenario3-MinWait'!D23</f>
        <v>4.5039467747617051E-2</v>
      </c>
      <c r="G37" s="164">
        <f>'Scenario3-MinWait'!E23</f>
        <v>4.5039467747617051E-2</v>
      </c>
      <c r="H37" s="164">
        <f>'Scenario3-MinWait'!F23</f>
        <v>1.3192612137203167E-2</v>
      </c>
      <c r="I37" s="164">
        <f>'Scenario3-MinWait'!G23</f>
        <v>150.6555634966613</v>
      </c>
      <c r="J37" s="164">
        <f>'Scenario3-MinWait'!H23</f>
        <v>5</v>
      </c>
      <c r="K37" s="164">
        <f>'Scenario3-MinWait'!I23</f>
        <v>1</v>
      </c>
      <c r="L37" s="164">
        <f>'Scenario3-MinWait'!J23</f>
        <v>1</v>
      </c>
      <c r="M37" s="164">
        <f>'Scenario3-MinWait'!K23</f>
        <v>9</v>
      </c>
      <c r="N37" s="164">
        <f>'Scenario3-MinWait'!L23</f>
        <v>33.813699999999997</v>
      </c>
      <c r="O37" s="164">
        <f>'Scenario3-MinWait'!M23</f>
        <v>-117.918888</v>
      </c>
    </row>
    <row r="38" spans="1:15">
      <c r="A38" s="165" t="s">
        <v>90</v>
      </c>
      <c r="B38" s="165" t="s">
        <v>88</v>
      </c>
      <c r="C38" s="164">
        <f>'Scenario3-MinWait'!A24</f>
        <v>10</v>
      </c>
      <c r="D38" s="164">
        <f>'Scenario3-MinWait'!B24</f>
        <v>4</v>
      </c>
      <c r="E38" s="164" t="str">
        <f>'Scenario3-MinWait'!C24</f>
        <v>Splash Mtn</v>
      </c>
      <c r="F38" s="164">
        <f>'Scenario3-MinWait'!D24</f>
        <v>6.6452890858092556E-2</v>
      </c>
      <c r="G38" s="164">
        <f>'Scenario3-MinWait'!E24</f>
        <v>6.6452890858092556E-2</v>
      </c>
      <c r="H38" s="164">
        <f>'Scenario3-MinWait'!F24</f>
        <v>1.9047619047619049E-2</v>
      </c>
      <c r="I38" s="164">
        <f>'Scenario3-MinWait'!G24</f>
        <v>393.65678799828754</v>
      </c>
      <c r="J38" s="164">
        <f>'Scenario3-MinWait'!H24</f>
        <v>10.000000000000002</v>
      </c>
      <c r="K38" s="164">
        <f>'Scenario3-MinWait'!I24</f>
        <v>1</v>
      </c>
      <c r="L38" s="164">
        <f>'Scenario3-MinWait'!J24</f>
        <v>1</v>
      </c>
      <c r="M38" s="164">
        <f>'Scenario3-MinWait'!K24</f>
        <v>10</v>
      </c>
      <c r="N38" s="164">
        <f>'Scenario3-MinWait'!L24</f>
        <v>33.812258999999997</v>
      </c>
      <c r="O38" s="164">
        <f>'Scenario3-MinWait'!M24</f>
        <v>-117.92278</v>
      </c>
    </row>
    <row r="39" spans="1:15">
      <c r="A39" s="165" t="s">
        <v>90</v>
      </c>
      <c r="B39" s="165" t="s">
        <v>88</v>
      </c>
      <c r="C39" s="164">
        <f>'Scenario3-MinWait'!A25</f>
        <v>11</v>
      </c>
      <c r="D39" s="164">
        <f>'Scenario3-MinWait'!B25</f>
        <v>9</v>
      </c>
      <c r="E39" s="164" t="str">
        <f>'Scenario3-MinWait'!C25</f>
        <v>Matterhorn</v>
      </c>
      <c r="F39" s="164">
        <f>'Scenario3-MinWait'!D25</f>
        <v>0.13633197020169702</v>
      </c>
      <c r="G39" s="164">
        <f>'Scenario3-MinWait'!E25</f>
        <v>0.13633197020169702</v>
      </c>
      <c r="H39" s="164">
        <f>'Scenario3-MinWait'!F25</f>
        <v>3.2000000000000001E-2</v>
      </c>
      <c r="I39" s="164">
        <f>'Scenario3-MinWait'!G25</f>
        <v>460.99990848306385</v>
      </c>
      <c r="J39" s="164">
        <f>'Scenario3-MinWait'!H25</f>
        <v>20</v>
      </c>
      <c r="K39" s="164">
        <f>'Scenario3-MinWait'!I25</f>
        <v>1</v>
      </c>
      <c r="L39" s="164">
        <f>'Scenario3-MinWait'!J25</f>
        <v>1</v>
      </c>
      <c r="M39" s="164">
        <f>'Scenario3-MinWait'!K25</f>
        <v>11</v>
      </c>
      <c r="N39" s="164">
        <f>'Scenario3-MinWait'!L25</f>
        <v>33.813076000000002</v>
      </c>
      <c r="O39" s="164">
        <f>'Scenario3-MinWait'!M25</f>
        <v>-117.917888</v>
      </c>
    </row>
    <row r="40" spans="1:15">
      <c r="A40" s="165" t="s">
        <v>90</v>
      </c>
      <c r="B40" s="165" t="s">
        <v>88</v>
      </c>
      <c r="C40" s="164">
        <f>'Scenario3-MinWait'!A26</f>
        <v>12</v>
      </c>
      <c r="D40" s="164">
        <f>'Scenario3-MinWait'!B26</f>
        <v>16</v>
      </c>
      <c r="E40" s="164" t="str">
        <f>'Scenario3-MinWait'!C26</f>
        <v>Space Mtn</v>
      </c>
      <c r="F40" s="164">
        <f>'Scenario3-MinWait'!D26</f>
        <v>4.2305951765213359E-2</v>
      </c>
      <c r="G40" s="164">
        <f>'Scenario3-MinWait'!E26</f>
        <v>4.2305951765213359E-2</v>
      </c>
      <c r="H40" s="164">
        <f>'Scenario3-MinWait'!F26</f>
        <v>4.2682926829268296E-2</v>
      </c>
      <c r="I40" s="164">
        <f>'Scenario3-MinWait'!G26</f>
        <v>196.03012242617947</v>
      </c>
      <c r="J40" s="164">
        <f>'Scenario3-MinWait'!H26</f>
        <v>35</v>
      </c>
      <c r="K40" s="164">
        <f>'Scenario3-MinWait'!I26</f>
        <v>1</v>
      </c>
      <c r="L40" s="164">
        <f>'Scenario3-MinWait'!J26</f>
        <v>1</v>
      </c>
      <c r="M40" s="164">
        <f>'Scenario3-MinWait'!K26</f>
        <v>12</v>
      </c>
      <c r="N40" s="164">
        <f>'Scenario3-MinWait'!L26</f>
        <v>33.811390000000003</v>
      </c>
      <c r="O40" s="164">
        <f>'Scenario3-MinWait'!M26</f>
        <v>-117.91726800000001</v>
      </c>
    </row>
    <row r="41" spans="1:15">
      <c r="A41" s="165" t="s">
        <v>90</v>
      </c>
      <c r="B41" s="165" t="s">
        <v>88</v>
      </c>
      <c r="C41" s="164">
        <f>'Scenario3-MinWait'!A27</f>
        <v>13</v>
      </c>
      <c r="D41" s="164">
        <f>'Scenario3-MinWait'!B27</f>
        <v>8</v>
      </c>
      <c r="E41" s="164" t="str">
        <f>'Scenario3-MinWait'!C27</f>
        <v>Mad Tea</v>
      </c>
      <c r="F41" s="164">
        <f>'Scenario3-MinWait'!D27</f>
        <v>7.7957113685623414E-2</v>
      </c>
      <c r="G41" s="164">
        <f>'Scenario3-MinWait'!E27</f>
        <v>7.7957113685623414E-2</v>
      </c>
      <c r="H41" s="164">
        <f>'Scenario3-MinWait'!F27</f>
        <v>5.4545454545454543E-2</v>
      </c>
      <c r="I41" s="164">
        <f>'Scenario3-MinWait'!G27</f>
        <v>255.62654057901639</v>
      </c>
      <c r="J41" s="164">
        <f>'Scenario3-MinWait'!H27</f>
        <v>15</v>
      </c>
      <c r="K41" s="164">
        <f>'Scenario3-MinWait'!I27</f>
        <v>1</v>
      </c>
      <c r="L41" s="164">
        <f>'Scenario3-MinWait'!J27</f>
        <v>1</v>
      </c>
      <c r="M41" s="164">
        <f>'Scenario3-MinWait'!K27</f>
        <v>13</v>
      </c>
      <c r="N41" s="164">
        <f>'Scenario3-MinWait'!L27</f>
        <v>33.813509000000003</v>
      </c>
      <c r="O41" s="164">
        <f>'Scenario3-MinWait'!M27</f>
        <v>-117.918341</v>
      </c>
    </row>
    <row r="42" spans="1:15">
      <c r="A42" s="165" t="s">
        <v>90</v>
      </c>
      <c r="B42" s="165" t="s">
        <v>88</v>
      </c>
      <c r="C42" s="164">
        <f>'Scenario3-MinWait'!A28</f>
        <v>14</v>
      </c>
      <c r="D42" s="164">
        <f>'Scenario3-MinWait'!B28</f>
        <v>1</v>
      </c>
      <c r="E42" s="164" t="str">
        <f>'Scenario3-MinWait'!C28</f>
        <v>Indiana Jones</v>
      </c>
      <c r="F42" s="164">
        <f>'Scenario3-MinWait'!D28</f>
        <v>7.8116539205215205E-2</v>
      </c>
      <c r="G42" s="164">
        <f>'Scenario3-MinWait'!E28</f>
        <v>7.8116539205215205E-2</v>
      </c>
      <c r="H42" s="164">
        <f>'Scenario3-MinWait'!F28</f>
        <v>7.586206896551724E-2</v>
      </c>
      <c r="I42" s="164">
        <f>'Scenario3-MinWait'!G28</f>
        <v>299.18469658294089</v>
      </c>
      <c r="J42" s="164">
        <f>'Scenario3-MinWait'!H28</f>
        <v>55</v>
      </c>
      <c r="K42" s="164">
        <f>'Scenario3-MinWait'!I28</f>
        <v>1</v>
      </c>
      <c r="L42" s="164">
        <f>'Scenario3-MinWait'!J28</f>
        <v>1</v>
      </c>
      <c r="M42" s="164">
        <f>'Scenario3-MinWait'!K28</f>
        <v>14</v>
      </c>
      <c r="N42" s="164">
        <f>'Scenario3-MinWait'!L28</f>
        <v>33.811404000000003</v>
      </c>
      <c r="O42" s="164">
        <f>'Scenario3-MinWait'!M28</f>
        <v>-117.92035799999999</v>
      </c>
    </row>
    <row r="43" spans="1:15">
      <c r="A43" s="165" t="s">
        <v>90</v>
      </c>
      <c r="B43" s="165" t="s">
        <v>88</v>
      </c>
      <c r="C43" s="164">
        <f>'Scenario3-MinWait'!A29</f>
        <v>15</v>
      </c>
      <c r="D43" s="164">
        <f>'Scenario3-MinWait'!B29</f>
        <v>5</v>
      </c>
      <c r="E43" s="164" t="str">
        <f>'Scenario3-MinWait'!C29</f>
        <v>Alice in Wonderland</v>
      </c>
      <c r="F43" s="164">
        <f>'Scenario3-MinWait'!D29</f>
        <v>8.9692706304415254E-2</v>
      </c>
      <c r="G43" s="164">
        <f>'Scenario3-MinWait'!E29</f>
        <v>8.9692706304415254E-2</v>
      </c>
      <c r="H43" s="164">
        <f>'Scenario3-MinWait'!F29</f>
        <v>7.0175438596491224E-2</v>
      </c>
      <c r="I43" s="164">
        <f>'Scenario3-MinWait'!G29</f>
        <v>285.38608101250298</v>
      </c>
      <c r="J43" s="164">
        <f>'Scenario3-MinWait'!H29</f>
        <v>40</v>
      </c>
      <c r="K43" s="164">
        <f>'Scenario3-MinWait'!I29</f>
        <v>1</v>
      </c>
      <c r="L43" s="164">
        <f>'Scenario3-MinWait'!J29</f>
        <v>1</v>
      </c>
      <c r="M43" s="164">
        <f>'Scenario3-MinWait'!K29</f>
        <v>15</v>
      </c>
      <c r="N43" s="164">
        <f>'Scenario3-MinWait'!L29</f>
        <v>33.813315000000003</v>
      </c>
      <c r="O43" s="164">
        <f>'Scenario3-MinWait'!M29</f>
        <v>-117.918296</v>
      </c>
    </row>
    <row r="44" spans="1:15">
      <c r="A44" s="165" t="s">
        <v>90</v>
      </c>
      <c r="B44" s="165" t="s">
        <v>88</v>
      </c>
      <c r="C44" s="164">
        <f>'Scenario3-MinWait'!A30</f>
        <v>16</v>
      </c>
      <c r="D44" s="164">
        <f>'Scenario3-MinWait'!B30</f>
        <v>3</v>
      </c>
      <c r="E44" s="164" t="str">
        <f>'Scenario3-MinWait'!C30</f>
        <v>Tiki room</v>
      </c>
      <c r="F44" s="164">
        <f>'Scenario3-MinWait'!D30</f>
        <v>6.4427840249098367E-2</v>
      </c>
      <c r="G44" s="164">
        <f>'Scenario3-MinWait'!E30</f>
        <v>6.4427840249098367E-2</v>
      </c>
      <c r="H44" s="164">
        <f>'Scenario3-MinWait'!F30</f>
        <v>6.0606060606060608E-2</v>
      </c>
      <c r="I44" s="164">
        <f>'Scenario3-MinWait'!G30</f>
        <v>213.54567105456346</v>
      </c>
      <c r="J44" s="164">
        <f>'Scenario3-MinWait'!H30</f>
        <v>10</v>
      </c>
      <c r="K44" s="164">
        <f>'Scenario3-MinWait'!I30</f>
        <v>1</v>
      </c>
      <c r="L44" s="164">
        <f>'Scenario3-MinWait'!J30</f>
        <v>1</v>
      </c>
      <c r="M44" s="164">
        <f>'Scenario3-MinWait'!K30</f>
        <v>16</v>
      </c>
      <c r="N44" s="164">
        <f>'Scenario3-MinWait'!L30</f>
        <v>33.811774999999997</v>
      </c>
      <c r="O44" s="164">
        <f>'Scenario3-MinWait'!M30</f>
        <v>-117.91967699999999</v>
      </c>
    </row>
    <row r="45" spans="1:15">
      <c r="A45" s="165" t="s">
        <v>90</v>
      </c>
      <c r="B45" s="165" t="s">
        <v>88</v>
      </c>
      <c r="C45" s="164">
        <f>'Scenario3-MinWait'!A31</f>
        <v>17</v>
      </c>
      <c r="D45" s="164">
        <f>'Scenario3-MinWait'!B31</f>
        <v>10</v>
      </c>
      <c r="E45" s="164" t="str">
        <f>'Scenario3-MinWait'!C31</f>
        <v>Peter Pan</v>
      </c>
      <c r="F45" s="164">
        <f>'Scenario3-MinWait'!D31</f>
        <v>5.8381558747137567E-2</v>
      </c>
      <c r="G45" s="164">
        <f>'Scenario3-MinWait'!E31</f>
        <v>5.8381558747137567E-2</v>
      </c>
      <c r="H45" s="164">
        <f>'Scenario3-MinWait'!F31</f>
        <v>5.6338028169014086E-2</v>
      </c>
      <c r="I45" s="164">
        <f>'Scenario3-MinWait'!G31</f>
        <v>176.13361760590169</v>
      </c>
      <c r="J45" s="164">
        <f>'Scenario3-MinWait'!H31</f>
        <v>40</v>
      </c>
      <c r="K45" s="164">
        <f>'Scenario3-MinWait'!I31</f>
        <v>1</v>
      </c>
      <c r="L45" s="164">
        <f>'Scenario3-MinWait'!J31</f>
        <v>1</v>
      </c>
      <c r="M45" s="164">
        <f>'Scenario3-MinWait'!K31</f>
        <v>17</v>
      </c>
      <c r="N45" s="164">
        <f>'Scenario3-MinWait'!L31</f>
        <v>33.813205000000004</v>
      </c>
      <c r="O45" s="164">
        <f>'Scenario3-MinWait'!M31</f>
        <v>-117.918857</v>
      </c>
    </row>
    <row r="46" spans="1:15">
      <c r="A46" s="165" t="s">
        <v>90</v>
      </c>
      <c r="B46" s="165" t="s">
        <v>88</v>
      </c>
      <c r="C46" s="164">
        <f>'Scenario3-MinWait'!A32</f>
        <v>18</v>
      </c>
      <c r="D46" s="164">
        <f>'Scenario3-MinWait'!B32</f>
        <v>17</v>
      </c>
      <c r="E46" s="164" t="str">
        <f>'Scenario3-MinWait'!C32</f>
        <v>Star Tours</v>
      </c>
      <c r="F46" s="164">
        <f>'Scenario3-MinWait'!D32</f>
        <v>4.684761894464741E-2</v>
      </c>
      <c r="G46" s="164">
        <f>'Scenario3-MinWait'!E32</f>
        <v>4.684761894464741E-2</v>
      </c>
      <c r="H46" s="164">
        <f>'Scenario3-MinWait'!F32</f>
        <v>6.4220183486238536E-2</v>
      </c>
      <c r="I46" s="164">
        <f>'Scenario3-MinWait'!G32</f>
        <v>170.59544177993732</v>
      </c>
      <c r="J46" s="164">
        <f>'Scenario3-MinWait'!H32</f>
        <v>35</v>
      </c>
      <c r="K46" s="164">
        <f>'Scenario3-MinWait'!I32</f>
        <v>1</v>
      </c>
      <c r="L46" s="164">
        <f>'Scenario3-MinWait'!J32</f>
        <v>1</v>
      </c>
      <c r="M46" s="164">
        <f>'Scenario3-MinWait'!K32</f>
        <v>18</v>
      </c>
      <c r="N46" s="164">
        <f>'Scenario3-MinWait'!L32</f>
        <v>33.811883000000002</v>
      </c>
      <c r="O46" s="164">
        <f>'Scenario3-MinWait'!M32</f>
        <v>-117.91792</v>
      </c>
    </row>
    <row r="47" spans="1:15">
      <c r="A47" s="165" t="s">
        <v>90</v>
      </c>
      <c r="B47" s="165" t="s">
        <v>88</v>
      </c>
      <c r="C47" s="164">
        <f>'Scenario3-MinWait'!A33</f>
        <v>19</v>
      </c>
      <c r="D47" s="164">
        <f>'Scenario3-MinWait'!B33</f>
        <v>15</v>
      </c>
      <c r="E47" s="164" t="str">
        <f>'Scenario3-MinWait'!C33</f>
        <v>Buzz Lightyear</v>
      </c>
      <c r="F47" s="164">
        <f>'Scenario3-MinWait'!D33</f>
        <v>9.6058656335458042E-3</v>
      </c>
      <c r="G47" s="164">
        <f>'Scenario3-MinWait'!E33</f>
        <v>9.6058656335458042E-3</v>
      </c>
      <c r="H47" s="164">
        <f>'Scenario3-MinWait'!F33</f>
        <v>5.4054054054054057E-2</v>
      </c>
      <c r="I47" s="164">
        <f>'Scenario3-MinWait'!G33</f>
        <v>32.923290655312897</v>
      </c>
      <c r="J47" s="164">
        <f>'Scenario3-MinWait'!H33</f>
        <v>20</v>
      </c>
      <c r="K47" s="164">
        <f>'Scenario3-MinWait'!I33</f>
        <v>1</v>
      </c>
      <c r="L47" s="164">
        <f>'Scenario3-MinWait'!J33</f>
        <v>1</v>
      </c>
      <c r="M47" s="164">
        <f>'Scenario3-MinWait'!K33</f>
        <v>19</v>
      </c>
      <c r="N47" s="164">
        <f>'Scenario3-MinWait'!L33</f>
        <v>33.812175000000003</v>
      </c>
      <c r="O47" s="164">
        <f>'Scenario3-MinWait'!M33</f>
        <v>-117.917979</v>
      </c>
    </row>
    <row r="48" spans="1:15">
      <c r="A48" s="165" t="s">
        <v>90</v>
      </c>
      <c r="B48" s="165" t="s">
        <v>88</v>
      </c>
      <c r="C48" s="164">
        <f>'Scenario3-MinWait'!A34</f>
        <v>20</v>
      </c>
      <c r="D48" s="164">
        <f>'Scenario3-MinWait'!B34</f>
        <v>7</v>
      </c>
      <c r="E48" s="164" t="str">
        <f>'Scenario3-MinWait'!C34</f>
        <v>Small World</v>
      </c>
      <c r="F48" s="164">
        <f>'Scenario3-MinWait'!D34</f>
        <v>5.6781722241748413E-2</v>
      </c>
      <c r="G48" s="164">
        <f>'Scenario3-MinWait'!E34</f>
        <v>5.6781722241748413E-2</v>
      </c>
      <c r="H48" s="164">
        <f>'Scenario3-MinWait'!F34</f>
        <v>4.3478260869565216E-2</v>
      </c>
      <c r="I48" s="164">
        <f>'Scenario3-MinWait'!G34</f>
        <v>266.95448741353545</v>
      </c>
      <c r="J48" s="164">
        <f>'Scenario3-MinWait'!H34</f>
        <v>10</v>
      </c>
      <c r="K48" s="164">
        <f>'Scenario3-MinWait'!I34</f>
        <v>1</v>
      </c>
      <c r="L48" s="164">
        <f>'Scenario3-MinWait'!J34</f>
        <v>1</v>
      </c>
      <c r="M48" s="164">
        <f>'Scenario3-MinWait'!K34</f>
        <v>20</v>
      </c>
      <c r="N48" s="164">
        <f>'Scenario3-MinWait'!L34</f>
        <v>33.814573000000003</v>
      </c>
      <c r="O48" s="164">
        <f>'Scenario3-MinWait'!M34</f>
        <v>-117.91784</v>
      </c>
    </row>
    <row r="49" spans="1:15">
      <c r="A49" s="165" t="s">
        <v>90</v>
      </c>
      <c r="B49" s="165" t="s">
        <v>88</v>
      </c>
      <c r="C49" s="164">
        <f>'Scenario3-MinWait'!A35</f>
        <v>21</v>
      </c>
      <c r="D49" s="164">
        <f>'Scenario3-MinWait'!B35</f>
        <v>14</v>
      </c>
      <c r="E49" s="164" t="str">
        <f>'Scenario3-MinWait'!C35</f>
        <v>Pirates</v>
      </c>
      <c r="F49" s="164">
        <f>'Scenario3-MinWait'!D35</f>
        <v>0.10771118170244345</v>
      </c>
      <c r="G49" s="164">
        <f>'Scenario3-MinWait'!E35</f>
        <v>0.10771118170244345</v>
      </c>
      <c r="H49" s="164">
        <f>'Scenario3-MinWait'!F35</f>
        <v>2.6315789473684209E-2</v>
      </c>
      <c r="I49" s="164">
        <f>'Scenario3-MinWait'!G35</f>
        <v>454.60608976349624</v>
      </c>
      <c r="J49" s="164">
        <f>'Scenario3-MinWait'!H35</f>
        <v>10</v>
      </c>
      <c r="K49" s="164">
        <f>'Scenario3-MinWait'!I35</f>
        <v>1</v>
      </c>
      <c r="L49" s="164">
        <f>'Scenario3-MinWait'!J35</f>
        <v>1</v>
      </c>
      <c r="M49" s="164">
        <f>'Scenario3-MinWait'!K35</f>
        <v>21</v>
      </c>
      <c r="N49" s="164">
        <f>'Scenario3-MinWait'!L35</f>
        <v>33.811318999999997</v>
      </c>
      <c r="O49" s="164">
        <f>'Scenario3-MinWait'!M35</f>
        <v>-117.92081899999999</v>
      </c>
    </row>
    <row r="50" spans="1:15">
      <c r="A50" s="165" t="s">
        <v>90</v>
      </c>
      <c r="B50" s="165" t="s">
        <v>88</v>
      </c>
      <c r="C50" s="164">
        <f>'Scenario3-MinWait'!A36</f>
        <v>22</v>
      </c>
      <c r="D50" s="164">
        <f>'Scenario3-MinWait'!B36</f>
        <v>2</v>
      </c>
      <c r="E50" s="164" t="str">
        <f>'Scenario3-MinWait'!C36</f>
        <v>Jungle Cruise</v>
      </c>
      <c r="F50" s="164">
        <f>'Scenario3-MinWait'!D36</f>
        <v>2.1857505644037514E-2</v>
      </c>
      <c r="G50" s="164">
        <f>'Scenario3-MinWait'!E36</f>
        <v>2.1857505644037514E-2</v>
      </c>
      <c r="H50" s="164">
        <f>'Scenario3-MinWait'!F36</f>
        <v>1.9607843137254902E-2</v>
      </c>
      <c r="I50" s="164">
        <f>'Scenario3-MinWait'!G36</f>
        <v>79.03822260954027</v>
      </c>
      <c r="J50" s="164">
        <f>'Scenario3-MinWait'!H36</f>
        <v>5</v>
      </c>
      <c r="K50" s="164">
        <f>'Scenario3-MinWait'!I36</f>
        <v>1</v>
      </c>
      <c r="L50" s="164">
        <f>'Scenario3-MinWait'!J36</f>
        <v>1</v>
      </c>
      <c r="M50" s="164">
        <f>'Scenario3-MinWait'!K36</f>
        <v>22</v>
      </c>
      <c r="N50" s="164">
        <f>'Scenario3-MinWait'!L36</f>
        <v>33.811466000000003</v>
      </c>
      <c r="O50" s="164">
        <f>'Scenario3-MinWait'!M36</f>
        <v>-117.919982</v>
      </c>
    </row>
    <row r="51" spans="1:15">
      <c r="A51" s="165" t="s">
        <v>90</v>
      </c>
      <c r="B51" s="165" t="s">
        <v>88</v>
      </c>
      <c r="C51" s="164">
        <f>'Scenario3-MinWait'!A37</f>
        <v>23</v>
      </c>
      <c r="D51" s="164">
        <f>'Scenario3-MinWait'!B37</f>
        <v>12</v>
      </c>
      <c r="E51" s="164" t="str">
        <f>'Scenario3-MinWait'!C37</f>
        <v>Toon Spin</v>
      </c>
      <c r="F51" s="164">
        <f>'Scenario3-MinWait'!D37</f>
        <v>8.1881962218171789E-2</v>
      </c>
      <c r="G51" s="164">
        <f>'Scenario3-MinWait'!E37</f>
        <v>8.1881962218171789E-2</v>
      </c>
      <c r="H51" s="164">
        <f>'Scenario3-MinWait'!F37</f>
        <v>2.3529411764705882E-2</v>
      </c>
      <c r="I51" s="164">
        <f>'Scenario3-MinWait'!G37</f>
        <v>456.11462948302591</v>
      </c>
      <c r="J51" s="164">
        <f>'Scenario3-MinWait'!H37</f>
        <v>10</v>
      </c>
      <c r="K51" s="164">
        <f>'Scenario3-MinWait'!I37</f>
        <v>1</v>
      </c>
      <c r="L51" s="164">
        <f>'Scenario3-MinWait'!J37</f>
        <v>1</v>
      </c>
      <c r="M51" s="164">
        <f>'Scenario3-MinWait'!K37</f>
        <v>23</v>
      </c>
      <c r="N51" s="164">
        <f>'Scenario3-MinWait'!L37</f>
        <v>33.815263999999999</v>
      </c>
      <c r="O51" s="164">
        <f>'Scenario3-MinWait'!M37</f>
        <v>-117.918117</v>
      </c>
    </row>
    <row r="52" spans="1:15">
      <c r="A52" s="165" t="s">
        <v>90</v>
      </c>
      <c r="B52" s="165" t="s">
        <v>88</v>
      </c>
      <c r="C52" s="164">
        <f>'Scenario3-MinWait'!A38</f>
        <v>24</v>
      </c>
      <c r="D52" s="164">
        <f>'Scenario3-MinWait'!B38</f>
        <v>13</v>
      </c>
      <c r="E52" s="164" t="str">
        <f>'Scenario3-MinWait'!C38</f>
        <v>Haunted Mansion</v>
      </c>
      <c r="F52" s="164">
        <f>'Scenario3-MinWait'!D38</f>
        <v>0.10320279985749732</v>
      </c>
      <c r="G52" s="164">
        <f>'Scenario3-MinWait'!E38</f>
        <v>0.10320279985749732</v>
      </c>
      <c r="H52" s="164">
        <f>'Scenario3-MinWait'!F38</f>
        <v>1.2345679012345678E-2</v>
      </c>
      <c r="I52" s="164">
        <f>'Scenario3-MinWait'!G38</f>
        <v>539.93396275766452</v>
      </c>
      <c r="J52" s="164">
        <f>'Scenario3-MinWait'!H38</f>
        <v>5</v>
      </c>
      <c r="K52" s="164">
        <f>'Scenario3-MinWait'!I38</f>
        <v>1</v>
      </c>
      <c r="L52" s="164">
        <f>'Scenario3-MinWait'!J38</f>
        <v>1</v>
      </c>
      <c r="M52" s="164">
        <f>'Scenario3-MinWait'!K38</f>
        <v>24</v>
      </c>
      <c r="N52" s="164">
        <f>'Scenario3-MinWait'!L38</f>
        <v>33.811723000000001</v>
      </c>
      <c r="O52" s="164">
        <f>'Scenario3-MinWait'!M38</f>
        <v>-117.922116</v>
      </c>
    </row>
    <row r="53" spans="1:15">
      <c r="A53" s="165" t="s">
        <v>90</v>
      </c>
      <c r="B53" s="165" t="s">
        <v>89</v>
      </c>
      <c r="C53" s="164">
        <f>'Scenario4-Min35'!A22</f>
        <v>8</v>
      </c>
      <c r="D53" s="164">
        <f>'Scenario4-Min35'!B22</f>
        <v>10</v>
      </c>
      <c r="E53" s="164" t="str">
        <f>'Scenario4-Min35'!C22</f>
        <v>Peter Pan</v>
      </c>
      <c r="F53" s="164">
        <f>'Scenario4-Min35'!D22</f>
        <v>0</v>
      </c>
      <c r="G53" s="164">
        <f>'Scenario4-Min35'!E22</f>
        <v>0</v>
      </c>
      <c r="H53" s="164">
        <f>'Scenario4-Min35'!F22</f>
        <v>4.9295774647887321E-2</v>
      </c>
      <c r="I53" s="164">
        <f>'Scenario4-Min35'!G22</f>
        <v>0</v>
      </c>
      <c r="J53" s="164">
        <f>'Scenario4-Min35'!H22</f>
        <v>35</v>
      </c>
      <c r="K53" s="164">
        <f>'Scenario4-Min35'!I22</f>
        <v>1</v>
      </c>
      <c r="L53" s="164">
        <f>'Scenario4-Min35'!J22</f>
        <v>1</v>
      </c>
      <c r="M53" s="164">
        <f>'Scenario4-Min35'!K22</f>
        <v>8</v>
      </c>
      <c r="N53" s="164">
        <f>'Scenario4-Min35'!L22</f>
        <v>33.813205000000004</v>
      </c>
      <c r="O53" s="164">
        <f>'Scenario4-Min35'!M22</f>
        <v>-117.918857</v>
      </c>
    </row>
    <row r="54" spans="1:15">
      <c r="A54" s="165" t="s">
        <v>90</v>
      </c>
      <c r="B54" s="165" t="s">
        <v>89</v>
      </c>
      <c r="C54" s="164">
        <f>'Scenario4-Min35'!A23</f>
        <v>9</v>
      </c>
      <c r="D54" s="164">
        <f>'Scenario4-Min35'!B23</f>
        <v>7</v>
      </c>
      <c r="E54" s="164" t="str">
        <f>'Scenario4-Min35'!C23</f>
        <v>Small World</v>
      </c>
      <c r="F54" s="164">
        <f>'Scenario4-Min35'!D23</f>
        <v>3.8029499528976364E-2</v>
      </c>
      <c r="G54" s="164">
        <f>'Scenario4-Min35'!E23</f>
        <v>3.8029499528976364E-2</v>
      </c>
      <c r="H54" s="164">
        <f>'Scenario4-Min35'!F23</f>
        <v>2.1739130434782608E-2</v>
      </c>
      <c r="I54" s="164">
        <f>'Scenario4-Min35'!G23</f>
        <v>178.79249083232051</v>
      </c>
      <c r="J54" s="164">
        <f>'Scenario4-Min35'!H23</f>
        <v>5</v>
      </c>
      <c r="K54" s="164">
        <f>'Scenario4-Min35'!I23</f>
        <v>1</v>
      </c>
      <c r="L54" s="164">
        <f>'Scenario4-Min35'!J23</f>
        <v>1</v>
      </c>
      <c r="M54" s="164">
        <f>'Scenario4-Min35'!K23</f>
        <v>9</v>
      </c>
      <c r="N54" s="164">
        <f>'Scenario4-Min35'!L23</f>
        <v>33.814573000000003</v>
      </c>
      <c r="O54" s="164">
        <f>'Scenario4-Min35'!M23</f>
        <v>-117.91784</v>
      </c>
    </row>
    <row r="55" spans="1:15">
      <c r="A55" s="165" t="s">
        <v>90</v>
      </c>
      <c r="B55" s="165" t="s">
        <v>89</v>
      </c>
      <c r="C55" s="164">
        <f>'Scenario4-Min35'!A24</f>
        <v>10</v>
      </c>
      <c r="D55" s="164">
        <f>'Scenario4-Min35'!B24</f>
        <v>12</v>
      </c>
      <c r="E55" s="164" t="str">
        <f>'Scenario4-Min35'!C24</f>
        <v>Toon Spin</v>
      </c>
      <c r="F55" s="164">
        <f>'Scenario4-Min35'!D24</f>
        <v>1.4538514946681543E-2</v>
      </c>
      <c r="G55" s="164">
        <f>'Scenario4-Min35'!E24</f>
        <v>1.4538514946681543E-2</v>
      </c>
      <c r="H55" s="164">
        <f>'Scenario4-Min35'!F24</f>
        <v>3.5294117647058823E-2</v>
      </c>
      <c r="I55" s="164">
        <f>'Scenario4-Min35'!G24</f>
        <v>80.985227741250185</v>
      </c>
      <c r="J55" s="164">
        <f>'Scenario4-Min35'!H24</f>
        <v>15</v>
      </c>
      <c r="K55" s="164">
        <f>'Scenario4-Min35'!I24</f>
        <v>1</v>
      </c>
      <c r="L55" s="164">
        <f>'Scenario4-Min35'!J24</f>
        <v>1</v>
      </c>
      <c r="M55" s="164">
        <f>'Scenario4-Min35'!K24</f>
        <v>10</v>
      </c>
      <c r="N55" s="164">
        <f>'Scenario4-Min35'!L24</f>
        <v>33.815263999999999</v>
      </c>
      <c r="O55" s="164">
        <f>'Scenario4-Min35'!M24</f>
        <v>-117.918117</v>
      </c>
    </row>
    <row r="56" spans="1:15">
      <c r="A56" s="165" t="s">
        <v>90</v>
      </c>
      <c r="B56" s="165" t="s">
        <v>89</v>
      </c>
      <c r="C56" s="164">
        <f>'Scenario4-Min35'!A25</f>
        <v>11</v>
      </c>
      <c r="D56" s="164">
        <f>'Scenario4-Min35'!B25</f>
        <v>9</v>
      </c>
      <c r="E56" s="164" t="str">
        <f>'Scenario4-Min35'!C25</f>
        <v>Matterhorn</v>
      </c>
      <c r="F56" s="164">
        <f>'Scenario4-Min35'!D25</f>
        <v>7.2221246955502236E-2</v>
      </c>
      <c r="G56" s="164">
        <f>'Scenario4-Min35'!E25</f>
        <v>7.2221246955502236E-2</v>
      </c>
      <c r="H56" s="164">
        <f>'Scenario4-Min35'!F25</f>
        <v>3.2000000000000001E-2</v>
      </c>
      <c r="I56" s="164">
        <f>'Scenario4-Min35'!G25</f>
        <v>244.21262443256944</v>
      </c>
      <c r="J56" s="164">
        <f>'Scenario4-Min35'!H25</f>
        <v>20</v>
      </c>
      <c r="K56" s="164">
        <f>'Scenario4-Min35'!I25</f>
        <v>1</v>
      </c>
      <c r="L56" s="164">
        <f>'Scenario4-Min35'!J25</f>
        <v>1</v>
      </c>
      <c r="M56" s="164">
        <f>'Scenario4-Min35'!K25</f>
        <v>11</v>
      </c>
      <c r="N56" s="164">
        <f>'Scenario4-Min35'!L25</f>
        <v>33.813076000000002</v>
      </c>
      <c r="O56" s="164">
        <f>'Scenario4-Min35'!M25</f>
        <v>-117.917888</v>
      </c>
    </row>
    <row r="57" spans="1:15">
      <c r="A57" s="165" t="s">
        <v>90</v>
      </c>
      <c r="B57" s="165" t="s">
        <v>89</v>
      </c>
      <c r="C57" s="164">
        <f>'Scenario4-Min35'!A26</f>
        <v>12</v>
      </c>
      <c r="D57" s="164">
        <f>'Scenario4-Min35'!B26</f>
        <v>8</v>
      </c>
      <c r="E57" s="164" t="str">
        <f>'Scenario4-Min35'!C26</f>
        <v>Mad Tea</v>
      </c>
      <c r="F57" s="164">
        <f>'Scenario4-Min35'!D26</f>
        <v>1.9454992196515256E-2</v>
      </c>
      <c r="G57" s="164">
        <f>'Scenario4-Min35'!E26</f>
        <v>1.9454992196515256E-2</v>
      </c>
      <c r="H57" s="164">
        <f>'Scenario4-Min35'!F26</f>
        <v>5.4545454545454543E-2</v>
      </c>
      <c r="I57" s="164">
        <f>'Scenario4-Min35'!G26</f>
        <v>63.794208341811625</v>
      </c>
      <c r="J57" s="164">
        <f>'Scenario4-Min35'!H26</f>
        <v>15</v>
      </c>
      <c r="K57" s="164">
        <f>'Scenario4-Min35'!I26</f>
        <v>1</v>
      </c>
      <c r="L57" s="164">
        <f>'Scenario4-Min35'!J26</f>
        <v>1</v>
      </c>
      <c r="M57" s="164">
        <f>'Scenario4-Min35'!K26</f>
        <v>12</v>
      </c>
      <c r="N57" s="164">
        <f>'Scenario4-Min35'!L26</f>
        <v>33.813509000000003</v>
      </c>
      <c r="O57" s="164">
        <f>'Scenario4-Min35'!M26</f>
        <v>-117.918341</v>
      </c>
    </row>
    <row r="58" spans="1:15">
      <c r="A58" s="165" t="s">
        <v>90</v>
      </c>
      <c r="B58" s="165" t="s">
        <v>89</v>
      </c>
      <c r="C58" s="164">
        <f>'Scenario4-Min35'!A27</f>
        <v>13</v>
      </c>
      <c r="D58" s="164">
        <f>'Scenario4-Min35'!B27</f>
        <v>6</v>
      </c>
      <c r="E58" s="164" t="str">
        <f>'Scenario4-Min35'!C27</f>
        <v>Dumbo</v>
      </c>
      <c r="F58" s="164">
        <f>'Scenario4-Min35'!D27</f>
        <v>1.6387876424078383E-2</v>
      </c>
      <c r="G58" s="164">
        <f>'Scenario4-Min35'!E27</f>
        <v>1.6387876424078383E-2</v>
      </c>
      <c r="H58" s="164">
        <f>'Scenario4-Min35'!F27</f>
        <v>7.9155672823219003E-2</v>
      </c>
      <c r="I58" s="164">
        <f>'Scenario4-Min35'!G27</f>
        <v>54.816916820998742</v>
      </c>
      <c r="J58" s="164">
        <f>'Scenario4-Min35'!H27</f>
        <v>30.000000000000004</v>
      </c>
      <c r="K58" s="164">
        <f>'Scenario4-Min35'!I27</f>
        <v>1</v>
      </c>
      <c r="L58" s="164">
        <f>'Scenario4-Min35'!J27</f>
        <v>1</v>
      </c>
      <c r="M58" s="164">
        <f>'Scenario4-Min35'!K27</f>
        <v>13</v>
      </c>
      <c r="N58" s="164">
        <f>'Scenario4-Min35'!L27</f>
        <v>33.813699999999997</v>
      </c>
      <c r="O58" s="164">
        <f>'Scenario4-Min35'!M27</f>
        <v>-117.918888</v>
      </c>
    </row>
    <row r="59" spans="1:15">
      <c r="A59" s="165" t="s">
        <v>90</v>
      </c>
      <c r="B59" s="165" t="s">
        <v>89</v>
      </c>
      <c r="C59" s="164">
        <f>'Scenario4-Min35'!A28</f>
        <v>14</v>
      </c>
      <c r="D59" s="164">
        <f>'Scenario4-Min35'!B28</f>
        <v>11</v>
      </c>
      <c r="E59" s="164" t="str">
        <f>'Scenario4-Min35'!C28</f>
        <v>Thunder Mtn</v>
      </c>
      <c r="F59" s="164">
        <f>'Scenario4-Min35'!D28</f>
        <v>4.1130588610241409E-2</v>
      </c>
      <c r="G59" s="164">
        <f>'Scenario4-Min35'!E28</f>
        <v>4.1130588610241409E-2</v>
      </c>
      <c r="H59" s="164">
        <f>'Scenario4-Min35'!F28</f>
        <v>8.4337349397590355E-2</v>
      </c>
      <c r="I59" s="164">
        <f>'Scenario4-Min35'!G28</f>
        <v>150.6555634966613</v>
      </c>
      <c r="J59" s="164">
        <f>'Scenario4-Min35'!H28</f>
        <v>35</v>
      </c>
      <c r="K59" s="164">
        <f>'Scenario4-Min35'!I28</f>
        <v>1</v>
      </c>
      <c r="L59" s="164">
        <f>'Scenario4-Min35'!J28</f>
        <v>1</v>
      </c>
      <c r="M59" s="164">
        <f>'Scenario4-Min35'!K28</f>
        <v>14</v>
      </c>
      <c r="N59" s="164">
        <f>'Scenario4-Min35'!L28</f>
        <v>33.813229</v>
      </c>
      <c r="O59" s="164">
        <f>'Scenario4-Min35'!M28</f>
        <v>-117.920417</v>
      </c>
    </row>
    <row r="60" spans="1:15">
      <c r="A60" s="165" t="s">
        <v>90</v>
      </c>
      <c r="B60" s="165" t="s">
        <v>89</v>
      </c>
      <c r="C60" s="164">
        <f>'Scenario4-Min35'!A29</f>
        <v>15</v>
      </c>
      <c r="D60" s="164">
        <f>'Scenario4-Min35'!B29</f>
        <v>2</v>
      </c>
      <c r="E60" s="164" t="str">
        <f>'Scenario4-Min35'!C29</f>
        <v>Jungle Cruise</v>
      </c>
      <c r="F60" s="164">
        <f>'Scenario4-Min35'!D29</f>
        <v>5.5340149093294128E-2</v>
      </c>
      <c r="G60" s="164">
        <f>'Scenario4-Min35'!E29</f>
        <v>5.5340149093294128E-2</v>
      </c>
      <c r="H60" s="164">
        <f>'Scenario4-Min35'!F29</f>
        <v>9.8039215686274508E-2</v>
      </c>
      <c r="I60" s="164">
        <f>'Scenario4-Min35'!G29</f>
        <v>200.11373184634655</v>
      </c>
      <c r="J60" s="164">
        <f>'Scenario4-Min35'!H29</f>
        <v>25</v>
      </c>
      <c r="K60" s="164">
        <f>'Scenario4-Min35'!I29</f>
        <v>1</v>
      </c>
      <c r="L60" s="164">
        <f>'Scenario4-Min35'!J29</f>
        <v>1</v>
      </c>
      <c r="M60" s="164">
        <f>'Scenario4-Min35'!K29</f>
        <v>15</v>
      </c>
      <c r="N60" s="164">
        <f>'Scenario4-Min35'!L29</f>
        <v>33.811466000000003</v>
      </c>
      <c r="O60" s="164">
        <f>'Scenario4-Min35'!M29</f>
        <v>-117.919982</v>
      </c>
    </row>
    <row r="61" spans="1:15">
      <c r="A61" s="165" t="s">
        <v>90</v>
      </c>
      <c r="B61" s="165" t="s">
        <v>89</v>
      </c>
      <c r="C61" s="164">
        <f>'Scenario4-Min35'!A30</f>
        <v>16</v>
      </c>
      <c r="D61" s="164">
        <f>'Scenario4-Min35'!B30</f>
        <v>3</v>
      </c>
      <c r="E61" s="164" t="str">
        <f>'Scenario4-Min35'!C30</f>
        <v>Tiki room</v>
      </c>
      <c r="F61" s="164">
        <f>'Scenario4-Min35'!D30</f>
        <v>1.3406673571440857E-2</v>
      </c>
      <c r="G61" s="164">
        <f>'Scenario4-Min35'!E30</f>
        <v>1.3406673571440857E-2</v>
      </c>
      <c r="H61" s="164">
        <f>'Scenario4-Min35'!F30</f>
        <v>6.0606060606060608E-2</v>
      </c>
      <c r="I61" s="164">
        <f>'Scenario4-Min35'!G30</f>
        <v>44.436335182955069</v>
      </c>
      <c r="J61" s="164">
        <f>'Scenario4-Min35'!H30</f>
        <v>10</v>
      </c>
      <c r="K61" s="164">
        <f>'Scenario4-Min35'!I30</f>
        <v>1</v>
      </c>
      <c r="L61" s="164">
        <f>'Scenario4-Min35'!J30</f>
        <v>1</v>
      </c>
      <c r="M61" s="164">
        <f>'Scenario4-Min35'!K30</f>
        <v>16</v>
      </c>
      <c r="N61" s="164">
        <f>'Scenario4-Min35'!L30</f>
        <v>33.811774999999997</v>
      </c>
      <c r="O61" s="164">
        <f>'Scenario4-Min35'!M30</f>
        <v>-117.91967699999999</v>
      </c>
    </row>
    <row r="62" spans="1:15">
      <c r="A62" s="165" t="s">
        <v>90</v>
      </c>
      <c r="B62" s="165" t="s">
        <v>89</v>
      </c>
      <c r="C62" s="164">
        <f>'Scenario4-Min35'!A31</f>
        <v>17</v>
      </c>
      <c r="D62" s="164">
        <f>'Scenario4-Min35'!B31</f>
        <v>14</v>
      </c>
      <c r="E62" s="164" t="str">
        <f>'Scenario4-Min35'!C31</f>
        <v>Pirates</v>
      </c>
      <c r="F62" s="164">
        <f>'Scenario4-Min35'!D31</f>
        <v>2.7735254089680056E-2</v>
      </c>
      <c r="G62" s="164">
        <f>'Scenario4-Min35'!E31</f>
        <v>2.7735254089680056E-2</v>
      </c>
      <c r="H62" s="164">
        <f>'Scenario4-Min35'!F31</f>
        <v>7.8947368421052627E-2</v>
      </c>
      <c r="I62" s="164">
        <f>'Scenario4-Min35'!G31</f>
        <v>117.05948454950837</v>
      </c>
      <c r="J62" s="164">
        <f>'Scenario4-Min35'!H31</f>
        <v>30</v>
      </c>
      <c r="K62" s="164">
        <f>'Scenario4-Min35'!I31</f>
        <v>1</v>
      </c>
      <c r="L62" s="164">
        <f>'Scenario4-Min35'!J31</f>
        <v>1</v>
      </c>
      <c r="M62" s="164">
        <f>'Scenario4-Min35'!K31</f>
        <v>17</v>
      </c>
      <c r="N62" s="164">
        <f>'Scenario4-Min35'!L31</f>
        <v>33.811318999999997</v>
      </c>
      <c r="O62" s="164">
        <f>'Scenario4-Min35'!M31</f>
        <v>-117.92081899999999</v>
      </c>
    </row>
    <row r="63" spans="1:15">
      <c r="A63" s="165" t="s">
        <v>90</v>
      </c>
      <c r="B63" s="165" t="s">
        <v>89</v>
      </c>
      <c r="C63" s="164">
        <f>'Scenario4-Min35'!A32</f>
        <v>18</v>
      </c>
      <c r="D63" s="164">
        <f>'Scenario4-Min35'!B32</f>
        <v>17</v>
      </c>
      <c r="E63" s="164" t="str">
        <f>'Scenario4-Min35'!C32</f>
        <v>Star Tours</v>
      </c>
      <c r="F63" s="164">
        <f>'Scenario4-Min35'!D32</f>
        <v>7.5540162362182181E-2</v>
      </c>
      <c r="G63" s="164">
        <f>'Scenario4-Min35'!E32</f>
        <v>7.5540162362182181E-2</v>
      </c>
      <c r="H63" s="164">
        <f>'Scenario4-Min35'!F32</f>
        <v>6.4220183486238536E-2</v>
      </c>
      <c r="I63" s="164">
        <f>'Scenario4-Min35'!G32</f>
        <v>275.07923904373905</v>
      </c>
      <c r="J63" s="164">
        <f>'Scenario4-Min35'!H32</f>
        <v>35</v>
      </c>
      <c r="K63" s="164">
        <f>'Scenario4-Min35'!I32</f>
        <v>1</v>
      </c>
      <c r="L63" s="164">
        <f>'Scenario4-Min35'!J32</f>
        <v>1</v>
      </c>
      <c r="M63" s="164">
        <f>'Scenario4-Min35'!K32</f>
        <v>18</v>
      </c>
      <c r="N63" s="164">
        <f>'Scenario4-Min35'!L32</f>
        <v>33.811883000000002</v>
      </c>
      <c r="O63" s="164">
        <f>'Scenario4-Min35'!M32</f>
        <v>-117.91792</v>
      </c>
    </row>
    <row r="64" spans="1:15">
      <c r="A64" s="165" t="s">
        <v>90</v>
      </c>
      <c r="B64" s="165" t="s">
        <v>89</v>
      </c>
      <c r="C64" s="164">
        <f>'Scenario4-Min35'!A33</f>
        <v>19</v>
      </c>
      <c r="D64" s="164">
        <f>'Scenario4-Min35'!B33</f>
        <v>15</v>
      </c>
      <c r="E64" s="164" t="str">
        <f>'Scenario4-Min35'!C33</f>
        <v>Buzz Lightyear</v>
      </c>
      <c r="F64" s="164">
        <f>'Scenario4-Min35'!D33</f>
        <v>9.6058656335458042E-3</v>
      </c>
      <c r="G64" s="164">
        <f>'Scenario4-Min35'!E33</f>
        <v>9.6058656335458042E-3</v>
      </c>
      <c r="H64" s="164">
        <f>'Scenario4-Min35'!F33</f>
        <v>5.4054054054054057E-2</v>
      </c>
      <c r="I64" s="164">
        <f>'Scenario4-Min35'!G33</f>
        <v>32.923290655312897</v>
      </c>
      <c r="J64" s="164">
        <f>'Scenario4-Min35'!H33</f>
        <v>20</v>
      </c>
      <c r="K64" s="164">
        <f>'Scenario4-Min35'!I33</f>
        <v>1</v>
      </c>
      <c r="L64" s="164">
        <f>'Scenario4-Min35'!J33</f>
        <v>1</v>
      </c>
      <c r="M64" s="164">
        <f>'Scenario4-Min35'!K33</f>
        <v>19</v>
      </c>
      <c r="N64" s="164">
        <f>'Scenario4-Min35'!L33</f>
        <v>33.812175000000003</v>
      </c>
      <c r="O64" s="164">
        <f>'Scenario4-Min35'!M33</f>
        <v>-117.917979</v>
      </c>
    </row>
    <row r="65" spans="1:15">
      <c r="A65" s="165" t="s">
        <v>90</v>
      </c>
      <c r="B65" s="165" t="s">
        <v>89</v>
      </c>
      <c r="C65" s="164">
        <f>'Scenario4-Min35'!A34</f>
        <v>20</v>
      </c>
      <c r="D65" s="164">
        <f>'Scenario4-Min35'!B34</f>
        <v>5</v>
      </c>
      <c r="E65" s="164" t="str">
        <f>'Scenario4-Min35'!C34</f>
        <v>Alice in Wonderland</v>
      </c>
      <c r="F65" s="164">
        <f>'Scenario4-Min35'!D34</f>
        <v>4.088898791800083E-2</v>
      </c>
      <c r="G65" s="164">
        <f>'Scenario4-Min35'!E34</f>
        <v>4.088898791800083E-2</v>
      </c>
      <c r="H65" s="164">
        <f>'Scenario4-Min35'!F34</f>
        <v>6.1403508771929821E-2</v>
      </c>
      <c r="I65" s="164">
        <f>'Scenario4-Min35'!G34</f>
        <v>130.10141514607648</v>
      </c>
      <c r="J65" s="164">
        <f>'Scenario4-Min35'!H34</f>
        <v>35</v>
      </c>
      <c r="K65" s="164">
        <f>'Scenario4-Min35'!I34</f>
        <v>1</v>
      </c>
      <c r="L65" s="164">
        <f>'Scenario4-Min35'!J34</f>
        <v>1</v>
      </c>
      <c r="M65" s="164">
        <f>'Scenario4-Min35'!K34</f>
        <v>20</v>
      </c>
      <c r="N65" s="164">
        <f>'Scenario4-Min35'!L34</f>
        <v>33.813315000000003</v>
      </c>
      <c r="O65" s="164">
        <f>'Scenario4-Min35'!M34</f>
        <v>-117.918296</v>
      </c>
    </row>
    <row r="66" spans="1:15">
      <c r="A66" s="165" t="s">
        <v>90</v>
      </c>
      <c r="B66" s="165" t="s">
        <v>89</v>
      </c>
      <c r="C66" s="164">
        <f>'Scenario4-Min35'!A35</f>
        <v>21</v>
      </c>
      <c r="D66" s="164">
        <f>'Scenario4-Min35'!B35</f>
        <v>4</v>
      </c>
      <c r="E66" s="164" t="str">
        <f>'Scenario4-Min35'!C35</f>
        <v>Splash Mtn</v>
      </c>
      <c r="F66" s="164">
        <f>'Scenario4-Min35'!D35</f>
        <v>7.2686753478064511E-2</v>
      </c>
      <c r="G66" s="164">
        <f>'Scenario4-Min35'!E35</f>
        <v>7.2686753478064511E-2</v>
      </c>
      <c r="H66" s="164">
        <f>'Scenario4-Min35'!F35</f>
        <v>4.7619047619047616E-2</v>
      </c>
      <c r="I66" s="164">
        <f>'Scenario4-Min35'!G35</f>
        <v>430.58523917795367</v>
      </c>
      <c r="J66" s="164">
        <f>'Scenario4-Min35'!H35</f>
        <v>25</v>
      </c>
      <c r="K66" s="164">
        <f>'Scenario4-Min35'!I35</f>
        <v>1</v>
      </c>
      <c r="L66" s="164">
        <f>'Scenario4-Min35'!J35</f>
        <v>1</v>
      </c>
      <c r="M66" s="164">
        <f>'Scenario4-Min35'!K35</f>
        <v>21</v>
      </c>
      <c r="N66" s="164">
        <f>'Scenario4-Min35'!L35</f>
        <v>33.812258999999997</v>
      </c>
      <c r="O66" s="164">
        <f>'Scenario4-Min35'!M35</f>
        <v>-117.92278</v>
      </c>
    </row>
    <row r="67" spans="1:15">
      <c r="A67" s="165" t="s">
        <v>90</v>
      </c>
      <c r="B67" s="165" t="s">
        <v>89</v>
      </c>
      <c r="C67" s="164">
        <f>'Scenario4-Min35'!A36</f>
        <v>22</v>
      </c>
      <c r="D67" s="164">
        <f>'Scenario4-Min35'!B36</f>
        <v>13</v>
      </c>
      <c r="E67" s="164" t="str">
        <f>'Scenario4-Min35'!C36</f>
        <v>Haunted Mansion</v>
      </c>
      <c r="F67" s="164">
        <f>'Scenario4-Min35'!D36</f>
        <v>1.6348341587255268E-2</v>
      </c>
      <c r="G67" s="164">
        <f>'Scenario4-Min35'!E36</f>
        <v>1.6348341587255268E-2</v>
      </c>
      <c r="H67" s="164">
        <f>'Scenario4-Min35'!F36</f>
        <v>3.7037037037037035E-2</v>
      </c>
      <c r="I67" s="164">
        <f>'Scenario4-Min35'!G36</f>
        <v>85.530866119049492</v>
      </c>
      <c r="J67" s="164">
        <f>'Scenario4-Min35'!H36</f>
        <v>15</v>
      </c>
      <c r="K67" s="164">
        <f>'Scenario4-Min35'!I36</f>
        <v>1</v>
      </c>
      <c r="L67" s="164">
        <f>'Scenario4-Min35'!J36</f>
        <v>1</v>
      </c>
      <c r="M67" s="164">
        <f>'Scenario4-Min35'!K36</f>
        <v>22</v>
      </c>
      <c r="N67" s="164">
        <f>'Scenario4-Min35'!L36</f>
        <v>33.811723000000001</v>
      </c>
      <c r="O67" s="164">
        <f>'Scenario4-Min35'!M36</f>
        <v>-117.922116</v>
      </c>
    </row>
    <row r="68" spans="1:15">
      <c r="A68" s="165" t="s">
        <v>90</v>
      </c>
      <c r="B68" s="165" t="s">
        <v>89</v>
      </c>
      <c r="C68" s="164">
        <f>'Scenario4-Min35'!A37</f>
        <v>23</v>
      </c>
      <c r="D68" s="164">
        <f>'Scenario4-Min35'!B37</f>
        <v>1</v>
      </c>
      <c r="E68" s="164" t="str">
        <f>'Scenario4-Min35'!C37</f>
        <v>Indiana Jones</v>
      </c>
      <c r="F68" s="164">
        <f>'Scenario4-Min35'!D37</f>
        <v>4.3406939779412235E-2</v>
      </c>
      <c r="G68" s="164">
        <f>'Scenario4-Min35'!E37</f>
        <v>4.3406939779412235E-2</v>
      </c>
      <c r="H68" s="164">
        <f>'Scenario4-Min35'!F37</f>
        <v>2.7586206896551724E-2</v>
      </c>
      <c r="I68" s="164">
        <f>'Scenario4-Min35'!G37</f>
        <v>166.24766329420825</v>
      </c>
      <c r="J68" s="164">
        <f>'Scenario4-Min35'!H37</f>
        <v>20</v>
      </c>
      <c r="K68" s="164">
        <f>'Scenario4-Min35'!I37</f>
        <v>1</v>
      </c>
      <c r="L68" s="164">
        <f>'Scenario4-Min35'!J37</f>
        <v>1</v>
      </c>
      <c r="M68" s="164">
        <f>'Scenario4-Min35'!K37</f>
        <v>23</v>
      </c>
      <c r="N68" s="164">
        <f>'Scenario4-Min35'!L37</f>
        <v>33.811404000000003</v>
      </c>
      <c r="O68" s="164">
        <f>'Scenario4-Min35'!M37</f>
        <v>-117.92035799999999</v>
      </c>
    </row>
    <row r="69" spans="1:15">
      <c r="A69" s="165" t="s">
        <v>90</v>
      </c>
      <c r="B69" s="165" t="s">
        <v>89</v>
      </c>
      <c r="C69" s="164">
        <f>'Scenario4-Min35'!A38</f>
        <v>24</v>
      </c>
      <c r="D69" s="164">
        <f>'Scenario4-Min35'!B38</f>
        <v>16</v>
      </c>
      <c r="E69" s="164" t="str">
        <f>'Scenario4-Min35'!C38</f>
        <v>Space Mtn</v>
      </c>
      <c r="F69" s="164">
        <f>'Scenario4-Min35'!D38</f>
        <v>6.1611762184374974E-2</v>
      </c>
      <c r="G69" s="164">
        <f>'Scenario4-Min35'!E38</f>
        <v>6.1611762184374974E-2</v>
      </c>
      <c r="H69" s="164">
        <f>'Scenario4-Min35'!F38</f>
        <v>3.6585365853658534E-2</v>
      </c>
      <c r="I69" s="164">
        <f>'Scenario4-Min35'!G38</f>
        <v>285.48610254472004</v>
      </c>
      <c r="J69" s="164">
        <f>'Scenario4-Min35'!H38</f>
        <v>29.999999999999996</v>
      </c>
      <c r="K69" s="164">
        <f>'Scenario4-Min35'!I38</f>
        <v>1</v>
      </c>
      <c r="L69" s="164">
        <f>'Scenario4-Min35'!J38</f>
        <v>1</v>
      </c>
      <c r="M69" s="164">
        <f>'Scenario4-Min35'!K38</f>
        <v>24</v>
      </c>
      <c r="N69" s="164">
        <f>'Scenario4-Min35'!L38</f>
        <v>33.811390000000003</v>
      </c>
      <c r="O69" s="164">
        <f>'Scenario4-Min35'!M38</f>
        <v>-117.91726800000001</v>
      </c>
    </row>
    <row r="70" spans="1:15">
      <c r="A70" s="165" t="s">
        <v>91</v>
      </c>
      <c r="B70" s="165" t="s">
        <v>86</v>
      </c>
      <c r="C70" s="164">
        <f>'MKScenario1-BestPath'!A20</f>
        <v>8</v>
      </c>
      <c r="D70" s="164">
        <f>'MKScenario1-BestPath'!B20</f>
        <v>3</v>
      </c>
      <c r="E70" s="164" t="str">
        <f>'MKScenario1-BestPath'!C20</f>
        <v>buzz-lightyears-space-ranger-spin</v>
      </c>
      <c r="F70" s="164">
        <f>'MKScenario1-BestPath'!D20</f>
        <v>0</v>
      </c>
      <c r="G70" s="164">
        <f>'MKScenario1-BestPath'!E20</f>
        <v>0</v>
      </c>
      <c r="H70" s="164">
        <f>'MKScenario1-BestPath'!F20</f>
        <v>8.6206896551724137E-3</v>
      </c>
      <c r="I70" s="164">
        <f>'MKScenario1-BestPath'!G20</f>
        <v>0</v>
      </c>
      <c r="J70" s="164">
        <f>'MKScenario1-BestPath'!H20</f>
        <v>5</v>
      </c>
      <c r="K70" s="164">
        <f>'MKScenario1-BestPath'!I20</f>
        <v>1</v>
      </c>
      <c r="L70" s="164">
        <f>'MKScenario1-BestPath'!J20</f>
        <v>1</v>
      </c>
      <c r="M70" s="164">
        <f>'MKScenario1-BestPath'!K20</f>
        <v>8</v>
      </c>
      <c r="N70" s="164">
        <f>'MKScenario1-BestPath'!L20</f>
        <v>28.418243</v>
      </c>
      <c r="O70" s="164">
        <f>'MKScenario1-BestPath'!M20</f>
        <v>-81.579359999999994</v>
      </c>
    </row>
    <row r="71" spans="1:15">
      <c r="A71" s="165" t="s">
        <v>91</v>
      </c>
      <c r="B71" s="165" t="s">
        <v>86</v>
      </c>
      <c r="C71" s="164">
        <f>'MKScenario1-BestPath'!A21</f>
        <v>9</v>
      </c>
      <c r="D71" s="164">
        <f>'MKScenario1-BestPath'!B21</f>
        <v>11</v>
      </c>
      <c r="E71" s="164" t="str">
        <f>'MKScenario1-BestPath'!C21</f>
        <v>seven-dwarfs-mine-train</v>
      </c>
      <c r="F71" s="164">
        <f>'MKScenario1-BestPath'!D21</f>
        <v>5.7890112992331204E-2</v>
      </c>
      <c r="G71" s="164">
        <f>'MKScenario1-BestPath'!E21</f>
        <v>5.7890112992331204E-2</v>
      </c>
      <c r="H71" s="164">
        <f>'MKScenario1-BestPath'!F21</f>
        <v>7.9051383399209481E-3</v>
      </c>
      <c r="I71" s="164">
        <f>'MKScenario1-BestPath'!G21</f>
        <v>413.86441663557724</v>
      </c>
      <c r="J71" s="164">
        <f>'MKScenario1-BestPath'!H21</f>
        <v>10</v>
      </c>
      <c r="K71" s="164">
        <f>'MKScenario1-BestPath'!I21</f>
        <v>1</v>
      </c>
      <c r="L71" s="164">
        <f>'MKScenario1-BestPath'!J21</f>
        <v>1</v>
      </c>
      <c r="M71" s="164">
        <f>'MKScenario1-BestPath'!K21</f>
        <v>9</v>
      </c>
      <c r="N71" s="164">
        <f>'MKScenario1-BestPath'!L21</f>
        <v>28.420463999999999</v>
      </c>
      <c r="O71" s="164">
        <f>'MKScenario1-BestPath'!M21</f>
        <v>-81.580502999999993</v>
      </c>
    </row>
    <row r="72" spans="1:15">
      <c r="A72" s="165" t="s">
        <v>91</v>
      </c>
      <c r="B72" s="165" t="s">
        <v>86</v>
      </c>
      <c r="C72" s="164">
        <f>'MKScenario1-BestPath'!A22</f>
        <v>10</v>
      </c>
      <c r="D72" s="164">
        <f>'MKScenario1-BestPath'!B22</f>
        <v>12</v>
      </c>
      <c r="E72" s="164" t="str">
        <f>'MKScenario1-BestPath'!C22</f>
        <v>space-mountain</v>
      </c>
      <c r="F72" s="164">
        <f>'MKScenario1-BestPath'!D22</f>
        <v>6.5264966140275119E-2</v>
      </c>
      <c r="G72" s="164">
        <f>'MKScenario1-BestPath'!E22</f>
        <v>6.5264966140275119E-2</v>
      </c>
      <c r="H72" s="164">
        <f>'MKScenario1-BestPath'!F22</f>
        <v>4.9261083743842367E-2</v>
      </c>
      <c r="I72" s="164">
        <f>'MKScenario1-BestPath'!G22</f>
        <v>229.52406256746684</v>
      </c>
      <c r="J72" s="164">
        <f>'MKScenario1-BestPath'!H22</f>
        <v>50</v>
      </c>
      <c r="K72" s="164">
        <f>'MKScenario1-BestPath'!I22</f>
        <v>1</v>
      </c>
      <c r="L72" s="164">
        <f>'MKScenario1-BestPath'!J22</f>
        <v>1</v>
      </c>
      <c r="M72" s="164">
        <f>'MKScenario1-BestPath'!K22</f>
        <v>10</v>
      </c>
      <c r="N72" s="164">
        <f>'MKScenario1-BestPath'!L22</f>
        <v>28.419082</v>
      </c>
      <c r="O72" s="164">
        <f>'MKScenario1-BestPath'!M22</f>
        <v>-81.577305999999993</v>
      </c>
    </row>
    <row r="73" spans="1:15">
      <c r="A73" s="165" t="s">
        <v>91</v>
      </c>
      <c r="B73" s="165" t="s">
        <v>86</v>
      </c>
      <c r="C73" s="164">
        <f>'MKScenario1-BestPath'!A23</f>
        <v>11</v>
      </c>
      <c r="D73" s="164">
        <f>'MKScenario1-BestPath'!B23</f>
        <v>7</v>
      </c>
      <c r="E73" s="164" t="str">
        <f>'MKScenario1-BestPath'!C23</f>
        <v>jungle-cruise</v>
      </c>
      <c r="F73" s="164">
        <f>'MKScenario1-BestPath'!D23</f>
        <v>2.0024271268220917E-2</v>
      </c>
      <c r="G73" s="164">
        <f>'MKScenario1-BestPath'!E23</f>
        <v>2.0024271268220917E-2</v>
      </c>
      <c r="H73" s="164">
        <f>'MKScenario1-BestPath'!F23</f>
        <v>5.6603773584905662E-2</v>
      </c>
      <c r="I73" s="164">
        <f>'MKScenario1-BestPath'!G23</f>
        <v>196.24129880676142</v>
      </c>
      <c r="J73" s="164">
        <f>'MKScenario1-BestPath'!H23</f>
        <v>45</v>
      </c>
      <c r="K73" s="164">
        <f>'MKScenario1-BestPath'!I23</f>
        <v>1</v>
      </c>
      <c r="L73" s="164">
        <f>'MKScenario1-BestPath'!J23</f>
        <v>1</v>
      </c>
      <c r="M73" s="164">
        <f>'MKScenario1-BestPath'!K23</f>
        <v>11</v>
      </c>
      <c r="N73" s="164">
        <f>'MKScenario1-BestPath'!L23</f>
        <v>28.418016000000001</v>
      </c>
      <c r="O73" s="164">
        <f>'MKScenario1-BestPath'!M23</f>
        <v>-81.583437000000004</v>
      </c>
    </row>
    <row r="74" spans="1:15">
      <c r="A74" s="165" t="s">
        <v>91</v>
      </c>
      <c r="B74" s="165" t="s">
        <v>86</v>
      </c>
      <c r="C74" s="164">
        <f>'MKScenario1-BestPath'!A24</f>
        <v>12</v>
      </c>
      <c r="D74" s="164">
        <f>'MKScenario1-BestPath'!B24</f>
        <v>6</v>
      </c>
      <c r="E74" s="164" t="str">
        <f>'MKScenario1-BestPath'!C24</f>
        <v>its-a-small-world</v>
      </c>
      <c r="F74" s="164">
        <f>'MKScenario1-BestPath'!D24</f>
        <v>4.8502488917617437E-2</v>
      </c>
      <c r="G74" s="164">
        <f>'MKScenario1-BestPath'!E24</f>
        <v>4.8502488917617437E-2</v>
      </c>
      <c r="H74" s="164">
        <f>'MKScenario1-BestPath'!F24</f>
        <v>3.6363636363636362E-2</v>
      </c>
      <c r="I74" s="164">
        <f>'MKScenario1-BestPath'!G24</f>
        <v>0</v>
      </c>
      <c r="J74" s="164">
        <f>'MKScenario1-BestPath'!H24</f>
        <v>10</v>
      </c>
      <c r="K74" s="164">
        <f>'MKScenario1-BestPath'!I24</f>
        <v>1</v>
      </c>
      <c r="L74" s="164">
        <f>'MKScenario1-BestPath'!J24</f>
        <v>1</v>
      </c>
      <c r="M74" s="164">
        <f>'MKScenario1-BestPath'!K24</f>
        <v>12</v>
      </c>
      <c r="N74" s="164">
        <f>'MKScenario1-BestPath'!L24</f>
        <v>28.420539999999999</v>
      </c>
      <c r="O74" s="164">
        <f>'MKScenario1-BestPath'!M24</f>
        <v>-81.581951000000004</v>
      </c>
    </row>
    <row r="75" spans="1:15">
      <c r="A75" s="165" t="s">
        <v>91</v>
      </c>
      <c r="B75" s="165" t="s">
        <v>86</v>
      </c>
      <c r="C75" s="164">
        <f>'MKScenario1-BestPath'!A25</f>
        <v>13</v>
      </c>
      <c r="D75" s="164">
        <f>'MKScenario1-BestPath'!B25</f>
        <v>10</v>
      </c>
      <c r="E75" s="164" t="str">
        <f>'MKScenario1-BestPath'!C25</f>
        <v>pirates-of-the-caribbean</v>
      </c>
      <c r="F75" s="164">
        <f>'MKScenario1-BestPath'!D25</f>
        <v>2.1224732711973001E-2</v>
      </c>
      <c r="G75" s="164">
        <f>'MKScenario1-BestPath'!E25</f>
        <v>2.1224732711973001E-2</v>
      </c>
      <c r="H75" s="164">
        <f>'MKScenario1-BestPath'!F25</f>
        <v>6.4814814814814811E-2</v>
      </c>
      <c r="I75" s="164">
        <f>'MKScenario1-BestPath'!G25</f>
        <v>150.6555634966613</v>
      </c>
      <c r="J75" s="164">
        <f>'MKScenario1-BestPath'!H25</f>
        <v>35</v>
      </c>
      <c r="K75" s="164">
        <f>'MKScenario1-BestPath'!I25</f>
        <v>1</v>
      </c>
      <c r="L75" s="164">
        <f>'MKScenario1-BestPath'!J25</f>
        <v>1</v>
      </c>
      <c r="M75" s="164">
        <f>'MKScenario1-BestPath'!K25</f>
        <v>13</v>
      </c>
      <c r="N75" s="164">
        <f>'MKScenario1-BestPath'!L25</f>
        <v>28.418123999999999</v>
      </c>
      <c r="O75" s="164">
        <f>'MKScenario1-BestPath'!M25</f>
        <v>-81.584284999999994</v>
      </c>
    </row>
    <row r="76" spans="1:15">
      <c r="A76" s="165" t="s">
        <v>91</v>
      </c>
      <c r="B76" s="165" t="s">
        <v>86</v>
      </c>
      <c r="C76" s="164">
        <f>'MKScenario1-BestPath'!A26</f>
        <v>14</v>
      </c>
      <c r="D76" s="164">
        <f>'MKScenario1-BestPath'!B26</f>
        <v>5</v>
      </c>
      <c r="E76" s="164" t="str">
        <f>'MKScenario1-BestPath'!C26</f>
        <v>haunted-mansion</v>
      </c>
      <c r="F76" s="164">
        <f>'MKScenario1-BestPath'!D26</f>
        <v>1.9123562363221994E-2</v>
      </c>
      <c r="G76" s="164">
        <f>'MKScenario1-BestPath'!E26</f>
        <v>1.9123562363221994E-2</v>
      </c>
      <c r="H76" s="164">
        <f>'MKScenario1-BestPath'!F26</f>
        <v>6.4000000000000001E-2</v>
      </c>
      <c r="I76" s="164">
        <f>'MKScenario1-BestPath'!G26</f>
        <v>55.11594960765737</v>
      </c>
      <c r="J76" s="164">
        <f>'MKScenario1-BestPath'!H26</f>
        <v>40</v>
      </c>
      <c r="K76" s="164">
        <f>'MKScenario1-BestPath'!I26</f>
        <v>1</v>
      </c>
      <c r="L76" s="164">
        <f>'MKScenario1-BestPath'!J26</f>
        <v>1</v>
      </c>
      <c r="M76" s="164">
        <f>'MKScenario1-BestPath'!K26</f>
        <v>14</v>
      </c>
      <c r="N76" s="164">
        <f>'MKScenario1-BestPath'!L26</f>
        <v>28.420445999999998</v>
      </c>
      <c r="O76" s="164">
        <f>'MKScenario1-BestPath'!M26</f>
        <v>-81.582879000000005</v>
      </c>
    </row>
    <row r="77" spans="1:15">
      <c r="A77" s="165" t="s">
        <v>91</v>
      </c>
      <c r="B77" s="165" t="s">
        <v>86</v>
      </c>
      <c r="C77" s="164">
        <f>'MKScenario1-BestPath'!A27</f>
        <v>15</v>
      </c>
      <c r="D77" s="164">
        <f>'MKScenario1-BestPath'!B27</f>
        <v>8</v>
      </c>
      <c r="E77" s="164" t="str">
        <f>'MKScenario1-BestPath'!C27</f>
        <v>monsters-inc-laugh-floor</v>
      </c>
      <c r="F77" s="164">
        <f>'MKScenario1-BestPath'!D27</f>
        <v>7.7395722034668945E-3</v>
      </c>
      <c r="G77" s="164">
        <f>'MKScenario1-BestPath'!E27</f>
        <v>7.7395722034668945E-3</v>
      </c>
      <c r="H77" s="164">
        <f>'MKScenario1-BestPath'!F27</f>
        <v>5.8823529411764705E-2</v>
      </c>
      <c r="I77" s="164">
        <f>'MKScenario1-BestPath'!G27</f>
        <v>46.120406617537434</v>
      </c>
      <c r="J77" s="164">
        <f>'MKScenario1-BestPath'!H27</f>
        <v>10</v>
      </c>
      <c r="K77" s="164">
        <f>'MKScenario1-BestPath'!I27</f>
        <v>1</v>
      </c>
      <c r="L77" s="164">
        <f>'MKScenario1-BestPath'!J27</f>
        <v>1</v>
      </c>
      <c r="M77" s="164">
        <f>'MKScenario1-BestPath'!K27</f>
        <v>15</v>
      </c>
      <c r="N77" s="164">
        <f>'MKScenario1-BestPath'!L27</f>
        <v>28.418417000000002</v>
      </c>
      <c r="O77" s="164">
        <f>'MKScenario1-BestPath'!M27</f>
        <v>-81.579811000000007</v>
      </c>
    </row>
    <row r="78" spans="1:15">
      <c r="A78" s="165" t="s">
        <v>91</v>
      </c>
      <c r="B78" s="165" t="s">
        <v>86</v>
      </c>
      <c r="C78" s="164">
        <f>'MKScenario1-BestPath'!A28</f>
        <v>16</v>
      </c>
      <c r="D78" s="164">
        <f>'MKScenario1-BestPath'!B28</f>
        <v>9</v>
      </c>
      <c r="E78" s="164" t="str">
        <f>'MKScenario1-BestPath'!C28</f>
        <v>peter-pans-flight</v>
      </c>
      <c r="F78" s="164">
        <f>'MKScenario1-BestPath'!D28</f>
        <v>2.0897411024069883E-2</v>
      </c>
      <c r="G78" s="164">
        <f>'MKScenario1-BestPath'!E28</f>
        <v>2.0897411024069883E-2</v>
      </c>
      <c r="H78" s="164">
        <f>'MKScenario1-BestPath'!F28</f>
        <v>6.2111801242236024E-2</v>
      </c>
      <c r="I78" s="164">
        <f>'MKScenario1-BestPath'!G28</f>
        <v>58.440074323805938</v>
      </c>
      <c r="J78" s="164">
        <f>'MKScenario1-BestPath'!H28</f>
        <v>50</v>
      </c>
      <c r="K78" s="164">
        <f>'MKScenario1-BestPath'!I28</f>
        <v>1</v>
      </c>
      <c r="L78" s="164">
        <f>'MKScenario1-BestPath'!J28</f>
        <v>1</v>
      </c>
      <c r="M78" s="164">
        <f>'MKScenario1-BestPath'!K28</f>
        <v>16</v>
      </c>
      <c r="N78" s="164">
        <f>'MKScenario1-BestPath'!L28</f>
        <v>28.420356000000002</v>
      </c>
      <c r="O78" s="164">
        <f>'MKScenario1-BestPath'!M28</f>
        <v>-81.581855000000004</v>
      </c>
    </row>
    <row r="79" spans="1:15">
      <c r="A79" s="165" t="s">
        <v>91</v>
      </c>
      <c r="B79" s="165" t="s">
        <v>86</v>
      </c>
      <c r="C79" s="164">
        <f>'MKScenario1-BestPath'!A29</f>
        <v>17</v>
      </c>
      <c r="D79" s="164">
        <f>'MKScenario1-BestPath'!B29</f>
        <v>15</v>
      </c>
      <c r="E79" s="164" t="str">
        <f>'MKScenario1-BestPath'!C29</f>
        <v>tomorrowland-speedway</v>
      </c>
      <c r="F79" s="164">
        <f>'MKScenario1-BestPath'!D29</f>
        <v>3.0603092403673621E-2</v>
      </c>
      <c r="G79" s="164">
        <f>'MKScenario1-BestPath'!E29</f>
        <v>3.0603092403673621E-2</v>
      </c>
      <c r="H79" s="164">
        <f>'MKScenario1-BestPath'!F29</f>
        <v>7.0422535211267609E-2</v>
      </c>
      <c r="I79" s="164">
        <f>'MKScenario1-BestPath'!G29</f>
        <v>0</v>
      </c>
      <c r="J79" s="164">
        <f>'MKScenario1-BestPath'!H29</f>
        <v>25</v>
      </c>
      <c r="K79" s="164">
        <f>'MKScenario1-BestPath'!I29</f>
        <v>1</v>
      </c>
      <c r="L79" s="164">
        <f>'MKScenario1-BestPath'!J29</f>
        <v>1</v>
      </c>
      <c r="M79" s="164">
        <f>'MKScenario1-BestPath'!K29</f>
        <v>17</v>
      </c>
      <c r="N79" s="164">
        <f>'MKScenario1-BestPath'!L29</f>
        <v>28.419384000000001</v>
      </c>
      <c r="O79" s="164">
        <f>'MKScenario1-BestPath'!M29</f>
        <v>-81.579367000000005</v>
      </c>
    </row>
    <row r="80" spans="1:15">
      <c r="A80" s="165" t="s">
        <v>91</v>
      </c>
      <c r="B80" s="165" t="s">
        <v>86</v>
      </c>
      <c r="C80" s="164">
        <f>'MKScenario1-BestPath'!A30</f>
        <v>18</v>
      </c>
      <c r="D80" s="164">
        <f>'MKScenario1-BestPath'!B30</f>
        <v>14</v>
      </c>
      <c r="E80" s="164" t="str">
        <f>'MKScenario1-BestPath'!C30</f>
        <v>the-many-adventures-of-winnie-the-pooh</v>
      </c>
      <c r="F80" s="164">
        <f>'MKScenario1-BestPath'!D30</f>
        <v>7.7159829397700191E-2</v>
      </c>
      <c r="G80" s="164">
        <f>'MKScenario1-BestPath'!E30</f>
        <v>7.7159829397700191E-2</v>
      </c>
      <c r="H80" s="164">
        <f>'MKScenario1-BestPath'!F30</f>
        <v>7.2289156626506021E-2</v>
      </c>
      <c r="I80" s="164">
        <f>'MKScenario1-BestPath'!G30</f>
        <v>0</v>
      </c>
      <c r="J80" s="164">
        <f>'MKScenario1-BestPath'!H30</f>
        <v>30</v>
      </c>
      <c r="K80" s="164">
        <f>'MKScenario1-BestPath'!I30</f>
        <v>1</v>
      </c>
      <c r="L80" s="164">
        <f>'MKScenario1-BestPath'!J30</f>
        <v>1</v>
      </c>
      <c r="M80" s="164">
        <f>'MKScenario1-BestPath'!K30</f>
        <v>18</v>
      </c>
      <c r="N80" s="164">
        <f>'MKScenario1-BestPath'!L30</f>
        <v>28.420138999999999</v>
      </c>
      <c r="O80" s="164">
        <f>'MKScenario1-BestPath'!M30</f>
        <v>-81.580201000000002</v>
      </c>
    </row>
    <row r="81" spans="1:15">
      <c r="A81" s="165" t="s">
        <v>91</v>
      </c>
      <c r="B81" s="165" t="s">
        <v>86</v>
      </c>
      <c r="C81" s="164">
        <f>'MKScenario1-BestPath'!A31</f>
        <v>19</v>
      </c>
      <c r="D81" s="164">
        <f>'MKScenario1-BestPath'!B31</f>
        <v>1</v>
      </c>
      <c r="E81" s="164" t="str">
        <f>'MKScenario1-BestPath'!C31</f>
        <v>astro-orbiter</v>
      </c>
      <c r="F81" s="164">
        <f>'MKScenario1-BestPath'!D31</f>
        <v>1.3168409585852855E-2</v>
      </c>
      <c r="G81" s="164">
        <f>'MKScenario1-BestPath'!E31</f>
        <v>1.3168409585852855E-2</v>
      </c>
      <c r="H81" s="164">
        <f>'MKScenario1-BestPath'!F31</f>
        <v>4.0540540540540543E-2</v>
      </c>
      <c r="I81" s="164">
        <f>'MKScenario1-BestPath'!G31</f>
        <v>79.03822260954027</v>
      </c>
      <c r="J81" s="164">
        <f>'MKScenario1-BestPath'!H31</f>
        <v>15</v>
      </c>
      <c r="K81" s="164">
        <f>'MKScenario1-BestPath'!I31</f>
        <v>1</v>
      </c>
      <c r="L81" s="164">
        <f>'MKScenario1-BestPath'!J31</f>
        <v>1</v>
      </c>
      <c r="M81" s="164">
        <f>'MKScenario1-BestPath'!K31</f>
        <v>19</v>
      </c>
      <c r="N81" s="164">
        <f>'MKScenario1-BestPath'!L31</f>
        <v>28.418493000000002</v>
      </c>
      <c r="O81" s="164">
        <f>'MKScenario1-BestPath'!M31</f>
        <v>-81.579230999999993</v>
      </c>
    </row>
    <row r="82" spans="1:15">
      <c r="A82" s="165" t="s">
        <v>91</v>
      </c>
      <c r="B82" s="165" t="s">
        <v>86</v>
      </c>
      <c r="C82" s="164">
        <f>'MKScenario1-BestPath'!A32</f>
        <v>20</v>
      </c>
      <c r="D82" s="164">
        <f>'MKScenario1-BestPath'!B32</f>
        <v>2</v>
      </c>
      <c r="E82" s="164" t="str">
        <f>'MKScenario1-BestPath'!C32</f>
        <v>big-thunder-mountain-railroad</v>
      </c>
      <c r="F82" s="164">
        <f>'MKScenario1-BestPath'!D32</f>
        <v>1.117527131493248E-2</v>
      </c>
      <c r="G82" s="164">
        <f>'MKScenario1-BestPath'!E32</f>
        <v>1.117527131493248E-2</v>
      </c>
      <c r="H82" s="164">
        <f>'MKScenario1-BestPath'!F32</f>
        <v>3.6231884057971016E-2</v>
      </c>
      <c r="I82" s="164">
        <f>'MKScenario1-BestPath'!G32</f>
        <v>75.235308449802986</v>
      </c>
      <c r="J82" s="164">
        <f>'MKScenario1-BestPath'!H32</f>
        <v>25</v>
      </c>
      <c r="K82" s="164">
        <f>'MKScenario1-BestPath'!I32</f>
        <v>1</v>
      </c>
      <c r="L82" s="164">
        <f>'MKScenario1-BestPath'!J32</f>
        <v>1</v>
      </c>
      <c r="M82" s="164">
        <f>'MKScenario1-BestPath'!K32</f>
        <v>20</v>
      </c>
      <c r="N82" s="164">
        <f>'MKScenario1-BestPath'!L32</f>
        <v>28.420021999999999</v>
      </c>
      <c r="O82" s="164">
        <f>'MKScenario1-BestPath'!M32</f>
        <v>-81.584692000000004</v>
      </c>
    </row>
    <row r="83" spans="1:15">
      <c r="A83" s="165" t="s">
        <v>91</v>
      </c>
      <c r="B83" s="165" t="s">
        <v>86</v>
      </c>
      <c r="C83" s="164">
        <f>'MKScenario1-BestPath'!A33</f>
        <v>21</v>
      </c>
      <c r="D83" s="164">
        <f>'MKScenario1-BestPath'!B33</f>
        <v>4</v>
      </c>
      <c r="E83" s="164" t="str">
        <f>'MKScenario1-BestPath'!C33</f>
        <v>dumbo-the-flying-elephant</v>
      </c>
      <c r="F83" s="164">
        <f>'MKScenario1-BestPath'!D33</f>
        <v>5.5126561601008373E-2</v>
      </c>
      <c r="G83" s="164">
        <f>'MKScenario1-BestPath'!E33</f>
        <v>5.5126561601008373E-2</v>
      </c>
      <c r="H83" s="164">
        <f>'MKScenario1-BestPath'!F33</f>
        <v>8.3333333333333329E-2</v>
      </c>
      <c r="I83" s="164">
        <f>'MKScenario1-BestPath'!G33</f>
        <v>257.94215654492939</v>
      </c>
      <c r="J83" s="164">
        <f>'MKScenario1-BestPath'!H33</f>
        <v>25</v>
      </c>
      <c r="K83" s="164">
        <f>'MKScenario1-BestPath'!I33</f>
        <v>1</v>
      </c>
      <c r="L83" s="164">
        <f>'MKScenario1-BestPath'!J33</f>
        <v>1</v>
      </c>
      <c r="M83" s="164">
        <f>'MKScenario1-BestPath'!K33</f>
        <v>21</v>
      </c>
      <c r="N83" s="164">
        <f>'MKScenario1-BestPath'!L33</f>
        <v>28.420459999999999</v>
      </c>
      <c r="O83" s="164">
        <f>'MKScenario1-BestPath'!M33</f>
        <v>-81.578979000000004</v>
      </c>
    </row>
    <row r="84" spans="1:15">
      <c r="A84" s="165" t="s">
        <v>91</v>
      </c>
      <c r="B84" s="165" t="s">
        <v>86</v>
      </c>
      <c r="C84" s="164">
        <f>'MKScenario1-BestPath'!A34</f>
        <v>22</v>
      </c>
      <c r="D84" s="164">
        <f>'MKScenario1-BestPath'!B34</f>
        <v>13</v>
      </c>
      <c r="E84" s="164" t="str">
        <f>'MKScenario1-BestPath'!C34</f>
        <v>splash-mountain</v>
      </c>
      <c r="F84" s="164">
        <f>'MKScenario1-BestPath'!D34</f>
        <v>1.9464148409406176E-2</v>
      </c>
      <c r="G84" s="164">
        <f>'MKScenario1-BestPath'!E34</f>
        <v>1.9464148409406176E-2</v>
      </c>
      <c r="H84" s="164">
        <f>'MKScenario1-BestPath'!F34</f>
        <v>4.8192771084337352E-2</v>
      </c>
      <c r="I84" s="164">
        <f>'MKScenario1-BestPath'!G34</f>
        <v>209.16282830150311</v>
      </c>
      <c r="J84" s="164">
        <f>'MKScenario1-BestPath'!H34</f>
        <v>20</v>
      </c>
      <c r="K84" s="164">
        <f>'MKScenario1-BestPath'!I34</f>
        <v>1</v>
      </c>
      <c r="L84" s="164">
        <f>'MKScenario1-BestPath'!J34</f>
        <v>1</v>
      </c>
      <c r="M84" s="164">
        <f>'MKScenario1-BestPath'!K34</f>
        <v>22</v>
      </c>
      <c r="N84" s="164">
        <f>'MKScenario1-BestPath'!L34</f>
        <v>28.419139000000001</v>
      </c>
      <c r="O84" s="164">
        <f>'MKScenario1-BestPath'!M34</f>
        <v>-81.585058000000004</v>
      </c>
    </row>
    <row r="85" spans="1:15">
      <c r="A85" s="165" t="s">
        <v>91</v>
      </c>
      <c r="B85" s="165" t="s">
        <v>87</v>
      </c>
      <c r="C85" s="164">
        <f>'MKScenario2-MinWalk'!A20</f>
        <v>8</v>
      </c>
      <c r="D85" s="164">
        <f>'MKScenario2-MinWalk'!B20</f>
        <v>11</v>
      </c>
      <c r="E85" s="164" t="str">
        <f>'MKScenario2-MinWalk'!C20</f>
        <v>seven-dwarfs-mine-train</v>
      </c>
      <c r="F85" s="164">
        <f>'MKScenario2-MinWalk'!D20</f>
        <v>0</v>
      </c>
      <c r="G85" s="164">
        <f>'MKScenario2-MinWalk'!E20</f>
        <v>0</v>
      </c>
      <c r="H85" s="164">
        <f>'MKScenario2-MinWalk'!F20</f>
        <v>7.9051383399209481E-3</v>
      </c>
      <c r="I85" s="164">
        <f>'MKScenario2-MinWalk'!G20</f>
        <v>0</v>
      </c>
      <c r="J85" s="164">
        <f>'MKScenario2-MinWalk'!H20</f>
        <v>10</v>
      </c>
      <c r="K85" s="164">
        <f>'MKScenario2-MinWalk'!I20</f>
        <v>1</v>
      </c>
      <c r="L85" s="164">
        <f>'MKScenario2-MinWalk'!J20</f>
        <v>1</v>
      </c>
      <c r="M85" s="164">
        <f>'MKScenario2-MinWalk'!K20</f>
        <v>8</v>
      </c>
      <c r="N85" s="164">
        <f>'MKScenario2-MinWalk'!L20</f>
        <v>28.420463999999999</v>
      </c>
      <c r="O85" s="164">
        <f>'MKScenario2-MinWalk'!M20</f>
        <v>-81.580502999999993</v>
      </c>
    </row>
    <row r="86" spans="1:15">
      <c r="A86" s="165" t="s">
        <v>91</v>
      </c>
      <c r="B86" s="165" t="s">
        <v>87</v>
      </c>
      <c r="C86" s="164">
        <f>'MKScenario2-MinWalk'!A21</f>
        <v>9</v>
      </c>
      <c r="D86" s="164">
        <f>'MKScenario2-MinWalk'!B21</f>
        <v>4</v>
      </c>
      <c r="E86" s="164" t="str">
        <f>'MKScenario2-MinWalk'!C21</f>
        <v>dumbo-the-flying-elephant</v>
      </c>
      <c r="F86" s="164">
        <f>'MKScenario2-MinWalk'!D21</f>
        <v>4.9147122391873257E-2</v>
      </c>
      <c r="G86" s="164">
        <f>'MKScenario2-MinWalk'!E21</f>
        <v>4.9147122391873257E-2</v>
      </c>
      <c r="H86" s="164">
        <f>'MKScenario2-MinWalk'!F21</f>
        <v>0.05</v>
      </c>
      <c r="I86" s="164">
        <f>'MKScenario2-MinWalk'!G21</f>
        <v>196.18586926043142</v>
      </c>
      <c r="J86" s="164">
        <f>'MKScenario2-MinWalk'!H21</f>
        <v>15</v>
      </c>
      <c r="K86" s="164">
        <f>'MKScenario2-MinWalk'!I21</f>
        <v>1</v>
      </c>
      <c r="L86" s="164">
        <f>'MKScenario2-MinWalk'!J21</f>
        <v>1</v>
      </c>
      <c r="M86" s="164">
        <f>'MKScenario2-MinWalk'!K21</f>
        <v>9</v>
      </c>
      <c r="N86" s="164">
        <f>'MKScenario2-MinWalk'!L21</f>
        <v>28.420459999999999</v>
      </c>
      <c r="O86" s="164">
        <f>'MKScenario2-MinWalk'!M21</f>
        <v>-81.578979000000004</v>
      </c>
    </row>
    <row r="87" spans="1:15">
      <c r="A87" s="165" t="s">
        <v>91</v>
      </c>
      <c r="B87" s="165" t="s">
        <v>87</v>
      </c>
      <c r="C87" s="164">
        <f>'MKScenario2-MinWalk'!A22</f>
        <v>10</v>
      </c>
      <c r="D87" s="164">
        <f>'MKScenario2-MinWalk'!B22</f>
        <v>13</v>
      </c>
      <c r="E87" s="164" t="str">
        <f>'MKScenario2-MinWalk'!C22</f>
        <v>splash-mountain</v>
      </c>
      <c r="F87" s="164">
        <f>'MKScenario2-MinWalk'!D22</f>
        <v>1.9464148409406176E-2</v>
      </c>
      <c r="G87" s="164">
        <f>'MKScenario2-MinWalk'!E22</f>
        <v>1.9464148409406176E-2</v>
      </c>
      <c r="H87" s="164">
        <f>'MKScenario2-MinWalk'!F22</f>
        <v>4.8192771084337352E-2</v>
      </c>
      <c r="I87" s="164">
        <f>'MKScenario2-MinWalk'!G22</f>
        <v>209.16282830150311</v>
      </c>
      <c r="J87" s="164">
        <f>'MKScenario2-MinWalk'!H22</f>
        <v>20</v>
      </c>
      <c r="K87" s="164">
        <f>'MKScenario2-MinWalk'!I22</f>
        <v>1</v>
      </c>
      <c r="L87" s="164">
        <f>'MKScenario2-MinWalk'!J22</f>
        <v>1</v>
      </c>
      <c r="M87" s="164">
        <f>'MKScenario2-MinWalk'!K22</f>
        <v>10</v>
      </c>
      <c r="N87" s="164">
        <f>'MKScenario2-MinWalk'!L22</f>
        <v>28.419139000000001</v>
      </c>
      <c r="O87" s="164">
        <f>'MKScenario2-MinWalk'!M22</f>
        <v>-81.585058000000004</v>
      </c>
    </row>
    <row r="88" spans="1:15">
      <c r="A88" s="165" t="s">
        <v>91</v>
      </c>
      <c r="B88" s="165" t="s">
        <v>87</v>
      </c>
      <c r="C88" s="164">
        <f>'MKScenario2-MinWalk'!A23</f>
        <v>11</v>
      </c>
      <c r="D88" s="164">
        <f>'MKScenario2-MinWalk'!B23</f>
        <v>14</v>
      </c>
      <c r="E88" s="164" t="str">
        <f>'MKScenario2-MinWalk'!C23</f>
        <v>the-many-adventures-of-winnie-the-pooh</v>
      </c>
      <c r="F88" s="164">
        <f>'MKScenario2-MinWalk'!D23</f>
        <v>3.5377274278648514E-2</v>
      </c>
      <c r="G88" s="164">
        <f>'MKScenario2-MinWalk'!E23</f>
        <v>3.5377274278648514E-2</v>
      </c>
      <c r="H88" s="164">
        <f>'MKScenario2-MinWalk'!F23</f>
        <v>4.8192771084337352E-2</v>
      </c>
      <c r="I88" s="164">
        <f>'MKScenario2-MinWalk'!G23</f>
        <v>385.50102343587747</v>
      </c>
      <c r="J88" s="164">
        <f>'MKScenario2-MinWalk'!H23</f>
        <v>20</v>
      </c>
      <c r="K88" s="164">
        <f>'MKScenario2-MinWalk'!I23</f>
        <v>1</v>
      </c>
      <c r="L88" s="164">
        <f>'MKScenario2-MinWalk'!J23</f>
        <v>1</v>
      </c>
      <c r="M88" s="164">
        <f>'MKScenario2-MinWalk'!K23</f>
        <v>11</v>
      </c>
      <c r="N88" s="164">
        <f>'MKScenario2-MinWalk'!L23</f>
        <v>28.420138999999999</v>
      </c>
      <c r="O88" s="164">
        <f>'MKScenario2-MinWalk'!M23</f>
        <v>-81.580201000000002</v>
      </c>
    </row>
    <row r="89" spans="1:15">
      <c r="A89" s="165" t="s">
        <v>91</v>
      </c>
      <c r="B89" s="165" t="s">
        <v>87</v>
      </c>
      <c r="C89" s="164">
        <f>'MKScenario2-MinWalk'!A24</f>
        <v>12</v>
      </c>
      <c r="D89" s="164">
        <f>'MKScenario2-MinWalk'!B24</f>
        <v>1</v>
      </c>
      <c r="E89" s="164" t="str">
        <f>'MKScenario2-MinWalk'!C24</f>
        <v>astro-orbiter</v>
      </c>
      <c r="F89" s="164">
        <f>'MKScenario2-MinWalk'!D24</f>
        <v>1.3168409585852855E-2</v>
      </c>
      <c r="G89" s="164">
        <f>'MKScenario2-MinWalk'!E24</f>
        <v>1.3168409585852855E-2</v>
      </c>
      <c r="H89" s="164">
        <f>'MKScenario2-MinWalk'!F24</f>
        <v>9.45945945945946E-2</v>
      </c>
      <c r="I89" s="164">
        <f>'MKScenario2-MinWalk'!G24</f>
        <v>79.03822260954027</v>
      </c>
      <c r="J89" s="164">
        <f>'MKScenario2-MinWalk'!H24</f>
        <v>35</v>
      </c>
      <c r="K89" s="164">
        <f>'MKScenario2-MinWalk'!I24</f>
        <v>1</v>
      </c>
      <c r="L89" s="164">
        <f>'MKScenario2-MinWalk'!J24</f>
        <v>1</v>
      </c>
      <c r="M89" s="164">
        <f>'MKScenario2-MinWalk'!K24</f>
        <v>12</v>
      </c>
      <c r="N89" s="164">
        <f>'MKScenario2-MinWalk'!L24</f>
        <v>28.418493000000002</v>
      </c>
      <c r="O89" s="164">
        <f>'MKScenario2-MinWalk'!M24</f>
        <v>-81.579230999999993</v>
      </c>
    </row>
    <row r="90" spans="1:15">
      <c r="A90" s="165" t="s">
        <v>91</v>
      </c>
      <c r="B90" s="165" t="s">
        <v>87</v>
      </c>
      <c r="C90" s="164">
        <f>'MKScenario2-MinWalk'!A25</f>
        <v>13</v>
      </c>
      <c r="D90" s="164">
        <f>'MKScenario2-MinWalk'!B25</f>
        <v>2</v>
      </c>
      <c r="E90" s="164" t="str">
        <f>'MKScenario2-MinWalk'!C25</f>
        <v>big-thunder-mountain-railroad</v>
      </c>
      <c r="F90" s="164">
        <f>'MKScenario2-MinWalk'!D25</f>
        <v>1.117527131493248E-2</v>
      </c>
      <c r="G90" s="164">
        <f>'MKScenario2-MinWalk'!E25</f>
        <v>1.117527131493248E-2</v>
      </c>
      <c r="H90" s="164">
        <f>'MKScenario2-MinWalk'!F25</f>
        <v>6.5217391304347824E-2</v>
      </c>
      <c r="I90" s="164">
        <f>'MKScenario2-MinWalk'!G25</f>
        <v>75.235308449802986</v>
      </c>
      <c r="J90" s="164">
        <f>'MKScenario2-MinWalk'!H25</f>
        <v>45</v>
      </c>
      <c r="K90" s="164">
        <f>'MKScenario2-MinWalk'!I25</f>
        <v>1</v>
      </c>
      <c r="L90" s="164">
        <f>'MKScenario2-MinWalk'!J25</f>
        <v>1</v>
      </c>
      <c r="M90" s="164">
        <f>'MKScenario2-MinWalk'!K25</f>
        <v>13</v>
      </c>
      <c r="N90" s="164">
        <f>'MKScenario2-MinWalk'!L25</f>
        <v>28.420021999999999</v>
      </c>
      <c r="O90" s="164">
        <f>'MKScenario2-MinWalk'!M25</f>
        <v>-81.584692000000004</v>
      </c>
    </row>
    <row r="91" spans="1:15">
      <c r="A91" s="165" t="s">
        <v>91</v>
      </c>
      <c r="B91" s="165" t="s">
        <v>87</v>
      </c>
      <c r="C91" s="164">
        <f>'MKScenario2-MinWalk'!A26</f>
        <v>14</v>
      </c>
      <c r="D91" s="164">
        <f>'MKScenario2-MinWalk'!B26</f>
        <v>3</v>
      </c>
      <c r="E91" s="164" t="str">
        <f>'MKScenario2-MinWalk'!C26</f>
        <v>buzz-lightyears-space-ranger-spin</v>
      </c>
      <c r="F91" s="164">
        <f>'MKScenario2-MinWalk'!D26</f>
        <v>1.5191498195246419E-2</v>
      </c>
      <c r="G91" s="164">
        <f>'MKScenario2-MinWalk'!E26</f>
        <v>1.5191498195246419E-2</v>
      </c>
      <c r="H91" s="164">
        <f>'MKScenario2-MinWalk'!F26</f>
        <v>7.7586206896551727E-2</v>
      </c>
      <c r="I91" s="164">
        <f>'MKScenario2-MinWalk'!G26</f>
        <v>273.1282170184997</v>
      </c>
      <c r="J91" s="164">
        <f>'MKScenario2-MinWalk'!H26</f>
        <v>45</v>
      </c>
      <c r="K91" s="164">
        <f>'MKScenario2-MinWalk'!I26</f>
        <v>1</v>
      </c>
      <c r="L91" s="164">
        <f>'MKScenario2-MinWalk'!J26</f>
        <v>1</v>
      </c>
      <c r="M91" s="164">
        <f>'MKScenario2-MinWalk'!K26</f>
        <v>14</v>
      </c>
      <c r="N91" s="164">
        <f>'MKScenario2-MinWalk'!L26</f>
        <v>28.418243</v>
      </c>
      <c r="O91" s="164">
        <f>'MKScenario2-MinWalk'!M26</f>
        <v>-81.579359999999994</v>
      </c>
    </row>
    <row r="92" spans="1:15">
      <c r="A92" s="165" t="s">
        <v>91</v>
      </c>
      <c r="B92" s="165" t="s">
        <v>87</v>
      </c>
      <c r="C92" s="164">
        <f>'MKScenario2-MinWalk'!A27</f>
        <v>15</v>
      </c>
      <c r="D92" s="164">
        <f>'MKScenario2-MinWalk'!B27</f>
        <v>15</v>
      </c>
      <c r="E92" s="164" t="str">
        <f>'MKScenario2-MinWalk'!C27</f>
        <v>tomorrowland-speedway</v>
      </c>
      <c r="F92" s="164">
        <f>'MKScenario2-MinWalk'!D27</f>
        <v>4.9633629581598372E-2</v>
      </c>
      <c r="G92" s="164">
        <f>'MKScenario2-MinWalk'!E27</f>
        <v>4.9633629581598372E-2</v>
      </c>
      <c r="H92" s="164">
        <f>'MKScenario2-MinWalk'!F27</f>
        <v>7.0422535211267609E-2</v>
      </c>
      <c r="I92" s="164">
        <f>'MKScenario2-MinWalk'!G27</f>
        <v>0</v>
      </c>
      <c r="J92" s="164">
        <f>'MKScenario2-MinWalk'!H27</f>
        <v>25</v>
      </c>
      <c r="K92" s="164">
        <f>'MKScenario2-MinWalk'!I27</f>
        <v>1</v>
      </c>
      <c r="L92" s="164">
        <f>'MKScenario2-MinWalk'!J27</f>
        <v>1</v>
      </c>
      <c r="M92" s="164">
        <f>'MKScenario2-MinWalk'!K27</f>
        <v>15</v>
      </c>
      <c r="N92" s="164">
        <f>'MKScenario2-MinWalk'!L27</f>
        <v>28.419384000000001</v>
      </c>
      <c r="O92" s="164">
        <f>'MKScenario2-MinWalk'!M27</f>
        <v>-81.579367000000005</v>
      </c>
    </row>
    <row r="93" spans="1:15">
      <c r="A93" s="165" t="s">
        <v>91</v>
      </c>
      <c r="B93" s="165" t="s">
        <v>87</v>
      </c>
      <c r="C93" s="164">
        <f>'MKScenario2-MinWalk'!A28</f>
        <v>16</v>
      </c>
      <c r="D93" s="164">
        <f>'MKScenario2-MinWalk'!B28</f>
        <v>9</v>
      </c>
      <c r="E93" s="164" t="str">
        <f>'MKScenario2-MinWalk'!C28</f>
        <v>peter-pans-flight</v>
      </c>
      <c r="F93" s="164">
        <f>'MKScenario2-MinWalk'!D28</f>
        <v>3.2934021855036376E-2</v>
      </c>
      <c r="G93" s="164">
        <f>'MKScenario2-MinWalk'!E28</f>
        <v>3.2934021855036376E-2</v>
      </c>
      <c r="H93" s="164">
        <f>'MKScenario2-MinWalk'!F28</f>
        <v>6.2111801242236024E-2</v>
      </c>
      <c r="I93" s="164">
        <f>'MKScenario2-MinWalk'!G28</f>
        <v>140.34652822183338</v>
      </c>
      <c r="J93" s="164">
        <f>'MKScenario2-MinWalk'!H28</f>
        <v>50</v>
      </c>
      <c r="K93" s="164">
        <f>'MKScenario2-MinWalk'!I28</f>
        <v>1</v>
      </c>
      <c r="L93" s="164">
        <f>'MKScenario2-MinWalk'!J28</f>
        <v>1</v>
      </c>
      <c r="M93" s="164">
        <f>'MKScenario2-MinWalk'!K28</f>
        <v>16</v>
      </c>
      <c r="N93" s="164">
        <f>'MKScenario2-MinWalk'!L28</f>
        <v>28.420356000000002</v>
      </c>
      <c r="O93" s="164">
        <f>'MKScenario2-MinWalk'!M28</f>
        <v>-81.581855000000004</v>
      </c>
    </row>
    <row r="94" spans="1:15">
      <c r="A94" s="165" t="s">
        <v>91</v>
      </c>
      <c r="B94" s="165" t="s">
        <v>87</v>
      </c>
      <c r="C94" s="164">
        <f>'MKScenario2-MinWalk'!A29</f>
        <v>17</v>
      </c>
      <c r="D94" s="164">
        <f>'MKScenario2-MinWalk'!B29</f>
        <v>5</v>
      </c>
      <c r="E94" s="164" t="str">
        <f>'MKScenario2-MinWalk'!C29</f>
        <v>haunted-mansion</v>
      </c>
      <c r="F94" s="164">
        <f>'MKScenario2-MinWalk'!D29</f>
        <v>1.656225464926861E-2</v>
      </c>
      <c r="G94" s="164">
        <f>'MKScenario2-MinWalk'!E29</f>
        <v>1.656225464926861E-2</v>
      </c>
      <c r="H94" s="164">
        <f>'MKScenario2-MinWalk'!F29</f>
        <v>7.1999999999999995E-2</v>
      </c>
      <c r="I94" s="164">
        <f>'MKScenario2-MinWalk'!G29</f>
        <v>115.54084629340073</v>
      </c>
      <c r="J94" s="164">
        <f>'MKScenario2-MinWalk'!H29</f>
        <v>45</v>
      </c>
      <c r="K94" s="164">
        <f>'MKScenario2-MinWalk'!I29</f>
        <v>1</v>
      </c>
      <c r="L94" s="164">
        <f>'MKScenario2-MinWalk'!J29</f>
        <v>1</v>
      </c>
      <c r="M94" s="164">
        <f>'MKScenario2-MinWalk'!K29</f>
        <v>17</v>
      </c>
      <c r="N94" s="164">
        <f>'MKScenario2-MinWalk'!L29</f>
        <v>28.420445999999998</v>
      </c>
      <c r="O94" s="164">
        <f>'MKScenario2-MinWalk'!M29</f>
        <v>-81.582879000000005</v>
      </c>
    </row>
    <row r="95" spans="1:15">
      <c r="A95" s="165" t="s">
        <v>91</v>
      </c>
      <c r="B95" s="165" t="s">
        <v>87</v>
      </c>
      <c r="C95" s="164">
        <f>'MKScenario2-MinWalk'!A30</f>
        <v>18</v>
      </c>
      <c r="D95" s="164">
        <f>'MKScenario2-MinWalk'!B30</f>
        <v>8</v>
      </c>
      <c r="E95" s="164" t="str">
        <f>'MKScenario2-MinWalk'!C30</f>
        <v>monsters-inc-laugh-floor</v>
      </c>
      <c r="F95" s="164">
        <f>'MKScenario2-MinWalk'!D30</f>
        <v>7.7395722034668945E-3</v>
      </c>
      <c r="G95" s="164">
        <f>'MKScenario2-MinWalk'!E30</f>
        <v>7.7395722034668945E-3</v>
      </c>
      <c r="H95" s="164">
        <f>'MKScenario2-MinWalk'!F30</f>
        <v>8.8235294117647065E-2</v>
      </c>
      <c r="I95" s="164">
        <f>'MKScenario2-MinWalk'!G30</f>
        <v>46.120406617537434</v>
      </c>
      <c r="J95" s="164">
        <f>'MKScenario2-MinWalk'!H30</f>
        <v>15</v>
      </c>
      <c r="K95" s="164">
        <f>'MKScenario2-MinWalk'!I30</f>
        <v>1</v>
      </c>
      <c r="L95" s="164">
        <f>'MKScenario2-MinWalk'!J30</f>
        <v>1</v>
      </c>
      <c r="M95" s="164">
        <f>'MKScenario2-MinWalk'!K30</f>
        <v>18</v>
      </c>
      <c r="N95" s="164">
        <f>'MKScenario2-MinWalk'!L30</f>
        <v>28.418417000000002</v>
      </c>
      <c r="O95" s="164">
        <f>'MKScenario2-MinWalk'!M30</f>
        <v>-81.579811000000007</v>
      </c>
    </row>
    <row r="96" spans="1:15">
      <c r="A96" s="165" t="s">
        <v>91</v>
      </c>
      <c r="B96" s="165" t="s">
        <v>87</v>
      </c>
      <c r="C96" s="164">
        <f>'MKScenario2-MinWalk'!A31</f>
        <v>19</v>
      </c>
      <c r="D96" s="164">
        <f>'MKScenario2-MinWalk'!B31</f>
        <v>10</v>
      </c>
      <c r="E96" s="164" t="str">
        <f>'MKScenario2-MinWalk'!C31</f>
        <v>pirates-of-the-caribbean</v>
      </c>
      <c r="F96" s="164">
        <f>'MKScenario2-MinWalk'!D31</f>
        <v>2.2504827840583726E-2</v>
      </c>
      <c r="G96" s="164">
        <f>'MKScenario2-MinWalk'!E31</f>
        <v>2.2504827840583726E-2</v>
      </c>
      <c r="H96" s="164">
        <f>'MKScenario2-MinWalk'!F31</f>
        <v>8.3333333333333329E-2</v>
      </c>
      <c r="I96" s="164">
        <f>'MKScenario2-MinWalk'!G31</f>
        <v>194.30568622833707</v>
      </c>
      <c r="J96" s="164">
        <f>'MKScenario2-MinWalk'!H31</f>
        <v>45</v>
      </c>
      <c r="K96" s="164">
        <f>'MKScenario2-MinWalk'!I31</f>
        <v>1</v>
      </c>
      <c r="L96" s="164">
        <f>'MKScenario2-MinWalk'!J31</f>
        <v>1</v>
      </c>
      <c r="M96" s="164">
        <f>'MKScenario2-MinWalk'!K31</f>
        <v>19</v>
      </c>
      <c r="N96" s="164">
        <f>'MKScenario2-MinWalk'!L31</f>
        <v>28.418123999999999</v>
      </c>
      <c r="O96" s="164">
        <f>'MKScenario2-MinWalk'!M31</f>
        <v>-81.584284999999994</v>
      </c>
    </row>
    <row r="97" spans="1:15">
      <c r="A97" s="165" t="s">
        <v>91</v>
      </c>
      <c r="B97" s="165" t="s">
        <v>87</v>
      </c>
      <c r="C97" s="164">
        <f>'MKScenario2-MinWalk'!A32</f>
        <v>20</v>
      </c>
      <c r="D97" s="164">
        <f>'MKScenario2-MinWalk'!B32</f>
        <v>6</v>
      </c>
      <c r="E97" s="164" t="str">
        <f>'MKScenario2-MinWalk'!C32</f>
        <v>its-a-small-world</v>
      </c>
      <c r="F97" s="164">
        <f>'MKScenario2-MinWalk'!D32</f>
        <v>1.9498098998980046E-2</v>
      </c>
      <c r="G97" s="164">
        <f>'MKScenario2-MinWalk'!E32</f>
        <v>1.9498098998980046E-2</v>
      </c>
      <c r="H97" s="164">
        <f>'MKScenario2-MinWalk'!F32</f>
        <v>9.0909090909090912E-2</v>
      </c>
      <c r="I97" s="164">
        <f>'MKScenario2-MinWalk'!G32</f>
        <v>178.79249083232051</v>
      </c>
      <c r="J97" s="164">
        <f>'MKScenario2-MinWalk'!H32</f>
        <v>25</v>
      </c>
      <c r="K97" s="164">
        <f>'MKScenario2-MinWalk'!I32</f>
        <v>1</v>
      </c>
      <c r="L97" s="164">
        <f>'MKScenario2-MinWalk'!J32</f>
        <v>1</v>
      </c>
      <c r="M97" s="164">
        <f>'MKScenario2-MinWalk'!K32</f>
        <v>20</v>
      </c>
      <c r="N97" s="164">
        <f>'MKScenario2-MinWalk'!L32</f>
        <v>28.420539999999999</v>
      </c>
      <c r="O97" s="164">
        <f>'MKScenario2-MinWalk'!M32</f>
        <v>-81.581951000000004</v>
      </c>
    </row>
    <row r="98" spans="1:15">
      <c r="A98" s="165" t="s">
        <v>91</v>
      </c>
      <c r="B98" s="165" t="s">
        <v>87</v>
      </c>
      <c r="C98" s="164">
        <f>'MKScenario2-MinWalk'!A33</f>
        <v>21</v>
      </c>
      <c r="D98" s="164">
        <f>'MKScenario2-MinWalk'!B33</f>
        <v>7</v>
      </c>
      <c r="E98" s="164" t="str">
        <f>'MKScenario2-MinWalk'!C33</f>
        <v>jungle-cruise</v>
      </c>
      <c r="F98" s="164">
        <f>'MKScenario2-MinWalk'!D33</f>
        <v>3.3900020478840311E-2</v>
      </c>
      <c r="G98" s="164">
        <f>'MKScenario2-MinWalk'!E33</f>
        <v>3.3900020478840311E-2</v>
      </c>
      <c r="H98" s="164">
        <f>'MKScenario2-MinWalk'!F33</f>
        <v>8.1761006289308172E-2</v>
      </c>
      <c r="I98" s="164">
        <f>'MKScenario2-MinWalk'!G33</f>
        <v>54.816916820998742</v>
      </c>
      <c r="J98" s="164">
        <f>'MKScenario2-MinWalk'!H33</f>
        <v>65</v>
      </c>
      <c r="K98" s="164">
        <f>'MKScenario2-MinWalk'!I33</f>
        <v>1</v>
      </c>
      <c r="L98" s="164">
        <f>'MKScenario2-MinWalk'!J33</f>
        <v>1</v>
      </c>
      <c r="M98" s="164">
        <f>'MKScenario2-MinWalk'!K33</f>
        <v>21</v>
      </c>
      <c r="N98" s="164">
        <f>'MKScenario2-MinWalk'!L33</f>
        <v>28.418016000000001</v>
      </c>
      <c r="O98" s="164">
        <f>'MKScenario2-MinWalk'!M33</f>
        <v>-81.583437000000004</v>
      </c>
    </row>
    <row r="99" spans="1:15">
      <c r="A99" s="165" t="s">
        <v>91</v>
      </c>
      <c r="B99" s="165" t="s">
        <v>87</v>
      </c>
      <c r="C99" s="164">
        <f>'MKScenario2-MinWalk'!A34</f>
        <v>22</v>
      </c>
      <c r="D99" s="164">
        <f>'MKScenario2-MinWalk'!B34</f>
        <v>12</v>
      </c>
      <c r="E99" s="164" t="str">
        <f>'MKScenario2-MinWalk'!C34</f>
        <v>space-mountain</v>
      </c>
      <c r="F99" s="164">
        <f>'MKScenario2-MinWalk'!D34</f>
        <v>1.7027476462157992E-2</v>
      </c>
      <c r="G99" s="164">
        <f>'MKScenario2-MinWalk'!E34</f>
        <v>1.7027476462157992E-2</v>
      </c>
      <c r="H99" s="164">
        <f>'MKScenario2-MinWalk'!F34</f>
        <v>6.4039408866995079E-2</v>
      </c>
      <c r="I99" s="164">
        <f>'MKScenario2-MinWalk'!G34</f>
        <v>506.44970871063845</v>
      </c>
      <c r="J99" s="164">
        <f>'MKScenario2-MinWalk'!H34</f>
        <v>65</v>
      </c>
      <c r="K99" s="164">
        <f>'MKScenario2-MinWalk'!I34</f>
        <v>1</v>
      </c>
      <c r="L99" s="164">
        <f>'MKScenario2-MinWalk'!J34</f>
        <v>1</v>
      </c>
      <c r="M99" s="164">
        <f>'MKScenario2-MinWalk'!K34</f>
        <v>22</v>
      </c>
      <c r="N99" s="164">
        <f>'MKScenario2-MinWalk'!L34</f>
        <v>28.419082</v>
      </c>
      <c r="O99" s="164">
        <f>'MKScenario2-MinWalk'!M34</f>
        <v>-81.577305999999993</v>
      </c>
    </row>
    <row r="100" spans="1:15">
      <c r="A100" s="165" t="s">
        <v>91</v>
      </c>
      <c r="B100" s="165" t="s">
        <v>88</v>
      </c>
      <c r="C100" s="164">
        <f>'MKScenario3-MinWait'!A20</f>
        <v>8</v>
      </c>
      <c r="D100" s="164">
        <f>'MKScenario3-MinWait'!B20</f>
        <v>3</v>
      </c>
      <c r="E100" s="164" t="str">
        <f>'MKScenario3-MinWait'!C20</f>
        <v>buzz-lightyears-space-ranger-spin</v>
      </c>
      <c r="F100" s="164">
        <f>'MKScenario3-MinWait'!D20</f>
        <v>0</v>
      </c>
      <c r="G100" s="164">
        <f>'MKScenario3-MinWait'!E20</f>
        <v>0</v>
      </c>
      <c r="H100" s="164">
        <f>'MKScenario3-MinWait'!F20</f>
        <v>8.6206896551724137E-3</v>
      </c>
      <c r="I100" s="164">
        <f>'MKScenario3-MinWait'!G20</f>
        <v>0</v>
      </c>
      <c r="J100" s="164">
        <f>'MKScenario3-MinWait'!H20</f>
        <v>5</v>
      </c>
      <c r="K100" s="164">
        <f>'MKScenario3-MinWait'!I20</f>
        <v>1</v>
      </c>
      <c r="L100" s="164">
        <f>'MKScenario3-MinWait'!J20</f>
        <v>1</v>
      </c>
      <c r="M100" s="164">
        <f>'MKScenario3-MinWait'!K20</f>
        <v>8</v>
      </c>
      <c r="N100" s="164">
        <f>'MKScenario3-MinWait'!L20</f>
        <v>28.418243</v>
      </c>
      <c r="O100" s="164">
        <f>'MKScenario3-MinWait'!M20</f>
        <v>-81.579359999999994</v>
      </c>
    </row>
    <row r="101" spans="1:15">
      <c r="A101" s="165" t="s">
        <v>91</v>
      </c>
      <c r="B101" s="165" t="s">
        <v>88</v>
      </c>
      <c r="C101" s="164">
        <f>'MKScenario3-MinWait'!A21</f>
        <v>9</v>
      </c>
      <c r="D101" s="164">
        <f>'MKScenario3-MinWait'!B21</f>
        <v>11</v>
      </c>
      <c r="E101" s="164" t="str">
        <f>'MKScenario3-MinWait'!C21</f>
        <v>seven-dwarfs-mine-train</v>
      </c>
      <c r="F101" s="164">
        <f>'MKScenario3-MinWait'!D21</f>
        <v>5.7890112992331204E-2</v>
      </c>
      <c r="G101" s="164">
        <f>'MKScenario3-MinWait'!E21</f>
        <v>5.7890112992331204E-2</v>
      </c>
      <c r="H101" s="164">
        <f>'MKScenario3-MinWait'!F21</f>
        <v>7.9051383399209481E-3</v>
      </c>
      <c r="I101" s="164">
        <f>'MKScenario3-MinWait'!G21</f>
        <v>413.86441663557724</v>
      </c>
      <c r="J101" s="164">
        <f>'MKScenario3-MinWait'!H21</f>
        <v>10</v>
      </c>
      <c r="K101" s="164">
        <f>'MKScenario3-MinWait'!I21</f>
        <v>1</v>
      </c>
      <c r="L101" s="164">
        <f>'MKScenario3-MinWait'!J21</f>
        <v>1</v>
      </c>
      <c r="M101" s="164">
        <f>'MKScenario3-MinWait'!K21</f>
        <v>9</v>
      </c>
      <c r="N101" s="164">
        <f>'MKScenario3-MinWait'!L21</f>
        <v>28.420463999999999</v>
      </c>
      <c r="O101" s="164">
        <f>'MKScenario3-MinWait'!M21</f>
        <v>-81.580502999999993</v>
      </c>
    </row>
    <row r="102" spans="1:15">
      <c r="A102" s="165" t="s">
        <v>91</v>
      </c>
      <c r="B102" s="165" t="s">
        <v>88</v>
      </c>
      <c r="C102" s="164">
        <f>'MKScenario3-MinWait'!A22</f>
        <v>10</v>
      </c>
      <c r="D102" s="164">
        <f>'MKScenario3-MinWait'!B22</f>
        <v>9</v>
      </c>
      <c r="E102" s="164" t="str">
        <f>'MKScenario3-MinWait'!C22</f>
        <v>peter-pans-flight</v>
      </c>
      <c r="F102" s="164">
        <f>'MKScenario3-MinWait'!D22</f>
        <v>7.6739583973957054E-2</v>
      </c>
      <c r="G102" s="164">
        <f>'MKScenario3-MinWait'!E22</f>
        <v>7.6739583973957054E-2</v>
      </c>
      <c r="H102" s="164">
        <f>'MKScenario3-MinWait'!F22</f>
        <v>2.4844720496894408E-2</v>
      </c>
      <c r="I102" s="164">
        <f>'MKScenario3-MinWait'!G22</f>
        <v>144.14840241197871</v>
      </c>
      <c r="J102" s="164">
        <f>'MKScenario3-MinWait'!H22</f>
        <v>20</v>
      </c>
      <c r="K102" s="164">
        <f>'MKScenario3-MinWait'!I22</f>
        <v>1</v>
      </c>
      <c r="L102" s="164">
        <f>'MKScenario3-MinWait'!J22</f>
        <v>1</v>
      </c>
      <c r="M102" s="164">
        <f>'MKScenario3-MinWait'!K22</f>
        <v>10</v>
      </c>
      <c r="N102" s="164">
        <f>'MKScenario3-MinWait'!L22</f>
        <v>28.420356000000002</v>
      </c>
      <c r="O102" s="164">
        <f>'MKScenario3-MinWait'!M22</f>
        <v>-81.581855000000004</v>
      </c>
    </row>
    <row r="103" spans="1:15">
      <c r="A103" s="165" t="s">
        <v>91</v>
      </c>
      <c r="B103" s="165" t="s">
        <v>88</v>
      </c>
      <c r="C103" s="164">
        <f>'MKScenario3-MinWait'!A23</f>
        <v>11</v>
      </c>
      <c r="D103" s="164">
        <f>'MKScenario3-MinWait'!B23</f>
        <v>14</v>
      </c>
      <c r="E103" s="164" t="str">
        <f>'MKScenario3-MinWait'!C23</f>
        <v>the-many-adventures-of-winnie-the-pooh</v>
      </c>
      <c r="F103" s="164">
        <f>'MKScenario3-MinWait'!D23</f>
        <v>9.2307897306968603E-2</v>
      </c>
      <c r="G103" s="164">
        <f>'MKScenario3-MinWait'!E23</f>
        <v>9.2307897306968603E-2</v>
      </c>
      <c r="H103" s="164">
        <f>'MKScenario3-MinWait'!F23</f>
        <v>4.8192771084337352E-2</v>
      </c>
      <c r="I103" s="164">
        <f>'MKScenario3-MinWait'!G23</f>
        <v>100.53876287995733</v>
      </c>
      <c r="J103" s="164">
        <f>'MKScenario3-MinWait'!H23</f>
        <v>20</v>
      </c>
      <c r="K103" s="164">
        <f>'MKScenario3-MinWait'!I23</f>
        <v>1</v>
      </c>
      <c r="L103" s="164">
        <f>'MKScenario3-MinWait'!J23</f>
        <v>1</v>
      </c>
      <c r="M103" s="164">
        <f>'MKScenario3-MinWait'!K23</f>
        <v>11</v>
      </c>
      <c r="N103" s="164">
        <f>'MKScenario3-MinWait'!L23</f>
        <v>28.420138999999999</v>
      </c>
      <c r="O103" s="164">
        <f>'MKScenario3-MinWait'!M23</f>
        <v>-81.580201000000002</v>
      </c>
    </row>
    <row r="104" spans="1:15">
      <c r="A104" s="165" t="s">
        <v>91</v>
      </c>
      <c r="B104" s="165" t="s">
        <v>88</v>
      </c>
      <c r="C104" s="164">
        <f>'MKScenario3-MinWait'!A24</f>
        <v>12</v>
      </c>
      <c r="D104" s="164">
        <f>'MKScenario3-MinWait'!B24</f>
        <v>6</v>
      </c>
      <c r="E104" s="164" t="str">
        <f>'MKScenario3-MinWait'!C24</f>
        <v>its-a-small-world</v>
      </c>
      <c r="F104" s="164">
        <f>'MKScenario3-MinWait'!D24</f>
        <v>0.11294035706048326</v>
      </c>
      <c r="G104" s="164">
        <f>'MKScenario3-MinWait'!E24</f>
        <v>0.11294035706048326</v>
      </c>
      <c r="H104" s="164">
        <f>'MKScenario3-MinWait'!F24</f>
        <v>3.6363636363636362E-2</v>
      </c>
      <c r="I104" s="164">
        <f>'MKScenario3-MinWait'!G24</f>
        <v>454.60608976349624</v>
      </c>
      <c r="J104" s="164">
        <f>'MKScenario3-MinWait'!H24</f>
        <v>10</v>
      </c>
      <c r="K104" s="164">
        <f>'MKScenario3-MinWait'!I24</f>
        <v>1</v>
      </c>
      <c r="L104" s="164">
        <f>'MKScenario3-MinWait'!J24</f>
        <v>1</v>
      </c>
      <c r="M104" s="164">
        <f>'MKScenario3-MinWait'!K24</f>
        <v>12</v>
      </c>
      <c r="N104" s="164">
        <f>'MKScenario3-MinWait'!L24</f>
        <v>28.420539999999999</v>
      </c>
      <c r="O104" s="164">
        <f>'MKScenario3-MinWait'!M24</f>
        <v>-81.581951000000004</v>
      </c>
    </row>
    <row r="105" spans="1:15">
      <c r="A105" s="165" t="s">
        <v>91</v>
      </c>
      <c r="B105" s="165" t="s">
        <v>88</v>
      </c>
      <c r="C105" s="164">
        <f>'MKScenario3-MinWait'!A25</f>
        <v>13</v>
      </c>
      <c r="D105" s="164">
        <f>'MKScenario3-MinWait'!B25</f>
        <v>15</v>
      </c>
      <c r="E105" s="164" t="str">
        <f>'MKScenario3-MinWait'!C25</f>
        <v>tomorrowland-speedway</v>
      </c>
      <c r="F105" s="164">
        <f>'MKScenario3-MinWait'!D25</f>
        <v>5.7599428111267691E-2</v>
      </c>
      <c r="G105" s="164">
        <f>'MKScenario3-MinWait'!E25</f>
        <v>5.7599428111267691E-2</v>
      </c>
      <c r="H105" s="164">
        <f>'MKScenario3-MinWait'!F25</f>
        <v>5.6338028169014086E-2</v>
      </c>
      <c r="I105" s="164">
        <f>'MKScenario3-MinWait'!G25</f>
        <v>0</v>
      </c>
      <c r="J105" s="164">
        <f>'MKScenario3-MinWait'!H25</f>
        <v>20</v>
      </c>
      <c r="K105" s="164">
        <f>'MKScenario3-MinWait'!I25</f>
        <v>1</v>
      </c>
      <c r="L105" s="164">
        <f>'MKScenario3-MinWait'!J25</f>
        <v>1</v>
      </c>
      <c r="M105" s="164">
        <f>'MKScenario3-MinWait'!K25</f>
        <v>13</v>
      </c>
      <c r="N105" s="164">
        <f>'MKScenario3-MinWait'!L25</f>
        <v>28.419384000000001</v>
      </c>
      <c r="O105" s="164">
        <f>'MKScenario3-MinWait'!M25</f>
        <v>-81.579367000000005</v>
      </c>
    </row>
    <row r="106" spans="1:15">
      <c r="A106" s="165" t="s">
        <v>91</v>
      </c>
      <c r="B106" s="165" t="s">
        <v>88</v>
      </c>
      <c r="C106" s="164">
        <f>'MKScenario3-MinWait'!A26</f>
        <v>14</v>
      </c>
      <c r="D106" s="164">
        <f>'MKScenario3-MinWait'!B26</f>
        <v>5</v>
      </c>
      <c r="E106" s="164" t="str">
        <f>'MKScenario3-MinWait'!C26</f>
        <v>haunted-mansion</v>
      </c>
      <c r="F106" s="164">
        <f>'MKScenario3-MinWait'!D26</f>
        <v>4.6720593461987633E-2</v>
      </c>
      <c r="G106" s="164">
        <f>'MKScenario3-MinWait'!E26</f>
        <v>4.6720593461987633E-2</v>
      </c>
      <c r="H106" s="164">
        <f>'MKScenario3-MinWait'!F26</f>
        <v>6.4000000000000001E-2</v>
      </c>
      <c r="I106" s="164">
        <f>'MKScenario3-MinWait'!G26</f>
        <v>189.22843379725694</v>
      </c>
      <c r="J106" s="164">
        <f>'MKScenario3-MinWait'!H26</f>
        <v>40</v>
      </c>
      <c r="K106" s="164">
        <f>'MKScenario3-MinWait'!I26</f>
        <v>1</v>
      </c>
      <c r="L106" s="164">
        <f>'MKScenario3-MinWait'!J26</f>
        <v>1</v>
      </c>
      <c r="M106" s="164">
        <f>'MKScenario3-MinWait'!K26</f>
        <v>14</v>
      </c>
      <c r="N106" s="164">
        <f>'MKScenario3-MinWait'!L26</f>
        <v>28.420445999999998</v>
      </c>
      <c r="O106" s="164">
        <f>'MKScenario3-MinWait'!M26</f>
        <v>-81.582879000000005</v>
      </c>
    </row>
    <row r="107" spans="1:15">
      <c r="A107" s="165" t="s">
        <v>91</v>
      </c>
      <c r="B107" s="165" t="s">
        <v>88</v>
      </c>
      <c r="C107" s="164">
        <f>'MKScenario3-MinWait'!A27</f>
        <v>15</v>
      </c>
      <c r="D107" s="164">
        <f>'MKScenario3-MinWait'!B27</f>
        <v>12</v>
      </c>
      <c r="E107" s="164" t="str">
        <f>'MKScenario3-MinWait'!C27</f>
        <v>space-mountain</v>
      </c>
      <c r="F107" s="164">
        <f>'MKScenario3-MinWait'!D27</f>
        <v>4.5698506282568732E-2</v>
      </c>
      <c r="G107" s="164">
        <f>'MKScenario3-MinWait'!E27</f>
        <v>4.5698506282568732E-2</v>
      </c>
      <c r="H107" s="164">
        <f>'MKScenario3-MinWait'!F27</f>
        <v>6.8965517241379309E-2</v>
      </c>
      <c r="I107" s="164">
        <f>'MKScenario3-MinWait'!G27</f>
        <v>394.82939421009377</v>
      </c>
      <c r="J107" s="164">
        <f>'MKScenario3-MinWait'!H27</f>
        <v>70</v>
      </c>
      <c r="K107" s="164">
        <f>'MKScenario3-MinWait'!I27</f>
        <v>1</v>
      </c>
      <c r="L107" s="164">
        <f>'MKScenario3-MinWait'!J27</f>
        <v>1</v>
      </c>
      <c r="M107" s="164">
        <f>'MKScenario3-MinWait'!K27</f>
        <v>15</v>
      </c>
      <c r="N107" s="164">
        <f>'MKScenario3-MinWait'!L27</f>
        <v>28.419082</v>
      </c>
      <c r="O107" s="164">
        <f>'MKScenario3-MinWait'!M27</f>
        <v>-81.577305999999993</v>
      </c>
    </row>
    <row r="108" spans="1:15">
      <c r="A108" s="165" t="s">
        <v>91</v>
      </c>
      <c r="B108" s="165" t="s">
        <v>88</v>
      </c>
      <c r="C108" s="164">
        <f>'MKScenario3-MinWait'!A28</f>
        <v>16</v>
      </c>
      <c r="D108" s="164">
        <f>'MKScenario3-MinWait'!B28</f>
        <v>4</v>
      </c>
      <c r="E108" s="164" t="str">
        <f>'MKScenario3-MinWait'!C28</f>
        <v>dumbo-the-flying-elephant</v>
      </c>
      <c r="F108" s="164">
        <f>'MKScenario3-MinWait'!D28</f>
        <v>0.11003873692811286</v>
      </c>
      <c r="G108" s="164">
        <f>'MKScenario3-MinWait'!E28</f>
        <v>0.11003873692811286</v>
      </c>
      <c r="H108" s="164">
        <f>'MKScenario3-MinWait'!F28</f>
        <v>3.3333333333333333E-2</v>
      </c>
      <c r="I108" s="164">
        <f>'MKScenario3-MinWait'!G28</f>
        <v>217.34893875517614</v>
      </c>
      <c r="J108" s="164">
        <f>'MKScenario3-MinWait'!H28</f>
        <v>10</v>
      </c>
      <c r="K108" s="164">
        <f>'MKScenario3-MinWait'!I28</f>
        <v>1</v>
      </c>
      <c r="L108" s="164">
        <f>'MKScenario3-MinWait'!J28</f>
        <v>1</v>
      </c>
      <c r="M108" s="164">
        <f>'MKScenario3-MinWait'!K28</f>
        <v>16</v>
      </c>
      <c r="N108" s="164">
        <f>'MKScenario3-MinWait'!L28</f>
        <v>28.420459999999999</v>
      </c>
      <c r="O108" s="164">
        <f>'MKScenario3-MinWait'!M28</f>
        <v>-81.578979000000004</v>
      </c>
    </row>
    <row r="109" spans="1:15">
      <c r="A109" s="165" t="s">
        <v>91</v>
      </c>
      <c r="B109" s="165" t="s">
        <v>88</v>
      </c>
      <c r="C109" s="164">
        <f>'MKScenario3-MinWait'!A29</f>
        <v>17</v>
      </c>
      <c r="D109" s="164">
        <f>'MKScenario3-MinWait'!B29</f>
        <v>7</v>
      </c>
      <c r="E109" s="164" t="str">
        <f>'MKScenario3-MinWait'!C29</f>
        <v>jungle-cruise</v>
      </c>
      <c r="F109" s="164">
        <f>'MKScenario3-MinWait'!D29</f>
        <v>0.12954502942200619</v>
      </c>
      <c r="G109" s="164">
        <f>'MKScenario3-MinWait'!E29</f>
        <v>0.12954502942200619</v>
      </c>
      <c r="H109" s="164">
        <f>'MKScenario3-MinWait'!F29</f>
        <v>3.7735849056603772E-2</v>
      </c>
      <c r="I109" s="164">
        <f>'MKScenario3-MinWait'!G29</f>
        <v>433.02117322658597</v>
      </c>
      <c r="J109" s="164">
        <f>'MKScenario3-MinWait'!H29</f>
        <v>30</v>
      </c>
      <c r="K109" s="164">
        <f>'MKScenario3-MinWait'!I29</f>
        <v>1</v>
      </c>
      <c r="L109" s="164">
        <f>'MKScenario3-MinWait'!J29</f>
        <v>1</v>
      </c>
      <c r="M109" s="164">
        <f>'MKScenario3-MinWait'!K29</f>
        <v>17</v>
      </c>
      <c r="N109" s="164">
        <f>'MKScenario3-MinWait'!L29</f>
        <v>28.418016000000001</v>
      </c>
      <c r="O109" s="164">
        <f>'MKScenario3-MinWait'!M29</f>
        <v>-81.583437000000004</v>
      </c>
    </row>
    <row r="110" spans="1:15">
      <c r="A110" s="165" t="s">
        <v>91</v>
      </c>
      <c r="B110" s="165" t="s">
        <v>88</v>
      </c>
      <c r="C110" s="164">
        <f>'MKScenario3-MinWait'!A30</f>
        <v>18</v>
      </c>
      <c r="D110" s="164">
        <f>'MKScenario3-MinWait'!B30</f>
        <v>1</v>
      </c>
      <c r="E110" s="164" t="str">
        <f>'MKScenario3-MinWait'!C30</f>
        <v>astro-orbiter</v>
      </c>
      <c r="F110" s="164">
        <f>'MKScenario3-MinWait'!D30</f>
        <v>0.12744797941958427</v>
      </c>
      <c r="G110" s="164">
        <f>'MKScenario3-MinWait'!E30</f>
        <v>0.12744797941958427</v>
      </c>
      <c r="H110" s="164">
        <f>'MKScenario3-MinWait'!F30</f>
        <v>4.0540540540540543E-2</v>
      </c>
      <c r="I110" s="164">
        <f>'MKScenario3-MinWait'!G30</f>
        <v>398.14575455830294</v>
      </c>
      <c r="J110" s="164">
        <f>'MKScenario3-MinWait'!H30</f>
        <v>15</v>
      </c>
      <c r="K110" s="164">
        <f>'MKScenario3-MinWait'!I30</f>
        <v>1</v>
      </c>
      <c r="L110" s="164">
        <f>'MKScenario3-MinWait'!J30</f>
        <v>1</v>
      </c>
      <c r="M110" s="164">
        <f>'MKScenario3-MinWait'!K30</f>
        <v>18</v>
      </c>
      <c r="N110" s="164">
        <f>'MKScenario3-MinWait'!L30</f>
        <v>28.418493000000002</v>
      </c>
      <c r="O110" s="164">
        <f>'MKScenario3-MinWait'!M30</f>
        <v>-81.579230999999993</v>
      </c>
    </row>
    <row r="111" spans="1:15">
      <c r="A111" s="165" t="s">
        <v>91</v>
      </c>
      <c r="B111" s="165" t="s">
        <v>88</v>
      </c>
      <c r="C111" s="164">
        <f>'MKScenario3-MinWait'!A31</f>
        <v>19</v>
      </c>
      <c r="D111" s="164">
        <f>'MKScenario3-MinWait'!B31</f>
        <v>8</v>
      </c>
      <c r="E111" s="164" t="str">
        <f>'MKScenario3-MinWait'!C31</f>
        <v>monsters-inc-laugh-floor</v>
      </c>
      <c r="F111" s="164">
        <f>'MKScenario3-MinWait'!D31</f>
        <v>0.10540237870618735</v>
      </c>
      <c r="G111" s="164">
        <f>'MKScenario3-MinWait'!E31</f>
        <v>0.10540237870618735</v>
      </c>
      <c r="H111" s="164">
        <f>'MKScenario3-MinWait'!F31</f>
        <v>2.9411764705882353E-2</v>
      </c>
      <c r="I111" s="164">
        <f>'MKScenario3-MinWait'!G31</f>
        <v>294.34674965435448</v>
      </c>
      <c r="J111" s="164">
        <f>'MKScenario3-MinWait'!H31</f>
        <v>5</v>
      </c>
      <c r="K111" s="164">
        <f>'MKScenario3-MinWait'!I31</f>
        <v>1</v>
      </c>
      <c r="L111" s="164">
        <f>'MKScenario3-MinWait'!J31</f>
        <v>1</v>
      </c>
      <c r="M111" s="164">
        <f>'MKScenario3-MinWait'!K31</f>
        <v>19</v>
      </c>
      <c r="N111" s="164">
        <f>'MKScenario3-MinWait'!L31</f>
        <v>28.418417000000002</v>
      </c>
      <c r="O111" s="164">
        <f>'MKScenario3-MinWait'!M31</f>
        <v>-81.579811000000007</v>
      </c>
    </row>
    <row r="112" spans="1:15">
      <c r="A112" s="165" t="s">
        <v>91</v>
      </c>
      <c r="B112" s="165" t="s">
        <v>88</v>
      </c>
      <c r="C112" s="164">
        <f>'MKScenario3-MinWait'!A32</f>
        <v>20</v>
      </c>
      <c r="D112" s="164">
        <f>'MKScenario3-MinWait'!B32</f>
        <v>2</v>
      </c>
      <c r="E112" s="164" t="str">
        <f>'MKScenario3-MinWait'!C32</f>
        <v>big-thunder-mountain-railroad</v>
      </c>
      <c r="F112" s="164">
        <f>'MKScenario3-MinWait'!D32</f>
        <v>8.6180248540368515E-2</v>
      </c>
      <c r="G112" s="164">
        <f>'MKScenario3-MinWait'!E32</f>
        <v>8.6180248540368515E-2</v>
      </c>
      <c r="H112" s="164">
        <f>'MKScenario3-MinWait'!F32</f>
        <v>3.6231884057971016E-2</v>
      </c>
      <c r="I112" s="164">
        <f>'MKScenario3-MinWait'!G32</f>
        <v>228.93534948956807</v>
      </c>
      <c r="J112" s="164">
        <f>'MKScenario3-MinWait'!H32</f>
        <v>25</v>
      </c>
      <c r="K112" s="164">
        <f>'MKScenario3-MinWait'!I32</f>
        <v>1</v>
      </c>
      <c r="L112" s="164">
        <f>'MKScenario3-MinWait'!J32</f>
        <v>1</v>
      </c>
      <c r="M112" s="164">
        <f>'MKScenario3-MinWait'!K32</f>
        <v>20</v>
      </c>
      <c r="N112" s="164">
        <f>'MKScenario3-MinWait'!L32</f>
        <v>28.420021999999999</v>
      </c>
      <c r="O112" s="164">
        <f>'MKScenario3-MinWait'!M32</f>
        <v>-81.584692000000004</v>
      </c>
    </row>
    <row r="113" spans="1:15">
      <c r="A113" s="165" t="s">
        <v>91</v>
      </c>
      <c r="B113" s="165" t="s">
        <v>88</v>
      </c>
      <c r="C113" s="164">
        <f>'MKScenario3-MinWait'!A33</f>
        <v>21</v>
      </c>
      <c r="D113" s="164">
        <f>'MKScenario3-MinWait'!B33</f>
        <v>10</v>
      </c>
      <c r="E113" s="164" t="str">
        <f>'MKScenario3-MinWait'!C33</f>
        <v>pirates-of-the-caribbean</v>
      </c>
      <c r="F113" s="164">
        <f>'MKScenario3-MinWait'!D33</f>
        <v>8.4539801494731906E-2</v>
      </c>
      <c r="G113" s="164">
        <f>'MKScenario3-MinWait'!E33</f>
        <v>8.4539801494731906E-2</v>
      </c>
      <c r="H113" s="164">
        <f>'MKScenario3-MinWait'!F33</f>
        <v>5.5555555555555552E-2</v>
      </c>
      <c r="I113" s="164">
        <f>'MKScenario3-MinWait'!G33</f>
        <v>200.11373184634658</v>
      </c>
      <c r="J113" s="164">
        <f>'MKScenario3-MinWait'!H33</f>
        <v>30</v>
      </c>
      <c r="K113" s="164">
        <f>'MKScenario3-MinWait'!I33</f>
        <v>1</v>
      </c>
      <c r="L113" s="164">
        <f>'MKScenario3-MinWait'!J33</f>
        <v>1</v>
      </c>
      <c r="M113" s="164">
        <f>'MKScenario3-MinWait'!K33</f>
        <v>21</v>
      </c>
      <c r="N113" s="164">
        <f>'MKScenario3-MinWait'!L33</f>
        <v>28.418123999999999</v>
      </c>
      <c r="O113" s="164">
        <f>'MKScenario3-MinWait'!M33</f>
        <v>-81.584284999999994</v>
      </c>
    </row>
    <row r="114" spans="1:15">
      <c r="A114" s="165" t="s">
        <v>91</v>
      </c>
      <c r="B114" s="165" t="s">
        <v>88</v>
      </c>
      <c r="C114" s="164">
        <f>'MKScenario3-MinWait'!A34</f>
        <v>22</v>
      </c>
      <c r="D114" s="164">
        <f>'MKScenario3-MinWait'!B34</f>
        <v>13</v>
      </c>
      <c r="E114" s="164" t="str">
        <f>'MKScenario3-MinWait'!C34</f>
        <v>splash-mountain</v>
      </c>
      <c r="F114" s="164">
        <f>'MKScenario3-MinWait'!D34</f>
        <v>7.8110228117574121E-2</v>
      </c>
      <c r="G114" s="164">
        <f>'MKScenario3-MinWait'!E34</f>
        <v>7.8110228117574121E-2</v>
      </c>
      <c r="H114" s="164">
        <f>'MKScenario3-MinWait'!F34</f>
        <v>4.8192771084337352E-2</v>
      </c>
      <c r="I114" s="164">
        <f>'MKScenario3-MinWait'!G34</f>
        <v>277.19471876766289</v>
      </c>
      <c r="J114" s="164">
        <f>'MKScenario3-MinWait'!H34</f>
        <v>20</v>
      </c>
      <c r="K114" s="164">
        <f>'MKScenario3-MinWait'!I34</f>
        <v>1</v>
      </c>
      <c r="L114" s="164">
        <f>'MKScenario3-MinWait'!J34</f>
        <v>1</v>
      </c>
      <c r="M114" s="164">
        <f>'MKScenario3-MinWait'!K34</f>
        <v>22</v>
      </c>
      <c r="N114" s="164">
        <f>'MKScenario3-MinWait'!L34</f>
        <v>28.419139000000001</v>
      </c>
      <c r="O114" s="164">
        <f>'MKScenario3-MinWait'!M34</f>
        <v>-81.585058000000004</v>
      </c>
    </row>
    <row r="115" spans="1:15">
      <c r="A115" s="165" t="s">
        <v>91</v>
      </c>
      <c r="B115" s="165" t="s">
        <v>89</v>
      </c>
      <c r="C115" s="164">
        <f>'MKScenario4-Min50'!A20</f>
        <v>8</v>
      </c>
      <c r="D115" s="164">
        <f>'MKScenario4-Min50'!B20</f>
        <v>11</v>
      </c>
      <c r="E115" s="164" t="str">
        <f>'MKScenario4-Min50'!C20</f>
        <v>seven-dwarfs-mine-train</v>
      </c>
      <c r="F115" s="164">
        <f>'MKScenario4-Min50'!D20</f>
        <v>0</v>
      </c>
      <c r="G115" s="164">
        <f>'MKScenario4-Min50'!E20</f>
        <v>0</v>
      </c>
      <c r="H115" s="164">
        <f>'MKScenario4-Min50'!F20</f>
        <v>7.9051383399209481E-3</v>
      </c>
      <c r="I115" s="164">
        <f>'MKScenario4-Min50'!G20</f>
        <v>0</v>
      </c>
      <c r="J115" s="164">
        <f>'MKScenario4-Min50'!H20</f>
        <v>10</v>
      </c>
      <c r="K115" s="164">
        <f>'MKScenario4-Min50'!I20</f>
        <v>1</v>
      </c>
      <c r="L115" s="164">
        <f>'MKScenario4-Min50'!J20</f>
        <v>1</v>
      </c>
      <c r="M115" s="164">
        <f>'MKScenario4-Min50'!K20</f>
        <v>8</v>
      </c>
      <c r="N115" s="164">
        <f>'MKScenario4-Min50'!L20</f>
        <v>28.420463999999999</v>
      </c>
      <c r="O115" s="164">
        <f>'MKScenario4-Min50'!M20</f>
        <v>-81.580502999999993</v>
      </c>
    </row>
    <row r="116" spans="1:15">
      <c r="A116" s="165" t="s">
        <v>91</v>
      </c>
      <c r="B116" s="165" t="s">
        <v>89</v>
      </c>
      <c r="C116" s="164">
        <f>'MKScenario4-Min50'!A21</f>
        <v>9</v>
      </c>
      <c r="D116" s="164">
        <f>'MKScenario4-Min50'!B21</f>
        <v>7</v>
      </c>
      <c r="E116" s="164" t="str">
        <f>'MKScenario4-Min50'!C21</f>
        <v>jungle-cruise</v>
      </c>
      <c r="F116" s="164">
        <f>'MKScenario4-Min50'!D21</f>
        <v>6.9503729292049857E-2</v>
      </c>
      <c r="G116" s="164">
        <f>'MKScenario4-Min50'!E21</f>
        <v>6.9503729292049857E-2</v>
      </c>
      <c r="H116" s="164">
        <f>'MKScenario4-Min50'!F21</f>
        <v>4.40251572327044E-2</v>
      </c>
      <c r="I116" s="164">
        <f>'MKScenario4-Min50'!G21</f>
        <v>194.30568622833701</v>
      </c>
      <c r="J116" s="164">
        <f>'MKScenario4-Min50'!H21</f>
        <v>35</v>
      </c>
      <c r="K116" s="164">
        <f>'MKScenario4-Min50'!I21</f>
        <v>1</v>
      </c>
      <c r="L116" s="164">
        <f>'MKScenario4-Min50'!J21</f>
        <v>1</v>
      </c>
      <c r="M116" s="164">
        <f>'MKScenario4-Min50'!K21</f>
        <v>9</v>
      </c>
      <c r="N116" s="164">
        <f>'MKScenario4-Min50'!L21</f>
        <v>28.418016000000001</v>
      </c>
      <c r="O116" s="164">
        <f>'MKScenario4-Min50'!M21</f>
        <v>-81.583437000000004</v>
      </c>
    </row>
    <row r="117" spans="1:15">
      <c r="A117" s="165" t="s">
        <v>91</v>
      </c>
      <c r="B117" s="165" t="s">
        <v>89</v>
      </c>
      <c r="C117" s="164">
        <f>'MKScenario4-Min50'!A22</f>
        <v>10</v>
      </c>
      <c r="D117" s="164">
        <f>'MKScenario4-Min50'!B22</f>
        <v>12</v>
      </c>
      <c r="E117" s="164" t="str">
        <f>'MKScenario4-Min50'!C22</f>
        <v>space-mountain</v>
      </c>
      <c r="F117" s="164">
        <f>'MKScenario4-Min50'!D22</f>
        <v>1.7027476462157992E-2</v>
      </c>
      <c r="G117" s="164">
        <f>'MKScenario4-Min50'!E22</f>
        <v>1.7027476462157992E-2</v>
      </c>
      <c r="H117" s="164">
        <f>'MKScenario4-Min50'!F22</f>
        <v>4.9261083743842367E-2</v>
      </c>
      <c r="I117" s="164">
        <f>'MKScenario4-Min50'!G22</f>
        <v>506.44970871063845</v>
      </c>
      <c r="J117" s="164">
        <f>'MKScenario4-Min50'!H22</f>
        <v>50</v>
      </c>
      <c r="K117" s="164">
        <f>'MKScenario4-Min50'!I22</f>
        <v>1</v>
      </c>
      <c r="L117" s="164">
        <f>'MKScenario4-Min50'!J22</f>
        <v>1</v>
      </c>
      <c r="M117" s="164">
        <f>'MKScenario4-Min50'!K22</f>
        <v>10</v>
      </c>
      <c r="N117" s="164">
        <f>'MKScenario4-Min50'!L22</f>
        <v>28.419082</v>
      </c>
      <c r="O117" s="164">
        <f>'MKScenario4-Min50'!M22</f>
        <v>-81.577305999999993</v>
      </c>
    </row>
    <row r="118" spans="1:15">
      <c r="A118" s="165" t="s">
        <v>91</v>
      </c>
      <c r="B118" s="165" t="s">
        <v>89</v>
      </c>
      <c r="C118" s="164">
        <f>'MKScenario4-Min50'!A23</f>
        <v>11</v>
      </c>
      <c r="D118" s="164">
        <f>'MKScenario4-Min50'!B23</f>
        <v>9</v>
      </c>
      <c r="E118" s="164" t="str">
        <f>'MKScenario4-Min50'!C23</f>
        <v>peter-pans-flight</v>
      </c>
      <c r="F118" s="164">
        <f>'MKScenario4-Min50'!D23</f>
        <v>7.9998039362600984E-2</v>
      </c>
      <c r="G118" s="164">
        <f>'MKScenario4-Min50'!E23</f>
        <v>7.9998039362600984E-2</v>
      </c>
      <c r="H118" s="164">
        <f>'MKScenario4-Min50'!F23</f>
        <v>5.5900621118012424E-2</v>
      </c>
      <c r="I118" s="164">
        <f>'MKScenario4-Min50'!G23</f>
        <v>238.93956076898075</v>
      </c>
      <c r="J118" s="164">
        <f>'MKScenario4-Min50'!H23</f>
        <v>45</v>
      </c>
      <c r="K118" s="164">
        <f>'MKScenario4-Min50'!I23</f>
        <v>1</v>
      </c>
      <c r="L118" s="164">
        <f>'MKScenario4-Min50'!J23</f>
        <v>1</v>
      </c>
      <c r="M118" s="164">
        <f>'MKScenario4-Min50'!K23</f>
        <v>11</v>
      </c>
      <c r="N118" s="164">
        <f>'MKScenario4-Min50'!L23</f>
        <v>28.420356000000002</v>
      </c>
      <c r="O118" s="164">
        <f>'MKScenario4-Min50'!M23</f>
        <v>-81.581855000000004</v>
      </c>
    </row>
    <row r="119" spans="1:15">
      <c r="A119" s="165" t="s">
        <v>91</v>
      </c>
      <c r="B119" s="165" t="s">
        <v>89</v>
      </c>
      <c r="C119" s="164">
        <f>'MKScenario4-Min50'!A24</f>
        <v>12</v>
      </c>
      <c r="D119" s="164">
        <f>'MKScenario4-Min50'!B24</f>
        <v>5</v>
      </c>
      <c r="E119" s="164" t="str">
        <f>'MKScenario4-Min50'!C24</f>
        <v>haunted-mansion</v>
      </c>
      <c r="F119" s="164">
        <f>'MKScenario4-Min50'!D24</f>
        <v>1.656225464926861E-2</v>
      </c>
      <c r="G119" s="164">
        <f>'MKScenario4-Min50'!E24</f>
        <v>1.656225464926861E-2</v>
      </c>
      <c r="H119" s="164">
        <f>'MKScenario4-Min50'!F24</f>
        <v>7.1999999999999995E-2</v>
      </c>
      <c r="I119" s="164">
        <f>'MKScenario4-Min50'!G24</f>
        <v>115.54084629340073</v>
      </c>
      <c r="J119" s="164">
        <f>'MKScenario4-Min50'!H24</f>
        <v>45</v>
      </c>
      <c r="K119" s="164">
        <f>'MKScenario4-Min50'!I24</f>
        <v>1</v>
      </c>
      <c r="L119" s="164">
        <f>'MKScenario4-Min50'!J24</f>
        <v>1</v>
      </c>
      <c r="M119" s="164">
        <f>'MKScenario4-Min50'!K24</f>
        <v>12</v>
      </c>
      <c r="N119" s="164">
        <f>'MKScenario4-Min50'!L24</f>
        <v>28.420445999999998</v>
      </c>
      <c r="O119" s="164">
        <f>'MKScenario4-Min50'!M24</f>
        <v>-81.582879000000005</v>
      </c>
    </row>
    <row r="120" spans="1:15">
      <c r="A120" s="165" t="s">
        <v>91</v>
      </c>
      <c r="B120" s="165" t="s">
        <v>89</v>
      </c>
      <c r="C120" s="164">
        <f>'MKScenario4-Min50'!A25</f>
        <v>13</v>
      </c>
      <c r="D120" s="164">
        <f>'MKScenario4-Min50'!B25</f>
        <v>8</v>
      </c>
      <c r="E120" s="164" t="str">
        <f>'MKScenario4-Min50'!C25</f>
        <v>monsters-inc-laugh-floor</v>
      </c>
      <c r="F120" s="164">
        <f>'MKScenario4-Min50'!D25</f>
        <v>7.7395722034668945E-3</v>
      </c>
      <c r="G120" s="164">
        <f>'MKScenario4-Min50'!E25</f>
        <v>7.7395722034668945E-3</v>
      </c>
      <c r="H120" s="164">
        <f>'MKScenario4-Min50'!F25</f>
        <v>8.8235294117647065E-2</v>
      </c>
      <c r="I120" s="164">
        <f>'MKScenario4-Min50'!G25</f>
        <v>46.120406617537434</v>
      </c>
      <c r="J120" s="164">
        <f>'MKScenario4-Min50'!H25</f>
        <v>15</v>
      </c>
      <c r="K120" s="164">
        <f>'MKScenario4-Min50'!I25</f>
        <v>1</v>
      </c>
      <c r="L120" s="164">
        <f>'MKScenario4-Min50'!J25</f>
        <v>1</v>
      </c>
      <c r="M120" s="164">
        <f>'MKScenario4-Min50'!K25</f>
        <v>13</v>
      </c>
      <c r="N120" s="164">
        <f>'MKScenario4-Min50'!L25</f>
        <v>28.418417000000002</v>
      </c>
      <c r="O120" s="164">
        <f>'MKScenario4-Min50'!M25</f>
        <v>-81.579811000000007</v>
      </c>
    </row>
    <row r="121" spans="1:15">
      <c r="A121" s="165" t="s">
        <v>91</v>
      </c>
      <c r="B121" s="165" t="s">
        <v>89</v>
      </c>
      <c r="C121" s="164">
        <f>'MKScenario4-Min50'!A26</f>
        <v>14</v>
      </c>
      <c r="D121" s="164">
        <f>'MKScenario4-Min50'!B26</f>
        <v>6</v>
      </c>
      <c r="E121" s="164" t="str">
        <f>'MKScenario4-Min50'!C26</f>
        <v>its-a-small-world</v>
      </c>
      <c r="F121" s="164">
        <f>'MKScenario4-Min50'!D26</f>
        <v>1.9392311637613405E-2</v>
      </c>
      <c r="G121" s="164">
        <f>'MKScenario4-Min50'!E26</f>
        <v>1.9392311637613405E-2</v>
      </c>
      <c r="H121" s="164">
        <f>'MKScenario4-Min50'!F26</f>
        <v>7.2727272727272724E-2</v>
      </c>
      <c r="I121" s="164">
        <f>'MKScenario4-Min50'!G26</f>
        <v>127.04302098859856</v>
      </c>
      <c r="J121" s="164">
        <f>'MKScenario4-Min50'!H26</f>
        <v>20</v>
      </c>
      <c r="K121" s="164">
        <f>'MKScenario4-Min50'!I26</f>
        <v>1</v>
      </c>
      <c r="L121" s="164">
        <f>'MKScenario4-Min50'!J26</f>
        <v>1</v>
      </c>
      <c r="M121" s="164">
        <f>'MKScenario4-Min50'!K26</f>
        <v>14</v>
      </c>
      <c r="N121" s="164">
        <f>'MKScenario4-Min50'!L26</f>
        <v>28.420539999999999</v>
      </c>
      <c r="O121" s="164">
        <f>'MKScenario4-Min50'!M26</f>
        <v>-81.581951000000004</v>
      </c>
    </row>
    <row r="122" spans="1:15">
      <c r="A122" s="165" t="s">
        <v>91</v>
      </c>
      <c r="B122" s="165" t="s">
        <v>89</v>
      </c>
      <c r="C122" s="164">
        <f>'MKScenario4-Min50'!A27</f>
        <v>15</v>
      </c>
      <c r="D122" s="164">
        <f>'MKScenario4-Min50'!B27</f>
        <v>10</v>
      </c>
      <c r="E122" s="164" t="str">
        <f>'MKScenario4-Min50'!C27</f>
        <v>pirates-of-the-caribbean</v>
      </c>
      <c r="F122" s="164">
        <f>'MKScenario4-Min50'!D27</f>
        <v>2.1224732711973001E-2</v>
      </c>
      <c r="G122" s="164">
        <f>'MKScenario4-Min50'!E27</f>
        <v>2.1224732711973001E-2</v>
      </c>
      <c r="H122" s="164">
        <f>'MKScenario4-Min50'!F27</f>
        <v>7.407407407407407E-2</v>
      </c>
      <c r="I122" s="164">
        <f>'MKScenario4-Min50'!G27</f>
        <v>150.6555634966613</v>
      </c>
      <c r="J122" s="164">
        <f>'MKScenario4-Min50'!H27</f>
        <v>40</v>
      </c>
      <c r="K122" s="164">
        <f>'MKScenario4-Min50'!I27</f>
        <v>1</v>
      </c>
      <c r="L122" s="164">
        <f>'MKScenario4-Min50'!J27</f>
        <v>1</v>
      </c>
      <c r="M122" s="164">
        <f>'MKScenario4-Min50'!K27</f>
        <v>15</v>
      </c>
      <c r="N122" s="164">
        <f>'MKScenario4-Min50'!L27</f>
        <v>28.418123999999999</v>
      </c>
      <c r="O122" s="164">
        <f>'MKScenario4-Min50'!M27</f>
        <v>-81.584284999999994</v>
      </c>
    </row>
    <row r="123" spans="1:15">
      <c r="A123" s="165" t="s">
        <v>91</v>
      </c>
      <c r="B123" s="165" t="s">
        <v>89</v>
      </c>
      <c r="C123" s="164">
        <f>'MKScenario4-Min50'!A28</f>
        <v>16</v>
      </c>
      <c r="D123" s="164">
        <f>'MKScenario4-Min50'!B28</f>
        <v>15</v>
      </c>
      <c r="E123" s="164" t="str">
        <f>'MKScenario4-Min50'!C28</f>
        <v>tomorrowland-speedway</v>
      </c>
      <c r="F123" s="164">
        <f>'MKScenario4-Min50'!D28</f>
        <v>4.2720217045397739E-2</v>
      </c>
      <c r="G123" s="164">
        <f>'MKScenario4-Min50'!E28</f>
        <v>4.2720217045397739E-2</v>
      </c>
      <c r="H123" s="164">
        <f>'MKScenario4-Min50'!F28</f>
        <v>7.0422535211267609E-2</v>
      </c>
      <c r="I123" s="164">
        <f>'MKScenario4-Min50'!G28</f>
        <v>0</v>
      </c>
      <c r="J123" s="164">
        <f>'MKScenario4-Min50'!H28</f>
        <v>25</v>
      </c>
      <c r="K123" s="164">
        <f>'MKScenario4-Min50'!I28</f>
        <v>1</v>
      </c>
      <c r="L123" s="164">
        <f>'MKScenario4-Min50'!J28</f>
        <v>1</v>
      </c>
      <c r="M123" s="164">
        <f>'MKScenario4-Min50'!K28</f>
        <v>16</v>
      </c>
      <c r="N123" s="164">
        <f>'MKScenario4-Min50'!L28</f>
        <v>28.419384000000001</v>
      </c>
      <c r="O123" s="164">
        <f>'MKScenario4-Min50'!M28</f>
        <v>-81.579367000000005</v>
      </c>
    </row>
    <row r="124" spans="1:15">
      <c r="A124" s="165" t="s">
        <v>91</v>
      </c>
      <c r="B124" s="165" t="s">
        <v>89</v>
      </c>
      <c r="C124" s="164">
        <f>'MKScenario4-Min50'!A29</f>
        <v>17</v>
      </c>
      <c r="D124" s="164">
        <f>'MKScenario4-Min50'!B29</f>
        <v>3</v>
      </c>
      <c r="E124" s="164" t="str">
        <f>'MKScenario4-Min50'!C29</f>
        <v>buzz-lightyears-space-ranger-spin</v>
      </c>
      <c r="F124" s="164">
        <f>'MKScenario4-Min50'!D29</f>
        <v>5.5745091284026972E-2</v>
      </c>
      <c r="G124" s="164">
        <f>'MKScenario4-Min50'!E29</f>
        <v>5.5745091284026972E-2</v>
      </c>
      <c r="H124" s="164">
        <f>'MKScenario4-Min50'!F29</f>
        <v>6.8965517241379309E-2</v>
      </c>
      <c r="I124" s="164">
        <f>'MKScenario4-Min50'!G29</f>
        <v>443.65343531531397</v>
      </c>
      <c r="J124" s="164">
        <f>'MKScenario4-Min50'!H29</f>
        <v>40</v>
      </c>
      <c r="K124" s="164">
        <f>'MKScenario4-Min50'!I29</f>
        <v>1</v>
      </c>
      <c r="L124" s="164">
        <f>'MKScenario4-Min50'!J29</f>
        <v>1</v>
      </c>
      <c r="M124" s="164">
        <f>'MKScenario4-Min50'!K29</f>
        <v>17</v>
      </c>
      <c r="N124" s="164">
        <f>'MKScenario4-Min50'!L29</f>
        <v>28.418243</v>
      </c>
      <c r="O124" s="164">
        <f>'MKScenario4-Min50'!M29</f>
        <v>-81.579359999999994</v>
      </c>
    </row>
    <row r="125" spans="1:15">
      <c r="A125" s="165" t="s">
        <v>91</v>
      </c>
      <c r="B125" s="165" t="s">
        <v>89</v>
      </c>
      <c r="C125" s="164">
        <f>'MKScenario4-Min50'!A30</f>
        <v>18</v>
      </c>
      <c r="D125" s="164">
        <f>'MKScenario4-Min50'!B30</f>
        <v>2</v>
      </c>
      <c r="E125" s="164" t="str">
        <f>'MKScenario4-Min50'!C30</f>
        <v>big-thunder-mountain-railroad</v>
      </c>
      <c r="F125" s="164">
        <f>'MKScenario4-Min50'!D30</f>
        <v>1.4021686904213865E-2</v>
      </c>
      <c r="G125" s="164">
        <f>'MKScenario4-Min50'!E30</f>
        <v>1.4021686904213865E-2</v>
      </c>
      <c r="H125" s="164">
        <f>'MKScenario4-Min50'!F30</f>
        <v>7.2463768115942032E-2</v>
      </c>
      <c r="I125" s="164">
        <f>'MKScenario4-Min50'!G30</f>
        <v>0</v>
      </c>
      <c r="J125" s="164">
        <f>'MKScenario4-Min50'!H30</f>
        <v>50</v>
      </c>
      <c r="K125" s="164">
        <f>'MKScenario4-Min50'!I30</f>
        <v>1</v>
      </c>
      <c r="L125" s="164">
        <f>'MKScenario4-Min50'!J30</f>
        <v>1</v>
      </c>
      <c r="M125" s="164">
        <f>'MKScenario4-Min50'!K30</f>
        <v>18</v>
      </c>
      <c r="N125" s="164">
        <f>'MKScenario4-Min50'!L30</f>
        <v>28.420021999999999</v>
      </c>
      <c r="O125" s="164">
        <f>'MKScenario4-Min50'!M30</f>
        <v>-81.584692000000004</v>
      </c>
    </row>
    <row r="126" spans="1:15">
      <c r="A126" s="165" t="s">
        <v>91</v>
      </c>
      <c r="B126" s="165" t="s">
        <v>89</v>
      </c>
      <c r="C126" s="164">
        <f>'MKScenario4-Min50'!A31</f>
        <v>19</v>
      </c>
      <c r="D126" s="164">
        <f>'MKScenario4-Min50'!B31</f>
        <v>1</v>
      </c>
      <c r="E126" s="164" t="str">
        <f>'MKScenario4-Min50'!C31</f>
        <v>astro-orbiter</v>
      </c>
      <c r="F126" s="164">
        <f>'MKScenario4-Min50'!D31</f>
        <v>1.0689802865799129E-2</v>
      </c>
      <c r="G126" s="164">
        <f>'MKScenario4-Min50'!E31</f>
        <v>1.0689802865799129E-2</v>
      </c>
      <c r="H126" s="164">
        <f>'MKScenario4-Min50'!F31</f>
        <v>4.0540540540540543E-2</v>
      </c>
      <c r="I126" s="164">
        <f>'MKScenario4-Min50'!G31</f>
        <v>0</v>
      </c>
      <c r="J126" s="164">
        <f>'MKScenario4-Min50'!H31</f>
        <v>15</v>
      </c>
      <c r="K126" s="164">
        <f>'MKScenario4-Min50'!I31</f>
        <v>1</v>
      </c>
      <c r="L126" s="164">
        <f>'MKScenario4-Min50'!J31</f>
        <v>1</v>
      </c>
      <c r="M126" s="164">
        <f>'MKScenario4-Min50'!K31</f>
        <v>19</v>
      </c>
      <c r="N126" s="164">
        <f>'MKScenario4-Min50'!L31</f>
        <v>28.418493000000002</v>
      </c>
      <c r="O126" s="164">
        <f>'MKScenario4-Min50'!M31</f>
        <v>-81.579230999999993</v>
      </c>
    </row>
    <row r="127" spans="1:15">
      <c r="A127" s="165" t="s">
        <v>91</v>
      </c>
      <c r="B127" s="165" t="s">
        <v>89</v>
      </c>
      <c r="C127" s="164">
        <f>'MKScenario4-Min50'!A32</f>
        <v>20</v>
      </c>
      <c r="D127" s="164">
        <f>'MKScenario4-Min50'!B32</f>
        <v>14</v>
      </c>
      <c r="E127" s="164" t="str">
        <f>'MKScenario4-Min50'!C32</f>
        <v>the-many-adventures-of-winnie-the-pooh</v>
      </c>
      <c r="F127" s="164">
        <f>'MKScenario4-Min50'!D32</f>
        <v>1.2060589622102796E-2</v>
      </c>
      <c r="G127" s="164">
        <f>'MKScenario4-Min50'!E32</f>
        <v>1.2060589622102796E-2</v>
      </c>
      <c r="H127" s="164">
        <f>'MKScenario4-Min50'!F32</f>
        <v>8.4337349397590355E-2</v>
      </c>
      <c r="I127" s="164">
        <f>'MKScenario4-Min50'!G32</f>
        <v>235.9205617282789</v>
      </c>
      <c r="J127" s="164">
        <f>'MKScenario4-Min50'!H32</f>
        <v>35</v>
      </c>
      <c r="K127" s="164">
        <f>'MKScenario4-Min50'!I32</f>
        <v>1</v>
      </c>
      <c r="L127" s="164">
        <f>'MKScenario4-Min50'!J32</f>
        <v>1</v>
      </c>
      <c r="M127" s="164">
        <f>'MKScenario4-Min50'!K32</f>
        <v>20</v>
      </c>
      <c r="N127" s="164">
        <f>'MKScenario4-Min50'!L32</f>
        <v>28.420138999999999</v>
      </c>
      <c r="O127" s="164">
        <f>'MKScenario4-Min50'!M32</f>
        <v>-81.580201000000002</v>
      </c>
    </row>
    <row r="128" spans="1:15">
      <c r="A128" s="165" t="s">
        <v>91</v>
      </c>
      <c r="B128" s="165" t="s">
        <v>89</v>
      </c>
      <c r="C128" s="164">
        <f>'MKScenario4-Min50'!A33</f>
        <v>21</v>
      </c>
      <c r="D128" s="164">
        <f>'MKScenario4-Min50'!B33</f>
        <v>13</v>
      </c>
      <c r="E128" s="164" t="str">
        <f>'MKScenario4-Min50'!C33</f>
        <v>splash-mountain</v>
      </c>
      <c r="F128" s="164">
        <f>'MKScenario4-Min50'!D33</f>
        <v>2.9122458845096851E-2</v>
      </c>
      <c r="G128" s="164">
        <f>'MKScenario4-Min50'!E33</f>
        <v>2.9122458845096851E-2</v>
      </c>
      <c r="H128" s="164">
        <f>'MKScenario4-Min50'!F33</f>
        <v>8.4337349397590355E-2</v>
      </c>
      <c r="I128" s="164">
        <f>'MKScenario4-Min50'!G33</f>
        <v>0</v>
      </c>
      <c r="J128" s="164">
        <f>'MKScenario4-Min50'!H33</f>
        <v>35</v>
      </c>
      <c r="K128" s="164">
        <f>'MKScenario4-Min50'!I33</f>
        <v>1</v>
      </c>
      <c r="L128" s="164">
        <f>'MKScenario4-Min50'!J33</f>
        <v>1</v>
      </c>
      <c r="M128" s="164">
        <f>'MKScenario4-Min50'!K33</f>
        <v>21</v>
      </c>
      <c r="N128" s="164">
        <f>'MKScenario4-Min50'!L33</f>
        <v>28.419139000000001</v>
      </c>
      <c r="O128" s="164">
        <f>'MKScenario4-Min50'!M33</f>
        <v>-81.585058000000004</v>
      </c>
    </row>
    <row r="129" spans="1:15">
      <c r="A129" s="165" t="s">
        <v>91</v>
      </c>
      <c r="B129" s="165" t="s">
        <v>89</v>
      </c>
      <c r="C129" s="164">
        <f>'MKScenario4-Min50'!A34</f>
        <v>22</v>
      </c>
      <c r="D129" s="164">
        <f>'MKScenario4-Min50'!B34</f>
        <v>4</v>
      </c>
      <c r="E129" s="164" t="str">
        <f>'MKScenario4-Min50'!C34</f>
        <v>dumbo-the-flying-elephant</v>
      </c>
      <c r="F129" s="164">
        <f>'MKScenario4-Min50'!D34</f>
        <v>1.7263037160236069E-2</v>
      </c>
      <c r="G129" s="164">
        <f>'MKScenario4-Min50'!E34</f>
        <v>1.7263037160236069E-2</v>
      </c>
      <c r="H129" s="164">
        <f>'MKScenario4-Min50'!F34</f>
        <v>8.3333333333333329E-2</v>
      </c>
      <c r="I129" s="164">
        <f>'MKScenario4-Min50'!G34</f>
        <v>394.82939421009377</v>
      </c>
      <c r="J129" s="164">
        <f>'MKScenario4-Min50'!H34</f>
        <v>25</v>
      </c>
      <c r="K129" s="164">
        <f>'MKScenario4-Min50'!I34</f>
        <v>1</v>
      </c>
      <c r="L129" s="164">
        <f>'MKScenario4-Min50'!J34</f>
        <v>1</v>
      </c>
      <c r="M129" s="164">
        <f>'MKScenario4-Min50'!K34</f>
        <v>22</v>
      </c>
      <c r="N129" s="164">
        <f>'MKScenario4-Min50'!L34</f>
        <v>28.420459999999999</v>
      </c>
      <c r="O129" s="164">
        <f>'MKScenario4-Min50'!M34</f>
        <v>-81.578979000000004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34C60A-91D2-493B-90BF-A2681997FC8A}">
  <dimension ref="A1:AL56"/>
  <sheetViews>
    <sheetView topLeftCell="A20" workbookViewId="0">
      <selection activeCell="M21" sqref="A21:M38"/>
    </sheetView>
  </sheetViews>
  <sheetFormatPr defaultRowHeight="14.25"/>
  <cols>
    <col min="1" max="1" width="9.5" bestFit="1" customWidth="1"/>
    <col min="2" max="2" width="11.5" customWidth="1"/>
    <col min="3" max="3" width="17.25" bestFit="1" customWidth="1"/>
    <col min="4" max="4" width="12.5" bestFit="1" customWidth="1"/>
    <col min="5" max="5" width="7.75" bestFit="1" customWidth="1"/>
    <col min="6" max="6" width="8.375" bestFit="1" customWidth="1"/>
    <col min="7" max="7" width="7.375" bestFit="1" customWidth="1"/>
    <col min="8" max="8" width="8" customWidth="1"/>
    <col min="9" max="18" width="6.75" customWidth="1"/>
    <col min="19" max="19" width="17.25" bestFit="1" customWidth="1"/>
    <col min="20" max="20" width="18.25" customWidth="1"/>
    <col min="21" max="21" width="12.75" bestFit="1" customWidth="1"/>
    <col min="22" max="38" width="5.5" customWidth="1"/>
    <col min="39" max="39" width="15.75" bestFit="1" customWidth="1"/>
  </cols>
  <sheetData>
    <row r="1" spans="1:38" ht="48.75" customHeight="1" thickBot="1">
      <c r="A1" s="67" t="s">
        <v>41</v>
      </c>
      <c r="B1" s="51" t="s">
        <v>5</v>
      </c>
      <c r="C1" s="25"/>
      <c r="D1" s="25"/>
      <c r="E1" s="25"/>
      <c r="F1" s="25"/>
      <c r="G1" s="25"/>
      <c r="H1" s="25"/>
      <c r="I1" s="25"/>
      <c r="J1" s="25"/>
      <c r="K1" s="25"/>
      <c r="L1" s="25"/>
      <c r="M1" s="25"/>
      <c r="N1" s="25"/>
      <c r="O1" s="25"/>
      <c r="P1" s="25"/>
      <c r="Q1" s="25"/>
      <c r="R1" s="26"/>
      <c r="S1" s="52" t="s">
        <v>40</v>
      </c>
      <c r="T1" s="52" t="s">
        <v>11</v>
      </c>
      <c r="U1" s="53" t="s">
        <v>6</v>
      </c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1"/>
    </row>
    <row r="2" spans="1:38" ht="15" thickBot="1">
      <c r="A2" s="100" t="s">
        <v>5</v>
      </c>
      <c r="B2" s="70">
        <v>1</v>
      </c>
      <c r="C2" s="70">
        <v>2</v>
      </c>
      <c r="D2" s="70">
        <v>3</v>
      </c>
      <c r="E2" s="70">
        <v>4</v>
      </c>
      <c r="F2" s="70">
        <v>5</v>
      </c>
      <c r="G2" s="70">
        <v>6</v>
      </c>
      <c r="H2" s="70">
        <v>7</v>
      </c>
      <c r="I2" s="70">
        <v>8</v>
      </c>
      <c r="J2" s="70">
        <v>9</v>
      </c>
      <c r="K2" s="70">
        <v>10</v>
      </c>
      <c r="L2" s="70">
        <v>11</v>
      </c>
      <c r="M2" s="70">
        <v>12</v>
      </c>
      <c r="N2" s="70">
        <v>13</v>
      </c>
      <c r="O2" s="70">
        <v>14</v>
      </c>
      <c r="P2" s="70">
        <v>15</v>
      </c>
      <c r="Q2" s="70">
        <v>16</v>
      </c>
      <c r="R2" s="99">
        <v>17</v>
      </c>
      <c r="T2" s="56" t="s">
        <v>12</v>
      </c>
      <c r="U2" s="54">
        <v>1</v>
      </c>
      <c r="V2" s="54">
        <v>2</v>
      </c>
      <c r="W2" s="54">
        <v>3</v>
      </c>
      <c r="X2" s="54">
        <v>4</v>
      </c>
      <c r="Y2" s="54">
        <v>5</v>
      </c>
      <c r="Z2" s="54">
        <v>6</v>
      </c>
      <c r="AA2" s="54">
        <v>7</v>
      </c>
      <c r="AB2" s="54">
        <v>8</v>
      </c>
      <c r="AC2" s="54">
        <v>9</v>
      </c>
      <c r="AD2" s="54">
        <v>10</v>
      </c>
      <c r="AE2" s="54">
        <v>11</v>
      </c>
      <c r="AF2" s="54">
        <v>12</v>
      </c>
      <c r="AG2" s="54">
        <v>13</v>
      </c>
      <c r="AH2" s="54">
        <v>14</v>
      </c>
      <c r="AI2" s="54">
        <v>15</v>
      </c>
      <c r="AJ2" s="54">
        <v>16</v>
      </c>
      <c r="AK2" s="55">
        <v>17</v>
      </c>
      <c r="AL2" s="57" t="s">
        <v>13</v>
      </c>
    </row>
    <row r="3" spans="1:38" ht="15">
      <c r="A3" s="59">
        <v>1</v>
      </c>
      <c r="B3" s="75">
        <f>(getDistance(coord!C1,coord!D1,coord!$C$1,coord!$D$1)*1000)/$B$20</f>
        <v>0</v>
      </c>
      <c r="C3" s="74">
        <f>(getDistance(coord!C1,coord!D1,coord!$C$2,coord!$D$2)*1000)/$C$20</f>
        <v>9.7939859857844019E-3</v>
      </c>
      <c r="D3" s="74">
        <f>(getDistance(coord!$C1,coord!$D1,coord!$C$3,coord!$D$3)*1000)/$D$20</f>
        <v>2.2698884083943889E-2</v>
      </c>
      <c r="E3" s="74">
        <f>(getDistance(coord!$C1,coord!$D1,coord!$C$4,coord!$D$4)*1000)/$E$20</f>
        <v>4.1041595442076105E-2</v>
      </c>
      <c r="F3" s="74">
        <f>(getDistance(coord!$C1,coord!$D1,coord!$C$5,coord!$D$5)*1000)/$F$20</f>
        <v>8.9692706304415254E-2</v>
      </c>
      <c r="G3" s="74">
        <f>(getDistance(coord!$C1,coord!$D1,coord!$C$6,coord!$D$6)*1000)/$G$20</f>
        <v>8.6451824708535505E-2</v>
      </c>
      <c r="H3" s="74">
        <f>(getDistance(coord!$C1,coord!$D1,coord!$C$7,coord!$D$7)*1000)/$H$20</f>
        <v>8.9811228695136011E-2</v>
      </c>
      <c r="I3" s="74">
        <f>(getDistance(coord!$C1,coord!$D1,coord!$C$8,coord!$D$8)*1000)/$I$20</f>
        <v>9.1240820893187149E-2</v>
      </c>
      <c r="J3" s="74">
        <f>(getDistance(coord!$C1,coord!$D1,coord!$C$9,coord!$D$9)*1000)/$J$20</f>
        <v>8.7047462622908689E-2</v>
      </c>
      <c r="K3" s="74">
        <f>(getDistance(coord!$C1,coord!$D1,coord!$C$10,coord!$D$10)*1000)/$K$20</f>
        <v>8.0740347669411905E-2</v>
      </c>
      <c r="L3" s="74">
        <f>(getDistance(coord!$C1,coord!$D1,coord!$C$11,coord!$D$11)*1000)/$L$20</f>
        <v>5.5422256969853041E-2</v>
      </c>
      <c r="M3" s="74">
        <f>(getDistance(coord!$C1,coord!$D1,coord!$C$12,coord!$D$12)*1000)/$M$20</f>
        <v>8.5548369994808526E-2</v>
      </c>
      <c r="N3" s="74">
        <f>(getDistance(coord!$C1,coord!$D1,coord!$C$13,coord!$D$13)*1000)/$N$20</f>
        <v>3.1776523621703266E-2</v>
      </c>
      <c r="O3" s="74">
        <f>(getDistance(coord!$C1,coord!$D1,coord!$C$14,coord!$D$14)*1000)/$O$20</f>
        <v>1.0336778634729865E-2</v>
      </c>
      <c r="P3" s="74">
        <f>(getDistance(coord!$C1,coord!$D1,coord!$C$15,coord!$D$15)*1000)/$P$20</f>
        <v>6.8833375128825133E-2</v>
      </c>
      <c r="Q3" s="74">
        <f>(getDistance(coord!$C1,coord!$D1,coord!$C$16,coord!$D$16)*1000)/$Q$20</f>
        <v>6.1611762184374974E-2</v>
      </c>
      <c r="R3" s="74">
        <f>(getDistance(coord!$C1,coord!$D1,coord!$C$17,coord!$D$17)*1000)/$R$20</f>
        <v>6.3560494570447018E-2</v>
      </c>
      <c r="S3" s="58" t="s">
        <v>39</v>
      </c>
      <c r="T3" s="59">
        <v>8</v>
      </c>
      <c r="U3" s="61">
        <v>1.3793103448275862E-2</v>
      </c>
      <c r="V3" s="61">
        <v>1.9607843137254902E-2</v>
      </c>
      <c r="W3" s="61">
        <v>6.0606060606060608E-2</v>
      </c>
      <c r="X3" s="61">
        <v>9.5238095238095247E-3</v>
      </c>
      <c r="Y3" s="61">
        <v>2.6315789473684209E-2</v>
      </c>
      <c r="Z3" s="61">
        <v>1.3192612137203167E-2</v>
      </c>
      <c r="AA3" s="61">
        <v>2.1739130434782608E-2</v>
      </c>
      <c r="AB3" s="61">
        <v>1.8181818181818181E-2</v>
      </c>
      <c r="AC3" s="61">
        <v>8.0000000000000002E-3</v>
      </c>
      <c r="AD3" s="61">
        <v>4.9295774647887321E-2</v>
      </c>
      <c r="AE3" s="61">
        <v>1.2048192771084338E-2</v>
      </c>
      <c r="AF3" s="61">
        <v>1.1764705882352941E-2</v>
      </c>
      <c r="AG3" s="61">
        <v>1.2345679012345678E-2</v>
      </c>
      <c r="AH3" s="61">
        <v>1.3157894736842105E-2</v>
      </c>
      <c r="AI3" s="61">
        <v>1.3513513513513514E-2</v>
      </c>
      <c r="AJ3" s="61">
        <v>1.8292682926829267E-2</v>
      </c>
      <c r="AK3" s="62">
        <v>9.1743119266055051E-3</v>
      </c>
      <c r="AL3" s="82">
        <f>AVERAGE(U3:AK3)</f>
        <v>1.9444289550608812E-2</v>
      </c>
    </row>
    <row r="4" spans="1:38" ht="15">
      <c r="A4" s="59">
        <v>2</v>
      </c>
      <c r="B4" s="74">
        <f>(getDistance(coord!C2,coord!D2,coord!$C$1,coord!$D$1)*1000)/$B$20</f>
        <v>9.2469745750658385E-3</v>
      </c>
      <c r="C4" s="75">
        <f>(getDistance(coord!C2,coord!D2,coord!$C$2,coord!$D$2)*1000)/$C$20</f>
        <v>0</v>
      </c>
      <c r="D4" s="74">
        <f>(getDistance(coord!$C2,coord!$D2,coord!$C$3,coord!$D$3)*1000)/$D$20</f>
        <v>1.3406673571440857E-2</v>
      </c>
      <c r="E4" s="74">
        <f>(getDistance(coord!$C2,coord!$D2,coord!$C$4,coord!$D$4)*1000)/$E$20</f>
        <v>4.6106558172381198E-2</v>
      </c>
      <c r="F4" s="74">
        <f>(getDistance(coord!$C2,coord!$D2,coord!$C$5,coord!$D$5)*1000)/$F$20</f>
        <v>8.1067478863828216E-2</v>
      </c>
      <c r="G4" s="74">
        <f>(getDistance(coord!$C2,coord!$D2,coord!$C$6,coord!$D$6)*1000)/$G$20</f>
        <v>8.0175462212965953E-2</v>
      </c>
      <c r="H4" s="74">
        <f>(getDistance(coord!$C2,coord!$D2,coord!$C$7,coord!$D$7)*1000)/$H$20</f>
        <v>8.468635184258988E-2</v>
      </c>
      <c r="I4" s="74">
        <f>(getDistance(coord!$C2,coord!$D2,coord!$C$8,coord!$D$8)*1000)/$I$20</f>
        <v>8.3290509632205356E-2</v>
      </c>
      <c r="J4" s="74">
        <f>(getDistance(coord!$C2,coord!$D2,coord!$C$9,coord!$D$9)*1000)/$J$20</f>
        <v>7.7949945055034039E-2</v>
      </c>
      <c r="K4" s="74">
        <f>(getDistance(coord!$C2,coord!$D2,coord!$C$10,coord!$D$10)*1000)/$K$20</f>
        <v>7.2766203954019684E-2</v>
      </c>
      <c r="L4" s="74">
        <f>(getDistance(coord!$C2,coord!$D2,coord!$C$11,coord!$D$11)*1000)/$L$20</f>
        <v>5.4633200319977884E-2</v>
      </c>
      <c r="M4" s="74">
        <f>(getDistance(coord!$C2,coord!$D2,coord!$C$12,coord!$D$12)*1000)/$M$20</f>
        <v>8.1881962218171789E-2</v>
      </c>
      <c r="N4" s="74">
        <f>(getDistance(coord!$C2,coord!$D2,coord!$C$13,coord!$D$13)*1000)/$N$20</f>
        <v>3.8078436406743466E-2</v>
      </c>
      <c r="O4" s="74">
        <f>(getDistance(coord!$C2,coord!$D2,coord!$C$14,coord!$D$14)*1000)/$O$20</f>
        <v>1.8726762682311E-2</v>
      </c>
      <c r="P4" s="74">
        <f>(getDistance(coord!$C2,coord!$D2,coord!$C$15,coord!$D$15)*1000)/$P$20</f>
        <v>5.8687830639966236E-2</v>
      </c>
      <c r="Q4" s="74">
        <f>(getDistance(coord!$C2,coord!$D2,coord!$C$16,coord!$D$16)*1000)/$Q$20</f>
        <v>5.4144568419983552E-2</v>
      </c>
      <c r="R4" s="74">
        <f>(getDistance(coord!$C2,coord!$D2,coord!$C$17,coord!$D$17)*1000)/$R$20</f>
        <v>5.3842463364049263E-2</v>
      </c>
      <c r="S4" s="58" t="s">
        <v>15</v>
      </c>
      <c r="T4" s="59">
        <v>9</v>
      </c>
      <c r="U4" s="61">
        <v>3.4482758620689655E-2</v>
      </c>
      <c r="V4" s="61">
        <v>1.9607843137254902E-2</v>
      </c>
      <c r="W4" s="61">
        <v>6.0606060606060608E-2</v>
      </c>
      <c r="X4" s="61">
        <v>9.5238095238095247E-3</v>
      </c>
      <c r="Y4" s="61">
        <v>4.3859649122807015E-2</v>
      </c>
      <c r="Z4" s="61">
        <v>1.3192612137203167E-2</v>
      </c>
      <c r="AA4" s="61">
        <v>2.1739130434782608E-2</v>
      </c>
      <c r="AB4" s="61">
        <v>1.8181818181818181E-2</v>
      </c>
      <c r="AC4" s="61">
        <v>1.6E-2</v>
      </c>
      <c r="AD4" s="61">
        <v>5.6338028169014086E-2</v>
      </c>
      <c r="AE4" s="61">
        <v>2.4096385542168676E-2</v>
      </c>
      <c r="AF4" s="61">
        <v>2.3529411764705882E-2</v>
      </c>
      <c r="AG4" s="61">
        <v>2.4691358024691357E-2</v>
      </c>
      <c r="AH4" s="61">
        <v>3.9473684210526314E-2</v>
      </c>
      <c r="AI4" s="61">
        <v>4.0540540540540543E-2</v>
      </c>
      <c r="AJ4" s="61">
        <v>2.4390243902439025E-2</v>
      </c>
      <c r="AK4" s="62">
        <v>3.669724770642202E-2</v>
      </c>
      <c r="AL4" s="82">
        <f t="shared" ref="AL4:AL19" si="0">AVERAGE(U4:AK4)</f>
        <v>2.982062244852551E-2</v>
      </c>
    </row>
    <row r="5" spans="1:38" ht="15">
      <c r="A5" s="59">
        <v>3</v>
      </c>
      <c r="B5" s="74">
        <f>(getDistance(coord!C3,coord!D3,coord!$C$1,coord!$D$1)*1000)/$B$20</f>
        <v>1.9643791909343934E-2</v>
      </c>
      <c r="C5" s="74">
        <f>(getDistance(coord!C3,coord!D3,coord!$C$2,coord!$D$2)*1000)/$C$20</f>
        <v>1.2288579056995987E-2</v>
      </c>
      <c r="D5" s="75">
        <f>(getDistance(coord!$C3,coord!$D3,coord!$C$3,coord!$D$3)*1000)/$D$20</f>
        <v>0</v>
      </c>
      <c r="E5" s="74">
        <f>(getDistance(coord!$C3,coord!$D3,coord!$C$4,coord!$D$4)*1000)/$E$20</f>
        <v>4.9239744032680575E-2</v>
      </c>
      <c r="F5" s="74">
        <f>(getDistance(coord!$C3,coord!$D3,coord!$C$5,coord!$D$5)*1000)/$F$20</f>
        <v>6.7114307356976877E-2</v>
      </c>
      <c r="G5" s="74">
        <f>(getDistance(coord!$C3,coord!$D3,coord!$C$6,coord!$D$6)*1000)/$G$20</f>
        <v>6.7600548215057135E-2</v>
      </c>
      <c r="H5" s="74">
        <f>(getDistance(coord!$C3,coord!$D3,coord!$C$7,coord!$D$7)*1000)/$H$20</f>
        <v>7.5382023485248112E-2</v>
      </c>
      <c r="I5" s="74">
        <f>(getDistance(coord!$C3,coord!$D3,coord!$C$8,coord!$D$8)*1000)/$I$20</f>
        <v>6.9817238172495161E-2</v>
      </c>
      <c r="J5" s="74">
        <f>(getDistance(coord!$C3,coord!$D3,coord!$C$9,coord!$D$9)*1000)/$J$20</f>
        <v>6.4957190869945655E-2</v>
      </c>
      <c r="K5" s="74">
        <f>(getDistance(coord!$C3,coord!$D3,coord!$C$10,coord!$D$10)*1000)/$K$20</f>
        <v>5.8381558747137567E-2</v>
      </c>
      <c r="L5" s="74">
        <f>(getDistance(coord!$C3,coord!$D3,coord!$C$11,coord!$D$11)*1000)/$L$20</f>
        <v>4.7923791064915143E-2</v>
      </c>
      <c r="M5" s="74">
        <f>(getDistance(coord!$C3,coord!$D3,coord!$C$12,coord!$D$12)*1000)/$M$20</f>
        <v>7.4297179559466797E-2</v>
      </c>
      <c r="N5" s="74">
        <f>(getDistance(coord!$C3,coord!$D3,coord!$C$13,coord!$D$13)*1000)/$N$20</f>
        <v>4.3084773468247912E-2</v>
      </c>
      <c r="O5" s="74">
        <f>(getDistance(coord!$C3,coord!$D3,coord!$C$14,coord!$D$14)*1000)/$O$20</f>
        <v>2.7735254089680056E-2</v>
      </c>
      <c r="P5" s="74">
        <f>(getDistance(coord!$C3,coord!$D3,coord!$C$15,coord!$D$15)*1000)/$P$20</f>
        <v>4.7574861205438287E-2</v>
      </c>
      <c r="Q5" s="74">
        <f>(getDistance(coord!$C3,coord!$D3,coord!$C$16,coord!$D$16)*1000)/$Q$20</f>
        <v>4.891291394410003E-2</v>
      </c>
      <c r="R5" s="74">
        <f>(getDistance(coord!$C3,coord!$D3,coord!$C$17,coord!$D$17)*1000)/$R$20</f>
        <v>4.4698705395085934E-2</v>
      </c>
      <c r="S5" s="58" t="s">
        <v>16</v>
      </c>
      <c r="T5" s="59">
        <v>10</v>
      </c>
      <c r="U5" s="61">
        <v>4.8275862068965517E-2</v>
      </c>
      <c r="V5" s="61">
        <v>3.9215686274509803E-2</v>
      </c>
      <c r="W5" s="61">
        <v>6.0606060606060608E-2</v>
      </c>
      <c r="X5" s="61">
        <v>1.9047619047619049E-2</v>
      </c>
      <c r="Y5" s="61">
        <v>6.1403508771929821E-2</v>
      </c>
      <c r="Z5" s="61">
        <v>2.6385224274406333E-2</v>
      </c>
      <c r="AA5" s="61">
        <v>4.3478260869565216E-2</v>
      </c>
      <c r="AB5" s="61">
        <v>3.6363636363636362E-2</v>
      </c>
      <c r="AC5" s="61">
        <v>2.4E-2</v>
      </c>
      <c r="AD5" s="61">
        <v>6.3380281690140844E-2</v>
      </c>
      <c r="AE5" s="61">
        <v>3.614457831325301E-2</v>
      </c>
      <c r="AF5" s="61">
        <v>3.5294117647058823E-2</v>
      </c>
      <c r="AG5" s="61">
        <v>3.7037037037037035E-2</v>
      </c>
      <c r="AH5" s="61">
        <v>6.5789473684210523E-2</v>
      </c>
      <c r="AI5" s="61">
        <v>6.7567567567567571E-2</v>
      </c>
      <c r="AJ5" s="61">
        <v>3.048780487804878E-2</v>
      </c>
      <c r="AK5" s="62">
        <v>6.4220183486238536E-2</v>
      </c>
      <c r="AL5" s="82">
        <f t="shared" si="0"/>
        <v>4.4629229563543996E-2</v>
      </c>
    </row>
    <row r="6" spans="1:38" ht="15">
      <c r="A6" s="59">
        <v>4</v>
      </c>
      <c r="B6" s="74">
        <f>(getDistance(coord!C4,coord!D4,coord!$C$1,coord!$D$1)*1000)/$B$20</f>
        <v>6.3479240244314714E-2</v>
      </c>
      <c r="C6" s="74">
        <f>(getDistance(coord!C4,coord!D4,coord!$C$2,coord!$D$2)*1000)/$C$20</f>
        <v>7.5531829384877472E-2</v>
      </c>
      <c r="D6" s="74">
        <f>(getDistance(coord!$C4,coord!$D4,coord!$C$3,coord!$D$3)*1000)/$D$20</f>
        <v>8.800400841849014E-2</v>
      </c>
      <c r="E6" s="75">
        <f>(getDistance(coord!$C4,coord!$D4,coord!$C$4,coord!$D$4)*1000)/$E$20</f>
        <v>0</v>
      </c>
      <c r="F6" s="74">
        <f>(getDistance(coord!$C4,coord!$D4,coord!$C$5,coord!$D$5)*1000)/$F$20</f>
        <v>0.13532669589065421</v>
      </c>
      <c r="G6" s="74">
        <f>(getDistance(coord!$C4,coord!$D4,coord!$C$6,coord!$D$6)*1000)/$G$20</f>
        <v>0.11768627586774991</v>
      </c>
      <c r="H6" s="74">
        <f>(getDistance(coord!$C4,coord!$D4,coord!$C$7,coord!$D$7)*1000)/$H$20</f>
        <v>0.11144001891511569</v>
      </c>
      <c r="I6" s="74">
        <f>(getDistance(coord!$C4,coord!$D4,coord!$C$8,coord!$D$8)*1000)/$I$20</f>
        <v>0.13205624405448768</v>
      </c>
      <c r="J6" s="74">
        <f>(getDistance(coord!$C4,coord!$D4,coord!$C$9,coord!$D$9)*1000)/$J$20</f>
        <v>0.13633197020169702</v>
      </c>
      <c r="K6" s="74">
        <f>(getDistance(coord!$C4,coord!$D4,coord!$C$10,coord!$D$10)*1000)/$K$20</f>
        <v>0.12509114644578523</v>
      </c>
      <c r="L6" s="74">
        <f>(getDistance(coord!$C4,coord!$D4,coord!$C$11,coord!$D$11)*1000)/$L$20</f>
        <v>6.6478851750094006E-2</v>
      </c>
      <c r="M6" s="74">
        <f>(getDistance(coord!$C4,coord!$D4,coord!$C$12,coord!$D$12)*1000)/$M$20</f>
        <v>9.7873585979555255E-2</v>
      </c>
      <c r="N6" s="74">
        <f>(getDistance(coord!$C4,coord!$D4,coord!$C$13,coord!$D$13)*1000)/$N$20</f>
        <v>1.6348341587255268E-2</v>
      </c>
      <c r="O6" s="74">
        <f>(getDistance(coord!$C4,coord!$D4,coord!$C$14,coord!$D$14)*1000)/$O$20</f>
        <v>4.9557575034467172E-2</v>
      </c>
      <c r="P6" s="74">
        <f>(getDistance(coord!$C4,coord!$D4,coord!$C$15,coord!$D$15)*1000)/$P$20</f>
        <v>0.1294425679412515</v>
      </c>
      <c r="Q6" s="74">
        <f>(getDistance(coord!$C4,coord!$D4,coord!$C$16,coord!$D$16)*1000)/$Q$20</f>
        <v>0.11186301713772151</v>
      </c>
      <c r="R6" s="74">
        <f>(getDistance(coord!$C4,coord!$D4,coord!$C$17,coord!$D$17)*1000)/$R$20</f>
        <v>0.12383620205405937</v>
      </c>
      <c r="S6" s="58" t="s">
        <v>17</v>
      </c>
      <c r="T6" s="59">
        <v>11</v>
      </c>
      <c r="U6" s="61">
        <v>5.5172413793103448E-2</v>
      </c>
      <c r="V6" s="61">
        <v>5.8823529411764705E-2</v>
      </c>
      <c r="W6" s="61">
        <v>6.0606060606060608E-2</v>
      </c>
      <c r="X6" s="61">
        <v>2.8571428571428571E-2</v>
      </c>
      <c r="Y6" s="61">
        <v>7.0175438596491224E-2</v>
      </c>
      <c r="Z6" s="61">
        <v>3.9577836411609502E-2</v>
      </c>
      <c r="AA6" s="61">
        <v>6.5217391304347824E-2</v>
      </c>
      <c r="AB6" s="61">
        <v>3.6363636363636362E-2</v>
      </c>
      <c r="AC6" s="61">
        <v>3.2000000000000001E-2</v>
      </c>
      <c r="AD6" s="61">
        <v>6.3380281690140844E-2</v>
      </c>
      <c r="AE6" s="61">
        <v>4.8192771084337352E-2</v>
      </c>
      <c r="AF6" s="61">
        <v>4.7058823529411764E-2</v>
      </c>
      <c r="AG6" s="61">
        <v>6.1728395061728392E-2</v>
      </c>
      <c r="AH6" s="61">
        <v>7.8947368421052627E-2</v>
      </c>
      <c r="AI6" s="61">
        <v>8.1081081081081086E-2</v>
      </c>
      <c r="AJ6" s="61">
        <v>3.6585365853658534E-2</v>
      </c>
      <c r="AK6" s="62">
        <v>9.1743119266055051E-2</v>
      </c>
      <c r="AL6" s="82">
        <f t="shared" si="0"/>
        <v>5.6189702414465192E-2</v>
      </c>
    </row>
    <row r="7" spans="1:38" ht="15">
      <c r="A7" s="59">
        <v>5</v>
      </c>
      <c r="B7" s="74">
        <f>(getDistance(coord!C5,coord!D5,coord!$C$1,coord!$D$1)*1000)/$B$20</f>
        <v>7.4513747663746827E-2</v>
      </c>
      <c r="C7" s="74">
        <f>(getDistance(coord!C5,coord!D5,coord!$C$2,coord!$D$2)*1000)/$C$20</f>
        <v>7.1332223275925158E-2</v>
      </c>
      <c r="D7" s="74">
        <f>(getDistance(coord!$C5,coord!$D5,coord!$C$3,coord!$D$3)*1000)/$D$20</f>
        <v>6.4427840249098367E-2</v>
      </c>
      <c r="E7" s="74">
        <f>(getDistance(coord!$C5,coord!$D5,coord!$C$4,coord!$D$4)*1000)/$E$20</f>
        <v>7.2686753478064511E-2</v>
      </c>
      <c r="F7" s="75">
        <f>(getDistance(coord!$C5,coord!$D5,coord!$C$5,coord!$D$5)*1000)/$F$20</f>
        <v>0</v>
      </c>
      <c r="G7" s="74">
        <f>(getDistance(coord!$C5,coord!$D5,coord!$C$6,coord!$D$6)*1000)/$G$20</f>
        <v>2.0764064813478561E-2</v>
      </c>
      <c r="H7" s="74">
        <f>(getDistance(coord!$C5,coord!$D5,coord!$C$7,coord!$D$7)*1000)/$H$20</f>
        <v>3.1073475364880684E-2</v>
      </c>
      <c r="I7" s="74">
        <f>(getDistance(coord!$C5,coord!$D5,coord!$C$8,coord!$D$8)*1000)/$I$20</f>
        <v>6.6997057360049812E-3</v>
      </c>
      <c r="J7" s="74">
        <f>(getDistance(coord!$C5,coord!$D5,coord!$C$9,coord!$D$9)*1000)/$J$20</f>
        <v>1.3639234596297669E-2</v>
      </c>
      <c r="K7" s="74">
        <f>(getDistance(coord!$C5,coord!$D5,coord!$C$10,coord!$D$10)*1000)/$K$20</f>
        <v>1.7651267526811714E-2</v>
      </c>
      <c r="L7" s="74">
        <f>(getDistance(coord!$C5,coord!$D5,coord!$C$11,coord!$D$11)*1000)/$L$20</f>
        <v>5.3560851603546879E-2</v>
      </c>
      <c r="M7" s="74">
        <f>(getDistance(coord!$C5,coord!$D5,coord!$C$12,coord!$D$12)*1000)/$M$20</f>
        <v>3.9018607255554762E-2</v>
      </c>
      <c r="N7" s="74">
        <f>(getDistance(coord!$C5,coord!$D5,coord!$C$13,coord!$D$13)*1000)/$N$20</f>
        <v>7.5467560403881626E-2</v>
      </c>
      <c r="O7" s="74">
        <f>(getDistance(coord!$C5,coord!$D5,coord!$C$14,coord!$D$14)*1000)/$O$20</f>
        <v>7.6258866569330716E-2</v>
      </c>
      <c r="P7" s="74">
        <f>(getDistance(coord!$C5,coord!$D5,coord!$C$15,coord!$D$15)*1000)/$P$20</f>
        <v>3.7959046248182332E-2</v>
      </c>
      <c r="Q7" s="74">
        <f>(getDistance(coord!$C5,coord!$D5,coord!$C$16,coord!$D$16)*1000)/$Q$20</f>
        <v>5.0538031267408988E-2</v>
      </c>
      <c r="R7" s="74">
        <f>(getDistance(coord!$C5,coord!$D5,coord!$C$17,coord!$D$17)*1000)/$R$20</f>
        <v>4.4755301363570019E-2</v>
      </c>
      <c r="S7" s="58" t="s">
        <v>18</v>
      </c>
      <c r="T7" s="59">
        <v>12</v>
      </c>
      <c r="U7" s="61">
        <v>6.2068965517241378E-2</v>
      </c>
      <c r="V7" s="61">
        <v>5.8823529411764705E-2</v>
      </c>
      <c r="W7" s="61">
        <v>6.0606060606060608E-2</v>
      </c>
      <c r="X7" s="61">
        <v>4.7619047619047616E-2</v>
      </c>
      <c r="Y7" s="61">
        <v>7.0175438596491224E-2</v>
      </c>
      <c r="Z7" s="61">
        <v>6.3324538258575203E-2</v>
      </c>
      <c r="AA7" s="61">
        <v>6.5217391304347824E-2</v>
      </c>
      <c r="AB7" s="61">
        <v>5.4545454545454543E-2</v>
      </c>
      <c r="AC7" s="61">
        <v>0.04</v>
      </c>
      <c r="AD7" s="61">
        <v>6.3380281690140844E-2</v>
      </c>
      <c r="AE7" s="61">
        <v>6.0240963855421686E-2</v>
      </c>
      <c r="AF7" s="61">
        <v>5.8823529411764705E-2</v>
      </c>
      <c r="AG7" s="61">
        <v>8.6419753086419748E-2</v>
      </c>
      <c r="AH7" s="61">
        <v>9.2105263157894732E-2</v>
      </c>
      <c r="AI7" s="61">
        <v>8.1081081081081086E-2</v>
      </c>
      <c r="AJ7" s="61">
        <v>4.2682926829268296E-2</v>
      </c>
      <c r="AK7" s="62">
        <v>9.1743119266055051E-2</v>
      </c>
      <c r="AL7" s="82">
        <f t="shared" si="0"/>
        <v>6.4638667308060546E-2</v>
      </c>
    </row>
    <row r="8" spans="1:38" ht="15">
      <c r="A8" s="59">
        <v>6</v>
      </c>
      <c r="B8" s="74">
        <f>(getDistance(coord!C6,coord!D6,coord!$C$1,coord!$D$1)*1000)/$B$20</f>
        <v>7.5503956165217129E-2</v>
      </c>
      <c r="C8" s="74">
        <f>(getDistance(coord!C6,coord!D6,coord!$C$2,coord!$D$2)*1000)/$C$20</f>
        <v>7.416462936716553E-2</v>
      </c>
      <c r="D8" s="74">
        <f>(getDistance(coord!$C6,coord!$D6,coord!$C$3,coord!$D$3)*1000)/$D$20</f>
        <v>6.8222078018574397E-2</v>
      </c>
      <c r="E8" s="74">
        <f>(getDistance(coord!$C6,coord!$D6,coord!$C$4,coord!$D$4)*1000)/$E$20</f>
        <v>6.6452890858092556E-2</v>
      </c>
      <c r="F8" s="74">
        <f>(getDistance(coord!$C6,coord!$D6,coord!$C$5,coord!$D$5)*1000)/$F$20</f>
        <v>2.1828738636758608E-2</v>
      </c>
      <c r="G8" s="75">
        <f>(getDistance(coord!$C6,coord!$D6,coord!$C$6,coord!$D$6)*1000)/$G$20</f>
        <v>0</v>
      </c>
      <c r="H8" s="74">
        <f>(getDistance(coord!$C6,coord!$D6,coord!$C$7,coord!$D$7)*1000)/$H$20</f>
        <v>2.9162206687823905E-2</v>
      </c>
      <c r="I8" s="74">
        <f>(getDistance(coord!$C6,coord!$D6,coord!$C$8,coord!$D$8)*1000)/$I$20</f>
        <v>1.6717233691112079E-2</v>
      </c>
      <c r="J8" s="74">
        <f>(getDistance(coord!$C6,coord!$D6,coord!$C$9,coord!$D$9)*1000)/$J$20</f>
        <v>3.4169011585670317E-2</v>
      </c>
      <c r="K8" s="74">
        <f>(getDistance(coord!$C6,coord!$D6,coord!$C$10,coord!$D$10)*1000)/$K$20</f>
        <v>1.8268829617316084E-2</v>
      </c>
      <c r="L8" s="74">
        <f>(getDistance(coord!$C6,coord!$D6,coord!$C$11,coord!$D$11)*1000)/$L$20</f>
        <v>4.1130588610241409E-2</v>
      </c>
      <c r="M8" s="74">
        <f>(getDistance(coord!$C6,coord!$D6,coord!$C$12,coord!$D$12)*1000)/$M$20</f>
        <v>3.3737409043053328E-2</v>
      </c>
      <c r="N8" s="74">
        <f>(getDistance(coord!$C6,coord!$D6,coord!$C$13,coord!$D$13)*1000)/$N$20</f>
        <v>7.0816044670883788E-2</v>
      </c>
      <c r="O8" s="74">
        <f>(getDistance(coord!$C6,coord!$D6,coord!$C$14,coord!$D$14)*1000)/$O$20</f>
        <v>7.5641428358044008E-2</v>
      </c>
      <c r="P8" s="74">
        <f>(getDistance(coord!$C6,coord!$D6,coord!$C$15,coord!$D$15)*1000)/$P$20</f>
        <v>5.5210243961729924E-2</v>
      </c>
      <c r="Q8" s="74">
        <f>(getDistance(coord!$C6,coord!$D6,coord!$C$16,coord!$D$16)*1000)/$Q$20</f>
        <v>6.4157895195982612E-2</v>
      </c>
      <c r="R8" s="74">
        <f>(getDistance(coord!$C6,coord!$D6,coord!$C$17,coord!$D$17)*1000)/$R$20</f>
        <v>6.067538526253205E-2</v>
      </c>
      <c r="S8" s="58" t="s">
        <v>19</v>
      </c>
      <c r="T8" s="59">
        <v>13</v>
      </c>
      <c r="U8" s="63">
        <v>7.586206896551724E-2</v>
      </c>
      <c r="V8" s="63">
        <v>7.8431372549019607E-2</v>
      </c>
      <c r="W8" s="61">
        <v>6.0606060606060608E-2</v>
      </c>
      <c r="X8" s="61">
        <v>6.6666666666666666E-2</v>
      </c>
      <c r="Y8" s="61">
        <v>7.0175438596491224E-2</v>
      </c>
      <c r="Z8" s="61">
        <v>7.9155672823219003E-2</v>
      </c>
      <c r="AA8" s="61">
        <v>8.6956521739130432E-2</v>
      </c>
      <c r="AB8" s="61">
        <v>5.4545454545454543E-2</v>
      </c>
      <c r="AC8" s="61">
        <v>5.6000000000000001E-2</v>
      </c>
      <c r="AD8" s="61">
        <v>6.3380281690140844E-2</v>
      </c>
      <c r="AE8" s="61">
        <v>7.2289156626506021E-2</v>
      </c>
      <c r="AF8" s="61">
        <v>7.0588235294117646E-2</v>
      </c>
      <c r="AG8" s="61">
        <v>9.8765432098765427E-2</v>
      </c>
      <c r="AH8" s="61">
        <v>9.2105263157894732E-2</v>
      </c>
      <c r="AI8" s="61">
        <v>8.1081081081081086E-2</v>
      </c>
      <c r="AJ8" s="61">
        <v>5.4878048780487805E-2</v>
      </c>
      <c r="AK8" s="62">
        <v>9.1743119266055051E-2</v>
      </c>
      <c r="AL8" s="82">
        <f t="shared" si="0"/>
        <v>7.3719404381565184E-2</v>
      </c>
    </row>
    <row r="9" spans="1:38" ht="15">
      <c r="A9" s="59">
        <v>7</v>
      </c>
      <c r="B9" s="74">
        <f>(getDistance(coord!C7,coord!D7,coord!$C$1,coord!$D$1)*1000)/$B$20</f>
        <v>0.11024602044878865</v>
      </c>
      <c r="C9" s="74">
        <f>(getDistance(coord!C7,coord!D7,coord!$C$2,coord!$D$2)*1000)/$C$20</f>
        <v>0.11010461508476854</v>
      </c>
      <c r="D9" s="74">
        <f>(getDistance(coord!$C7,coord!$D7,coord!$C$3,coord!$D$3)*1000)/$D$20</f>
        <v>0.10692499951284801</v>
      </c>
      <c r="E9" s="74">
        <f>(getDistance(coord!$C7,coord!$D7,coord!$C$4,coord!$D$4)*1000)/$E$20</f>
        <v>8.8443511207543263E-2</v>
      </c>
      <c r="F9" s="74">
        <f>(getDistance(coord!$C7,coord!$D7,coord!$C$5,coord!$D$5)*1000)/$F$20</f>
        <v>4.5913757294255543E-2</v>
      </c>
      <c r="G9" s="74">
        <f>(getDistance(coord!$C7,coord!$D7,coord!$C$6,coord!$D$6)*1000)/$G$20</f>
        <v>4.0988037398308211E-2</v>
      </c>
      <c r="H9" s="75">
        <f>(getDistance(coord!$C7,coord!$D7,coord!$C$7,coord!$D$7)*1000)/$H$20</f>
        <v>0</v>
      </c>
      <c r="I9" s="74">
        <f>(getDistance(coord!$C7,coord!$D7,coord!$C$8,coord!$D$8)*1000)/$I$20</f>
        <v>3.8743657867997619E-2</v>
      </c>
      <c r="J9" s="74">
        <f>(getDistance(coord!$C7,coord!$D7,coord!$C$9,coord!$D$9)*1000)/$J$20</f>
        <v>4.9244496620776908E-2</v>
      </c>
      <c r="K9" s="74">
        <f>(getDistance(coord!$C7,coord!$D7,coord!$C$10,coord!$D$10)*1000)/$K$20</f>
        <v>5.9262873544274626E-2</v>
      </c>
      <c r="L9" s="74">
        <f>(getDistance(coord!$C7,coord!$D7,coord!$C$11,coord!$D$11)*1000)/$L$20</f>
        <v>7.6742677255341979E-2</v>
      </c>
      <c r="M9" s="74">
        <f>(getDistance(coord!$C7,coord!$D7,coord!$C$12,coord!$D$12)*1000)/$M$20</f>
        <v>1.4538514946681543E-2</v>
      </c>
      <c r="N9" s="74">
        <f>(getDistance(coord!$C7,coord!$D7,coord!$C$13,coord!$D$13)*1000)/$N$20</f>
        <v>9.6802630564305797E-2</v>
      </c>
      <c r="O9" s="74">
        <f>(getDistance(coord!$C7,coord!$D7,coord!$C$14,coord!$D$14)*1000)/$O$20</f>
        <v>0.10771118170244345</v>
      </c>
      <c r="P9" s="74">
        <f>(getDistance(coord!$C7,coord!$D7,coord!$C$15,coord!$D$15)*1000)/$P$20</f>
        <v>7.7887990092287598E-2</v>
      </c>
      <c r="Q9" s="74">
        <f>(getDistance(coord!$C7,coord!$D7,coord!$C$16,coord!$D$16)*1000)/$Q$20</f>
        <v>7.7230351239655826E-2</v>
      </c>
      <c r="R9" s="74">
        <f>(getDistance(coord!$C7,coord!$D7,coord!$C$17,coord!$D$17)*1000)/$R$20</f>
        <v>8.2165573782386259E-2</v>
      </c>
      <c r="S9" s="58" t="s">
        <v>20</v>
      </c>
      <c r="T9" s="59">
        <v>14</v>
      </c>
      <c r="U9" s="63">
        <v>7.586206896551724E-2</v>
      </c>
      <c r="V9" s="63">
        <v>7.8431372549019607E-2</v>
      </c>
      <c r="W9" s="61">
        <v>6.0606060606060608E-2</v>
      </c>
      <c r="X9" s="61">
        <v>8.5714285714285715E-2</v>
      </c>
      <c r="Y9" s="61">
        <v>7.0175438596491224E-2</v>
      </c>
      <c r="Z9" s="61">
        <v>7.9155672823219003E-2</v>
      </c>
      <c r="AA9" s="61">
        <v>8.6956521739130432E-2</v>
      </c>
      <c r="AB9" s="61">
        <v>7.2727272727272724E-2</v>
      </c>
      <c r="AC9" s="61">
        <v>7.1999999999999995E-2</v>
      </c>
      <c r="AD9" s="61">
        <v>6.3380281690140844E-2</v>
      </c>
      <c r="AE9" s="61">
        <v>8.4337349397590355E-2</v>
      </c>
      <c r="AF9" s="61">
        <v>8.2352941176470587E-2</v>
      </c>
      <c r="AG9" s="61">
        <v>9.8765432098765427E-2</v>
      </c>
      <c r="AH9" s="61">
        <v>9.2105263157894732E-2</v>
      </c>
      <c r="AI9" s="61">
        <v>8.1081081081081086E-2</v>
      </c>
      <c r="AJ9" s="61">
        <v>6.7073170731707321E-2</v>
      </c>
      <c r="AK9" s="62">
        <v>8.2568807339449546E-2</v>
      </c>
      <c r="AL9" s="82">
        <f t="shared" si="0"/>
        <v>7.8429001199652737E-2</v>
      </c>
    </row>
    <row r="10" spans="1:38" ht="15">
      <c r="A10" s="59">
        <v>8</v>
      </c>
      <c r="B10" s="74">
        <f>(getDistance(coord!C8,coord!D8,coord!$C$1,coord!$D$1)*1000)/$B$20</f>
        <v>7.8116539205215205E-2</v>
      </c>
      <c r="C10" s="74">
        <f>(getDistance(coord!C8,coord!D8,coord!$C$2,coord!$D$2)*1000)/$C$20</f>
        <v>7.5528201747367199E-2</v>
      </c>
      <c r="D10" s="74">
        <f>(getDistance(coord!$C8,coord!$D8,coord!$C$3,coord!$D$3)*1000)/$D$20</f>
        <v>6.9070986320844893E-2</v>
      </c>
      <c r="E10" s="74">
        <f>(getDistance(coord!$C8,coord!$D8,coord!$C$4,coord!$D$4)*1000)/$E$20</f>
        <v>7.3097961577115442E-2</v>
      </c>
      <c r="F10" s="74">
        <f>(getDistance(coord!$C8,coord!$D8,coord!$C$5,coord!$D$5)*1000)/$F$20</f>
        <v>6.9044686187920493E-3</v>
      </c>
      <c r="G10" s="74">
        <f>(getDistance(coord!$C8,coord!$D8,coord!$C$6,coord!$D$6)*1000)/$G$20</f>
        <v>1.6387876424078383E-2</v>
      </c>
      <c r="H10" s="74">
        <f>(getDistance(coord!$C8,coord!$D8,coord!$C$7,coord!$D$7)*1000)/$H$20</f>
        <v>2.7022289830822523E-2</v>
      </c>
      <c r="I10" s="75">
        <f>(getDistance(coord!$C8,coord!$D8,coord!$C$8,coord!$D$8)*1000)/$I$20</f>
        <v>0</v>
      </c>
      <c r="J10" s="74">
        <f>(getDistance(coord!$C8,coord!$D8,coord!$C$9,coord!$D$9)*1000)/$J$20</f>
        <v>1.8865925894248264E-2</v>
      </c>
      <c r="K10" s="74">
        <f>(getDistance(coord!$C8,coord!$D8,coord!$C$10,coord!$D$10)*1000)/$K$20</f>
        <v>1.9370649843554015E-2</v>
      </c>
      <c r="L10" s="74">
        <f>(getDistance(coord!$C8,coord!$D8,coord!$C$11,coord!$D$11)*1000)/$L$20</f>
        <v>5.3047541420967771E-2</v>
      </c>
      <c r="M10" s="74">
        <f>(getDistance(coord!$C8,coord!$D8,coord!$C$12,coord!$D$12)*1000)/$M$20</f>
        <v>3.5229351517956919E-2</v>
      </c>
      <c r="N10" s="74">
        <f>(getDistance(coord!$C8,coord!$D8,coord!$C$13,coord!$D$13)*1000)/$N$20</f>
        <v>7.6712397791357037E-2</v>
      </c>
      <c r="O10" s="74">
        <f>(getDistance(coord!$C8,coord!$D8,coord!$C$14,coord!$D$14)*1000)/$O$20</f>
        <v>7.9191169760593288E-2</v>
      </c>
      <c r="P10" s="74">
        <f>(getDistance(coord!$C8,coord!$D8,coord!$C$15,coord!$D$15)*1000)/$P$20</f>
        <v>4.4365082357417922E-2</v>
      </c>
      <c r="Q10" s="74">
        <f>(getDistance(coord!$C8,coord!$D8,coord!$C$16,coord!$D$16)*1000)/$Q$20</f>
        <v>5.516766485577608E-2</v>
      </c>
      <c r="R10" s="74">
        <f>(getDistance(coord!$C8,coord!$D8,coord!$C$17,coord!$D$17)*1000)/$R$20</f>
        <v>5.0786616553483946E-2</v>
      </c>
      <c r="S10" s="58" t="s">
        <v>21</v>
      </c>
      <c r="T10" s="59">
        <v>15</v>
      </c>
      <c r="U10" s="63">
        <v>8.2758620689655171E-2</v>
      </c>
      <c r="V10" s="63">
        <v>9.8039215686274508E-2</v>
      </c>
      <c r="W10" s="61">
        <v>6.0606060606060608E-2</v>
      </c>
      <c r="X10" s="61">
        <v>0.11428571428571428</v>
      </c>
      <c r="Y10" s="61">
        <v>7.0175438596491224E-2</v>
      </c>
      <c r="Z10" s="61">
        <v>7.9155672823219003E-2</v>
      </c>
      <c r="AA10" s="61">
        <v>8.6956521739130432E-2</v>
      </c>
      <c r="AB10" s="61">
        <v>7.2727272727272724E-2</v>
      </c>
      <c r="AC10" s="61">
        <v>9.6000000000000002E-2</v>
      </c>
      <c r="AD10" s="61">
        <v>6.3380281690140844E-2</v>
      </c>
      <c r="AE10" s="61">
        <v>9.6385542168674704E-2</v>
      </c>
      <c r="AF10" s="61">
        <v>9.4117647058823528E-2</v>
      </c>
      <c r="AG10" s="61">
        <v>9.8765432098765427E-2</v>
      </c>
      <c r="AH10" s="61">
        <v>9.2105263157894732E-2</v>
      </c>
      <c r="AI10" s="61">
        <v>8.1081081081081086E-2</v>
      </c>
      <c r="AJ10" s="61">
        <v>7.926829268292683E-2</v>
      </c>
      <c r="AK10" s="62">
        <v>8.2568807339449546E-2</v>
      </c>
      <c r="AL10" s="82">
        <f t="shared" si="0"/>
        <v>8.519863908421027E-2</v>
      </c>
    </row>
    <row r="11" spans="1:38" ht="15">
      <c r="A11" s="59">
        <v>9</v>
      </c>
      <c r="B11" s="74">
        <f>(getDistance(coord!C9,coord!D9,coord!$C$1,coord!$D$1)*1000)/$B$20</f>
        <v>7.6853360723040068E-2</v>
      </c>
      <c r="C11" s="74">
        <f>(getDistance(coord!C9,coord!D9,coord!$C$2,coord!$D$2)*1000)/$C$20</f>
        <v>7.2892421099228111E-2</v>
      </c>
      <c r="D11" s="74">
        <f>(getDistance(coord!$C9,coord!$D9,coord!$C$3,coord!$D$3)*1000)/$D$20</f>
        <v>6.6269419242501834E-2</v>
      </c>
      <c r="E11" s="74">
        <f>(getDistance(coord!$C9,coord!$D9,coord!$C$4,coord!$D$4)*1000)/$E$20</f>
        <v>7.7821029734533517E-2</v>
      </c>
      <c r="F11" s="74">
        <f>(getDistance(coord!$C9,coord!$D9,coord!$C$5,coord!$D$5)*1000)/$F$20</f>
        <v>1.4494974915072205E-2</v>
      </c>
      <c r="G11" s="74">
        <f>(getDistance(coord!$C9,coord!$D9,coord!$C$6,coord!$D$6)*1000)/$G$20</f>
        <v>3.4541692980885677E-2</v>
      </c>
      <c r="H11" s="74">
        <f>(getDistance(coord!$C9,coord!$D9,coord!$C$7,coord!$D$7)*1000)/$H$20</f>
        <v>3.5418663225925767E-2</v>
      </c>
      <c r="I11" s="74">
        <f>(getDistance(coord!$C9,coord!$D9,coord!$C$8,coord!$D$8)*1000)/$I$20</f>
        <v>1.9454992196515256E-2</v>
      </c>
      <c r="J11" s="75">
        <f>(getDistance(coord!$C9,coord!$D9,coord!$C$9,coord!$D$9)*1000)/$J$20</f>
        <v>0</v>
      </c>
      <c r="K11" s="74">
        <f>(getDistance(coord!$C9,coord!$D9,coord!$C$10,coord!$D$10)*1000)/$K$20</f>
        <v>3.0051966035264915E-2</v>
      </c>
      <c r="L11" s="74">
        <f>(getDistance(coord!$C9,coord!$D9,coord!$C$11,coord!$D$11)*1000)/$L$20</f>
        <v>6.3956981472842303E-2</v>
      </c>
      <c r="M11" s="74">
        <f>(getDistance(coord!$C9,coord!$D9,coord!$C$12,coord!$D$12)*1000)/$M$20</f>
        <v>4.3841191653188123E-2</v>
      </c>
      <c r="N11" s="74">
        <f>(getDistance(coord!$C9,coord!$D9,coord!$C$13,coord!$D$13)*1000)/$N$20</f>
        <v>8.0008565439865093E-2</v>
      </c>
      <c r="O11" s="74">
        <f>(getDistance(coord!$C9,coord!$D9,coord!$C$14,coord!$D$14)*1000)/$O$20</f>
        <v>7.9114399096281499E-2</v>
      </c>
      <c r="P11" s="74">
        <f>(getDistance(coord!$C9,coord!$D9,coord!$C$15,coord!$D$15)*1000)/$P$20</f>
        <v>2.9333697451410307E-2</v>
      </c>
      <c r="Q11" s="74">
        <f>(getDistance(coord!$C9,coord!$D9,coord!$C$16,coord!$D$16)*1000)/$Q$20</f>
        <v>4.2305951765213359E-2</v>
      </c>
      <c r="R11" s="74">
        <f>(getDistance(coord!$C9,coord!$D9,coord!$C$17,coord!$D$17)*1000)/$R$20</f>
        <v>3.6437900182833403E-2</v>
      </c>
      <c r="S11" s="58" t="s">
        <v>22</v>
      </c>
      <c r="T11" s="59">
        <v>16</v>
      </c>
      <c r="U11" s="63">
        <v>8.2758620689655171E-2</v>
      </c>
      <c r="V11" s="63">
        <v>9.8039215686274508E-2</v>
      </c>
      <c r="W11" s="61">
        <v>6.0606060606060608E-2</v>
      </c>
      <c r="X11" s="61">
        <v>0.11428571428571428</v>
      </c>
      <c r="Y11" s="61">
        <v>7.0175438596491224E-2</v>
      </c>
      <c r="Z11" s="61">
        <v>7.9155672823219003E-2</v>
      </c>
      <c r="AA11" s="61">
        <v>8.6956521739130432E-2</v>
      </c>
      <c r="AB11" s="61">
        <v>7.2727272727272724E-2</v>
      </c>
      <c r="AC11" s="61">
        <v>9.6000000000000002E-2</v>
      </c>
      <c r="AD11" s="61">
        <v>6.3380281690140844E-2</v>
      </c>
      <c r="AE11" s="61">
        <v>9.6385542168674704E-2</v>
      </c>
      <c r="AF11" s="61">
        <v>9.4117647058823528E-2</v>
      </c>
      <c r="AG11" s="61">
        <v>9.8765432098765427E-2</v>
      </c>
      <c r="AH11" s="61">
        <v>9.2105263157894732E-2</v>
      </c>
      <c r="AI11" s="61">
        <v>8.1081081081081086E-2</v>
      </c>
      <c r="AJ11" s="61">
        <v>9.1463414634146339E-2</v>
      </c>
      <c r="AK11" s="62">
        <v>7.3394495412844041E-2</v>
      </c>
      <c r="AL11" s="82">
        <f t="shared" si="0"/>
        <v>8.5376333791540512E-2</v>
      </c>
    </row>
    <row r="12" spans="1:38" ht="15">
      <c r="A12" s="59">
        <v>10</v>
      </c>
      <c r="B12" s="74">
        <f>(getDistance(coord!C10,coord!D10,coord!$C$1,coord!$D$1)*1000)/$B$20</f>
        <v>6.3600540027924646E-2</v>
      </c>
      <c r="C12" s="74">
        <f>(getDistance(coord!C10,coord!D10,coord!$C$2,coord!$D$2)*1000)/$C$20</f>
        <v>6.0709928608488055E-2</v>
      </c>
      <c r="D12" s="74">
        <f>(getDistance(coord!$C10,coord!$D10,coord!$C$3,coord!$D$3)*1000)/$D$20</f>
        <v>5.3140429031264647E-2</v>
      </c>
      <c r="E12" s="74">
        <f>(getDistance(coord!$C10,coord!$D10,coord!$C$4,coord!$D$4)*1000)/$E$20</f>
        <v>6.3707311184292334E-2</v>
      </c>
      <c r="F12" s="74">
        <f>(getDistance(coord!$C10,coord!$D10,coord!$C$5,coord!$D$5)*1000)/$F$20</f>
        <v>1.6736583430925735E-2</v>
      </c>
      <c r="G12" s="74">
        <f>(getDistance(coord!$C10,coord!$D10,coord!$C$6,coord!$D$6)*1000)/$G$20</f>
        <v>1.6477274234803704E-2</v>
      </c>
      <c r="H12" s="74">
        <f>(getDistance(coord!$C10,coord!$D10,coord!$C$7,coord!$D$7)*1000)/$H$20</f>
        <v>3.8029499528976364E-2</v>
      </c>
      <c r="I12" s="74">
        <f>(getDistance(coord!$C10,coord!$D10,coord!$C$8,coord!$D$8)*1000)/$I$20</f>
        <v>1.7822169433337764E-2</v>
      </c>
      <c r="J12" s="74">
        <f>(getDistance(coord!$C10,coord!$D10,coord!$C$9,coord!$D$9)*1000)/$J$20</f>
        <v>2.6812439532441078E-2</v>
      </c>
      <c r="K12" s="75">
        <f>(getDistance(coord!$C10,coord!$D10,coord!$C$10,coord!$D$10)*1000)/$K$20</f>
        <v>0</v>
      </c>
      <c r="L12" s="74">
        <f>(getDistance(coord!$C10,coord!$D10,coord!$C$11,coord!$D$11)*1000)/$L$20</f>
        <v>3.9354063672278637E-2</v>
      </c>
      <c r="M12" s="74">
        <f>(getDistance(coord!$C10,coord!$D10,coord!$C$12,coord!$D$12)*1000)/$M$20</f>
        <v>4.2894568213011769E-2</v>
      </c>
      <c r="N12" s="74">
        <f>(getDistance(coord!$C10,coord!$D10,coord!$C$13,coord!$D$13)*1000)/$N$20</f>
        <v>6.5606399204571786E-2</v>
      </c>
      <c r="O12" s="74">
        <f>(getDistance(coord!$C10,coord!$D10,coord!$C$14,coord!$D$14)*1000)/$O$20</f>
        <v>6.5676574494798801E-2</v>
      </c>
      <c r="P12" s="74">
        <f>(getDistance(coord!$C10,coord!$D10,coord!$C$15,coord!$D$15)*1000)/$P$20</f>
        <v>4.0948212204785242E-2</v>
      </c>
      <c r="Q12" s="74">
        <f>(getDistance(coord!$C10,coord!$D10,coord!$C$16,coord!$D$16)*1000)/$Q$20</f>
        <v>5.3859370950850576E-2</v>
      </c>
      <c r="R12" s="74">
        <f>(getDistance(coord!$C10,coord!$D10,coord!$C$17,coord!$D$17)*1000)/$R$20</f>
        <v>4.684761894464741E-2</v>
      </c>
      <c r="S12" s="58" t="s">
        <v>23</v>
      </c>
      <c r="T12" s="59">
        <v>17</v>
      </c>
      <c r="U12" s="63">
        <v>8.2758620689655171E-2</v>
      </c>
      <c r="V12" s="63">
        <v>9.8039215686274508E-2</v>
      </c>
      <c r="W12" s="61">
        <v>6.0606060606060608E-2</v>
      </c>
      <c r="X12" s="61">
        <v>0.11428571428571428</v>
      </c>
      <c r="Y12" s="61">
        <v>7.0175438596491224E-2</v>
      </c>
      <c r="Z12" s="61">
        <v>7.9155672823219003E-2</v>
      </c>
      <c r="AA12" s="61">
        <v>8.6956521739130432E-2</v>
      </c>
      <c r="AB12" s="61">
        <v>7.2727272727272724E-2</v>
      </c>
      <c r="AC12" s="61">
        <v>9.6000000000000002E-2</v>
      </c>
      <c r="AD12" s="61">
        <v>5.6338028169014086E-2</v>
      </c>
      <c r="AE12" s="61">
        <v>9.6385542168674704E-2</v>
      </c>
      <c r="AF12" s="61">
        <v>9.4117647058823528E-2</v>
      </c>
      <c r="AG12" s="61">
        <v>8.6419753086419748E-2</v>
      </c>
      <c r="AH12" s="61">
        <v>7.8947368421052627E-2</v>
      </c>
      <c r="AI12" s="61">
        <v>8.1081081081081086E-2</v>
      </c>
      <c r="AJ12" s="61">
        <v>9.7560975609756101E-2</v>
      </c>
      <c r="AK12" s="62">
        <v>7.3394495412844041E-2</v>
      </c>
      <c r="AL12" s="82">
        <f t="shared" si="0"/>
        <v>8.3820553421263766E-2</v>
      </c>
    </row>
    <row r="13" spans="1:38" ht="15">
      <c r="A13" s="59">
        <v>11</v>
      </c>
      <c r="B13" s="74">
        <f>(getDistance(coord!C11,coord!D11,coord!$C$1,coord!$D$1)*1000)/$B$20</f>
        <v>5.3003930552678102E-2</v>
      </c>
      <c r="C13" s="74">
        <f>(getDistance(coord!C11,coord!D11,coord!$C$2,coord!$D$2)*1000)/$C$20</f>
        <v>5.5340149093294128E-2</v>
      </c>
      <c r="D13" s="74">
        <f>(getDistance(coord!$C11,coord!$D11,coord!$C$3,coord!$D$3)*1000)/$D$20</f>
        <v>5.2960760993775863E-2</v>
      </c>
      <c r="E13" s="74">
        <f>(getDistance(coord!$C11,coord!$D11,coord!$C$4,coord!$D$4)*1000)/$E$20</f>
        <v>4.1105496003302211E-2</v>
      </c>
      <c r="F13" s="74">
        <f>(getDistance(coord!$C11,coord!$D11,coord!$C$5,coord!$D$5)*1000)/$F$20</f>
        <v>6.1658373422498379E-2</v>
      </c>
      <c r="G13" s="74">
        <f>(getDistance(coord!$C11,coord!$D11,coord!$C$6,coord!$D$6)*1000)/$G$20</f>
        <v>4.5039467747617051E-2</v>
      </c>
      <c r="H13" s="74">
        <f>(getDistance(coord!$C11,coord!$D11,coord!$C$7,coord!$D$7)*1000)/$H$20</f>
        <v>5.9789996895561061E-2</v>
      </c>
      <c r="I13" s="74">
        <f>(getDistance(coord!$C11,coord!$D11,coord!$C$8,coord!$D$8)*1000)/$I$20</f>
        <v>5.9256407557506004E-2</v>
      </c>
      <c r="J13" s="74">
        <f>(getDistance(coord!$C11,coord!$D11,coord!$C$9,coord!$D$9)*1000)/$J$20</f>
        <v>6.9279553469114658E-2</v>
      </c>
      <c r="K13" s="74">
        <f>(getDistance(coord!$C11,coord!$D11,coord!$C$10,coord!$D$10)*1000)/$K$20</f>
        <v>4.7779683050346779E-2</v>
      </c>
      <c r="L13" s="75">
        <f>(getDistance(coord!$C11,coord!$D11,coord!$C$11,coord!$D$11)*1000)/$L$20</f>
        <v>0</v>
      </c>
      <c r="M13" s="74">
        <f>(getDistance(coord!$C11,coord!$D11,coord!$C$12,coord!$D$12)*1000)/$M$20</f>
        <v>5.572497415185388E-2</v>
      </c>
      <c r="N13" s="74">
        <f>(getDistance(coord!$C11,coord!$D11,coord!$C$13,coord!$D$13)*1000)/$N$20</f>
        <v>4.3871153743780165E-2</v>
      </c>
      <c r="O13" s="74">
        <f>(getDistance(coord!$C11,coord!$D11,coord!$C$14,coord!$D$14)*1000)/$O$20</f>
        <v>5.1083997047246268E-2</v>
      </c>
      <c r="P13" s="74">
        <f>(getDistance(coord!$C11,coord!$D11,coord!$C$15,coord!$D$15)*1000)/$P$20</f>
        <v>7.4081405748092202E-2</v>
      </c>
      <c r="Q13" s="74">
        <f>(getDistance(coord!$C11,coord!$D11,coord!$C$16,coord!$D$16)*1000)/$Q$20</f>
        <v>7.6744460092839653E-2</v>
      </c>
      <c r="R13" s="74">
        <f>(getDistance(coord!$C11,coord!$D11,coord!$C$17,coord!$D$17)*1000)/$R$20</f>
        <v>7.5515635864192812E-2</v>
      </c>
      <c r="S13" s="58" t="s">
        <v>24</v>
      </c>
      <c r="T13" s="59">
        <v>18</v>
      </c>
      <c r="U13" s="63">
        <v>8.2758620689655171E-2</v>
      </c>
      <c r="V13" s="63">
        <v>9.8039215686274508E-2</v>
      </c>
      <c r="W13" s="61">
        <v>6.0606060606060608E-2</v>
      </c>
      <c r="X13" s="61">
        <v>0.11428571428571428</v>
      </c>
      <c r="Y13" s="61">
        <v>7.0175438596491224E-2</v>
      </c>
      <c r="Z13" s="61">
        <v>7.9155672823219003E-2</v>
      </c>
      <c r="AA13" s="61">
        <v>6.5217391304347824E-2</v>
      </c>
      <c r="AB13" s="61">
        <v>7.2727272727272724E-2</v>
      </c>
      <c r="AC13" s="61">
        <v>9.6000000000000002E-2</v>
      </c>
      <c r="AD13" s="61">
        <v>5.6338028169014086E-2</v>
      </c>
      <c r="AE13" s="61">
        <v>8.4337349397590355E-2</v>
      </c>
      <c r="AF13" s="61">
        <v>9.4117647058823528E-2</v>
      </c>
      <c r="AG13" s="61">
        <v>7.407407407407407E-2</v>
      </c>
      <c r="AH13" s="61">
        <v>6.5789473684210523E-2</v>
      </c>
      <c r="AI13" s="61">
        <v>6.7567567567567571E-2</v>
      </c>
      <c r="AJ13" s="61">
        <v>9.7560975609756101E-2</v>
      </c>
      <c r="AK13" s="62">
        <v>6.4220183486238536E-2</v>
      </c>
      <c r="AL13" s="82">
        <f t="shared" si="0"/>
        <v>7.8998275633312381E-2</v>
      </c>
    </row>
    <row r="14" spans="1:38" ht="15">
      <c r="A14" s="59">
        <v>12</v>
      </c>
      <c r="B14" s="74">
        <f>(getDistance(coord!C12,coord!D12,coord!$C$1,coord!$D$1)*1000)/$B$20</f>
        <v>0.12442312897060948</v>
      </c>
      <c r="C14" s="74">
        <f>(getDistance(coord!C12,coord!D12,coord!$C$2,coord!$D$2)*1000)/$C$20</f>
        <v>0.12613552986261042</v>
      </c>
      <c r="D14" s="74">
        <f>(getDistance(coord!$C12,coord!$D12,coord!$C$3,coord!$D$3)*1000)/$D$20</f>
        <v>0.12486504824989027</v>
      </c>
      <c r="E14" s="74">
        <f>(getDistance(coord!$C12,coord!$D12,coord!$C$4,coord!$D$4)*1000)/$E$20</f>
        <v>9.2033808712977699E-2</v>
      </c>
      <c r="F14" s="74">
        <f>(getDistance(coord!$C12,coord!$D12,coord!$C$5,coord!$D$5)*1000)/$F$20</f>
        <v>6.8309619236441591E-2</v>
      </c>
      <c r="G14" s="74">
        <f>(getDistance(coord!$C12,coord!$D12,coord!$C$6,coord!$D$6)*1000)/$G$20</f>
        <v>5.6183082430647978E-2</v>
      </c>
      <c r="H14" s="74">
        <f>(getDistance(coord!$C12,coord!$D12,coord!$C$7,coord!$D$7)*1000)/$H$20</f>
        <v>1.722571046413977E-2</v>
      </c>
      <c r="I14" s="74">
        <f>(getDistance(coord!$C12,coord!$D12,coord!$C$8,coord!$D$8)*1000)/$I$20</f>
        <v>5.9846701388051766E-2</v>
      </c>
      <c r="J14" s="74">
        <f>(getDistance(coord!$C12,coord!$D12,coord!$C$9,coord!$D$9)*1000)/$J$20</f>
        <v>7.2221246955502236E-2</v>
      </c>
      <c r="K14" s="74">
        <f>(getDistance(coord!$C12,coord!$D12,coord!$C$10,coord!$D$10)*1000)/$K$20</f>
        <v>7.919932715662388E-2</v>
      </c>
      <c r="L14" s="74">
        <f>(getDistance(coord!$C12,coord!$D12,coord!$C$11,coord!$D$11)*1000)/$L$20</f>
        <v>8.4745254194830075E-2</v>
      </c>
      <c r="M14" s="75">
        <f>(getDistance(coord!$C12,coord!$D12,coord!$C$12,coord!$D$12)*1000)/$M$20</f>
        <v>0</v>
      </c>
      <c r="N14" s="74">
        <f>(getDistance(coord!$C12,coord!$D12,coord!$C$13,coord!$D$13)*1000)/$N$20</f>
        <v>0.10320279985749732</v>
      </c>
      <c r="O14" s="74">
        <f>(getDistance(coord!$C12,coord!$D12,coord!$C$14,coord!$D$14)*1000)/$O$20</f>
        <v>0.11958450576045555</v>
      </c>
      <c r="P14" s="74">
        <f>(getDistance(coord!$C12,coord!$D12,coord!$C$15,coord!$D$15)*1000)/$P$20</f>
        <v>0.10028480156895668</v>
      </c>
      <c r="Q14" s="74">
        <f>(getDistance(coord!$C12,coord!$D12,coord!$C$16,coord!$D$16)*1000)/$Q$20</f>
        <v>9.4494373602843837E-2</v>
      </c>
      <c r="R14" s="74">
        <f>(getDistance(coord!$C12,coord!$D12,coord!$C$17,coord!$D$17)*1000)/$R$20</f>
        <v>0.10336144240353058</v>
      </c>
      <c r="S14" s="58" t="s">
        <v>25</v>
      </c>
      <c r="T14" s="59">
        <v>19</v>
      </c>
      <c r="U14" s="63">
        <v>8.2758620689655171E-2</v>
      </c>
      <c r="V14" s="63">
        <v>9.8039215686274508E-2</v>
      </c>
      <c r="W14" s="61">
        <v>6.0606060606060608E-2</v>
      </c>
      <c r="X14" s="61">
        <v>9.5238095238095233E-2</v>
      </c>
      <c r="Y14" s="61">
        <v>7.0175438596491224E-2</v>
      </c>
      <c r="Z14" s="61">
        <v>7.9155672823219003E-2</v>
      </c>
      <c r="AA14" s="61">
        <v>6.5217391304347824E-2</v>
      </c>
      <c r="AB14" s="61">
        <v>7.2727272727272724E-2</v>
      </c>
      <c r="AC14" s="61">
        <v>9.6000000000000002E-2</v>
      </c>
      <c r="AD14" s="61">
        <v>6.3380281690140844E-2</v>
      </c>
      <c r="AE14" s="61">
        <v>7.2289156626506021E-2</v>
      </c>
      <c r="AF14" s="61">
        <v>8.2352941176470587E-2</v>
      </c>
      <c r="AG14" s="61">
        <v>6.1728395061728392E-2</v>
      </c>
      <c r="AH14" s="61">
        <v>5.2631578947368418E-2</v>
      </c>
      <c r="AI14" s="61">
        <v>5.4054054054054057E-2</v>
      </c>
      <c r="AJ14" s="61">
        <v>8.5365853658536592E-2</v>
      </c>
      <c r="AK14" s="62">
        <v>5.5045871559633031E-2</v>
      </c>
      <c r="AL14" s="82">
        <f t="shared" si="0"/>
        <v>7.3339170614462018E-2</v>
      </c>
    </row>
    <row r="15" spans="1:38" ht="15">
      <c r="A15" s="59">
        <v>13</v>
      </c>
      <c r="B15" s="74">
        <f>(getDistance(coord!C13,coord!D13,coord!$C$1,coord!$D$1)*1000)/$B$20</f>
        <v>4.3406939779412235E-2</v>
      </c>
      <c r="C15" s="74">
        <f>(getDistance(coord!C13,coord!D13,coord!$C$2,coord!$D$2)*1000)/$C$20</f>
        <v>5.5092401920754E-2</v>
      </c>
      <c r="D15" s="74">
        <f>(getDistance(coord!$C13,coord!$D13,coord!$C$3,coord!$D$3)*1000)/$D$20</f>
        <v>6.8007338920972327E-2</v>
      </c>
      <c r="E15" s="74">
        <f>(getDistance(coord!$C13,coord!$D13,coord!$C$4,coord!$D$4)*1000)/$E$20</f>
        <v>1.4438397823923838E-2</v>
      </c>
      <c r="F15" s="74">
        <f>(getDistance(coord!$C13,coord!$D13,coord!$C$5,coord!$D$5)*1000)/$F$20</f>
        <v>0.1240891523847116</v>
      </c>
      <c r="G15" s="74">
        <f>(getDistance(coord!$C13,coord!$D13,coord!$C$6,coord!$D$6)*1000)/$G$20</f>
        <v>0.11076152027668346</v>
      </c>
      <c r="H15" s="74">
        <f>(getDistance(coord!$C13,coord!$D13,coord!$C$7,coord!$D$7)*1000)/$H$20</f>
        <v>0.10772280686510681</v>
      </c>
      <c r="I15" s="74">
        <f>(getDistance(coord!$C13,coord!$D13,coord!$C$8,coord!$D$8)*1000)/$I$20</f>
        <v>0.12239524124525568</v>
      </c>
      <c r="J15" s="74">
        <f>(getDistance(coord!$C13,coord!$D13,coord!$C$9,coord!$D$9)*1000)/$J$20</f>
        <v>0.12378913316752277</v>
      </c>
      <c r="K15" s="74">
        <f>(getDistance(coord!$C13,coord!$D13,coord!$C$10,coord!$D$10)*1000)/$K$20</f>
        <v>0.11377027287175775</v>
      </c>
      <c r="L15" s="74">
        <f>(getDistance(coord!$C13,coord!$D13,coord!$C$11,coord!$D$11)*1000)/$L$20</f>
        <v>6.2662536812475564E-2</v>
      </c>
      <c r="M15" s="74">
        <f>(getDistance(coord!$C13,coord!$D13,coord!$C$12,coord!$D$12)*1000)/$M$20</f>
        <v>9.6929257430178856E-2</v>
      </c>
      <c r="N15" s="75">
        <f>(getDistance(coord!$C13,coord!$D13,coord!$C$13,coord!$D$13)*1000)/$N$20</f>
        <v>0</v>
      </c>
      <c r="O15" s="74">
        <f>(getDistance(coord!$C13,coord!$D13,coord!$C$14,coord!$D$14)*1000)/$O$20</f>
        <v>3.0320827121779963E-2</v>
      </c>
      <c r="P15" s="74">
        <f>(getDistance(coord!$C13,coord!$D13,coord!$C$15,coord!$D$15)*1000)/$P$20</f>
        <v>0.11247572642383664</v>
      </c>
      <c r="Q15" s="74">
        <f>(getDistance(coord!$C13,coord!$D13,coord!$C$16,coord!$D$16)*1000)/$Q$20</f>
        <v>9.6992800532127305E-2</v>
      </c>
      <c r="R15" s="74">
        <f>(getDistance(coord!$C13,coord!$D13,coord!$C$17,coord!$D$17)*1000)/$R$20</f>
        <v>0.10656888739771539</v>
      </c>
      <c r="S15" s="58" t="s">
        <v>26</v>
      </c>
      <c r="T15" s="59">
        <v>20</v>
      </c>
      <c r="U15" s="63">
        <v>6.2068965517241378E-2</v>
      </c>
      <c r="V15" s="63">
        <v>5.8823529411764705E-2</v>
      </c>
      <c r="W15" s="61">
        <v>6.0606060606060608E-2</v>
      </c>
      <c r="X15" s="61">
        <v>6.6666666666666666E-2</v>
      </c>
      <c r="Y15" s="61">
        <v>6.1403508771929821E-2</v>
      </c>
      <c r="Z15" s="61">
        <v>7.9155672823219003E-2</v>
      </c>
      <c r="AA15" s="61">
        <v>4.3478260869565216E-2</v>
      </c>
      <c r="AB15" s="61">
        <v>0.16363636363636364</v>
      </c>
      <c r="AC15" s="61">
        <v>7.1999999999999995E-2</v>
      </c>
      <c r="AD15" s="61">
        <v>6.3380281690140844E-2</v>
      </c>
      <c r="AE15" s="61">
        <v>6.0240963855421686E-2</v>
      </c>
      <c r="AF15" s="61">
        <v>7.0588235294117646E-2</v>
      </c>
      <c r="AG15" s="61">
        <v>4.9382716049382713E-2</v>
      </c>
      <c r="AH15" s="61">
        <v>3.9473684210526314E-2</v>
      </c>
      <c r="AI15" s="61">
        <v>5.4054054054054057E-2</v>
      </c>
      <c r="AJ15" s="61">
        <v>7.926829268292683E-2</v>
      </c>
      <c r="AK15" s="62">
        <v>4.5871559633027525E-2</v>
      </c>
      <c r="AL15" s="82">
        <f t="shared" si="0"/>
        <v>6.647640092778874E-2</v>
      </c>
    </row>
    <row r="16" spans="1:38" ht="15">
      <c r="A16" s="59">
        <v>14</v>
      </c>
      <c r="B16" s="74">
        <f>(getDistance(coord!C14,coord!D14,coord!$C$1,coord!$D$1)*1000)/$B$20</f>
        <v>1.1391037810811092E-2</v>
      </c>
      <c r="C16" s="74">
        <f>(getDistance(coord!C14,coord!D14,coord!$C$2,coord!$D$2)*1000)/$C$20</f>
        <v>2.1857505644037514E-2</v>
      </c>
      <c r="D16" s="74">
        <f>(getDistance(coord!$C14,coord!$D14,coord!$C$3,coord!$D$3)*1000)/$D$20</f>
        <v>3.5317455666289209E-2</v>
      </c>
      <c r="E16" s="74">
        <f>(getDistance(coord!$C14,coord!$D14,coord!$C$4,coord!$D$4)*1000)/$E$20</f>
        <v>3.5308611522660197E-2</v>
      </c>
      <c r="F16" s="74">
        <f>(getDistance(coord!$C14,coord!$D14,coord!$C$5,coord!$D$5)*1000)/$F$20</f>
        <v>0.10115541709631623</v>
      </c>
      <c r="G16" s="74">
        <f>(getDistance(coord!$C14,coord!$D14,coord!$C$6,coord!$D$6)*1000)/$G$20</f>
        <v>9.5442598560997072E-2</v>
      </c>
      <c r="H16" s="74">
        <f>(getDistance(coord!$C14,coord!$D14,coord!$C$7,coord!$D$7)*1000)/$H$20</f>
        <v>9.6695571475339706E-2</v>
      </c>
      <c r="I16" s="74">
        <f>(getDistance(coord!$C14,coord!$D14,coord!$C$8,coord!$D$8)*1000)/$I$20</f>
        <v>0.10192976553023066</v>
      </c>
      <c r="J16" s="74">
        <f>(getDistance(coord!$C14,coord!$D14,coord!$C$9,coord!$D$9)*1000)/$J$20</f>
        <v>9.8747671612708338E-2</v>
      </c>
      <c r="K16" s="74">
        <f>(getDistance(coord!$C14,coord!$D14,coord!$C$10,coord!$D$10)*1000)/$K$20</f>
        <v>9.1879449125607152E-2</v>
      </c>
      <c r="L16" s="74">
        <f>(getDistance(coord!$C14,coord!$D14,coord!$C$11,coord!$D$11)*1000)/$L$20</f>
        <v>5.8862551050327262E-2</v>
      </c>
      <c r="M16" s="74">
        <f>(getDistance(coord!$C14,coord!$D14,coord!$C$12,coord!$D$12)*1000)/$M$20</f>
        <v>9.0607388008584963E-2</v>
      </c>
      <c r="N16" s="74">
        <f>(getDistance(coord!$C14,coord!$D14,coord!$C$13,coord!$D$13)*1000)/$N$20</f>
        <v>2.4460556662748552E-2</v>
      </c>
      <c r="O16" s="75">
        <f>(getDistance(coord!$C14,coord!$D14,coord!$C$14,coord!$D$14)*1000)/$O$20</f>
        <v>0</v>
      </c>
      <c r="P16" s="74">
        <f>(getDistance(coord!$C14,coord!$D14,coord!$C$15,coord!$D$15)*1000)/$P$20</f>
        <v>8.1435855710390165E-2</v>
      </c>
      <c r="Q16" s="74">
        <f>(getDistance(coord!$C14,coord!$D14,coord!$C$16,coord!$D$16)*1000)/$Q$20</f>
        <v>7.0823158857472049E-2</v>
      </c>
      <c r="R16" s="74">
        <f>(getDistance(coord!$C14,coord!$D14,coord!$C$17,coord!$D$17)*1000)/$R$20</f>
        <v>7.5540162362182181E-2</v>
      </c>
      <c r="S16" s="58" t="s">
        <v>27</v>
      </c>
      <c r="T16" s="59">
        <v>21</v>
      </c>
      <c r="U16" s="63">
        <v>5.5172413793103448E-2</v>
      </c>
      <c r="V16" s="63">
        <v>3.9215686274509803E-2</v>
      </c>
      <c r="W16" s="61">
        <v>6.0606060606060608E-2</v>
      </c>
      <c r="X16" s="61">
        <v>4.7619047619047616E-2</v>
      </c>
      <c r="Y16" s="61">
        <v>5.2631578947368418E-2</v>
      </c>
      <c r="Z16" s="61">
        <v>6.5963060686015831E-2</v>
      </c>
      <c r="AA16" s="61">
        <v>4.3478260869565216E-2</v>
      </c>
      <c r="AB16" s="61">
        <v>5.4545454545454543E-2</v>
      </c>
      <c r="AC16" s="61">
        <v>5.6000000000000001E-2</v>
      </c>
      <c r="AD16" s="61">
        <v>5.6338028169014086E-2</v>
      </c>
      <c r="AE16" s="61">
        <v>4.8192771084337352E-2</v>
      </c>
      <c r="AF16" s="61">
        <v>5.8823529411764705E-2</v>
      </c>
      <c r="AG16" s="61">
        <v>3.7037037037037035E-2</v>
      </c>
      <c r="AH16" s="61">
        <v>2.6315789473684209E-2</v>
      </c>
      <c r="AI16" s="61">
        <v>4.0540540540540543E-2</v>
      </c>
      <c r="AJ16" s="61">
        <v>7.3170731707317069E-2</v>
      </c>
      <c r="AK16" s="62">
        <v>3.669724770642202E-2</v>
      </c>
      <c r="AL16" s="82">
        <f t="shared" si="0"/>
        <v>5.0138072851249556E-2</v>
      </c>
    </row>
    <row r="17" spans="1:38" ht="15">
      <c r="A17" s="59">
        <v>15</v>
      </c>
      <c r="B17" s="74">
        <f>(getDistance(coord!C15,coord!D15,coord!$C$1,coord!$D$1)*1000)/$B$20</f>
        <v>6.159839731125575E-2</v>
      </c>
      <c r="C17" s="74">
        <f>(getDistance(coord!C15,coord!D15,coord!$C$2,coord!$D$2)*1000)/$C$20</f>
        <v>5.5626049614270444E-2</v>
      </c>
      <c r="D17" s="74">
        <f>(getDistance(coord!$C15,coord!$D15,coord!$C$3,coord!$D$3)*1000)/$D$20</f>
        <v>4.9195690408532458E-2</v>
      </c>
      <c r="E17" s="74">
        <f>(getDistance(coord!$C15,coord!$D15,coord!$C$4,coord!$D$4)*1000)/$E$20</f>
        <v>7.4892785326375819E-2</v>
      </c>
      <c r="F17" s="74">
        <f>(getDistance(coord!$C15,coord!$D15,coord!$C$5,coord!$D$5)*1000)/$F$20</f>
        <v>4.088898791800083E-2</v>
      </c>
      <c r="G17" s="74">
        <f>(getDistance(coord!$C15,coord!$D15,coord!$C$6,coord!$D$6)*1000)/$G$20</f>
        <v>5.6571080039354259E-2</v>
      </c>
      <c r="H17" s="74">
        <f>(getDistance(coord!$C15,coord!$D15,coord!$C$7,coord!$D$7)*1000)/$H$20</f>
        <v>5.6781722241748413E-2</v>
      </c>
      <c r="I17" s="74">
        <f>(getDistance(coord!$C15,coord!$D15,coord!$C$8,coord!$D$8)*1000)/$I$20</f>
        <v>4.6372213769185183E-2</v>
      </c>
      <c r="J17" s="74">
        <f>(getDistance(coord!$C15,coord!$D15,coord!$C$9,coord!$D$9)*1000)/$J$20</f>
        <v>2.9732430251815069E-2</v>
      </c>
      <c r="K17" s="74">
        <f>(getDistance(coord!$C15,coord!$D15,coord!$C$10,coord!$D$10)*1000)/$K$20</f>
        <v>4.6519507142997685E-2</v>
      </c>
      <c r="L17" s="74">
        <f>(getDistance(coord!$C15,coord!$D15,coord!$C$11,coord!$D$11)*1000)/$L$20</f>
        <v>6.931954347696262E-2</v>
      </c>
      <c r="M17" s="74">
        <f>(getDistance(coord!$C15,coord!$D15,coord!$C$12,coord!$D$12)*1000)/$M$20</f>
        <v>6.1704393451557905E-2</v>
      </c>
      <c r="N17" s="74">
        <f>(getDistance(coord!$C15,coord!$D15,coord!$C$13,coord!$D$13)*1000)/$N$20</f>
        <v>7.3684538685649656E-2</v>
      </c>
      <c r="O17" s="74">
        <f>(getDistance(coord!$C15,coord!$D15,coord!$C$14,coord!$D$14)*1000)/$O$20</f>
        <v>6.6131433119642771E-2</v>
      </c>
      <c r="P17" s="75">
        <f>(getDistance(coord!$C15,coord!$D15,coord!$C$15,coord!$D$15)*1000)/$P$20</f>
        <v>0</v>
      </c>
      <c r="Q17" s="74">
        <f>(getDistance(coord!$C15,coord!$D15,coord!$C$16,coord!$D$16)*1000)/$Q$20</f>
        <v>2.3576226428328278E-2</v>
      </c>
      <c r="R17" s="74">
        <f>(getDistance(coord!$C15,coord!$D15,coord!$C$17,coord!$D$17)*1000)/$R$20</f>
        <v>9.0411429457393569E-3</v>
      </c>
      <c r="S17" s="58" t="s">
        <v>28</v>
      </c>
      <c r="T17" s="59">
        <v>22</v>
      </c>
      <c r="U17" s="63">
        <v>4.8275862068965517E-2</v>
      </c>
      <c r="V17" s="63">
        <v>1.9607843137254902E-2</v>
      </c>
      <c r="W17" s="61">
        <v>6.0606060606060608E-2</v>
      </c>
      <c r="X17" s="61">
        <v>2.8571428571428571E-2</v>
      </c>
      <c r="Y17" s="61">
        <v>5.2631578947368418E-2</v>
      </c>
      <c r="Z17" s="61">
        <v>6.5963060686015831E-2</v>
      </c>
      <c r="AA17" s="61">
        <v>4.3478260869565216E-2</v>
      </c>
      <c r="AB17" s="61">
        <v>5.4545454545454543E-2</v>
      </c>
      <c r="AC17" s="61">
        <v>4.8000000000000001E-2</v>
      </c>
      <c r="AD17" s="61">
        <v>5.6338028169014086E-2</v>
      </c>
      <c r="AE17" s="61">
        <v>3.614457831325301E-2</v>
      </c>
      <c r="AF17" s="61">
        <v>4.7058823529411764E-2</v>
      </c>
      <c r="AG17" s="61">
        <v>3.7037037037037035E-2</v>
      </c>
      <c r="AH17" s="61">
        <v>2.6315789473684209E-2</v>
      </c>
      <c r="AI17" s="61">
        <v>4.0540540540540543E-2</v>
      </c>
      <c r="AJ17" s="61">
        <v>4.2682926829268296E-2</v>
      </c>
      <c r="AK17" s="62">
        <v>3.669724770642202E-2</v>
      </c>
      <c r="AL17" s="82">
        <f t="shared" si="0"/>
        <v>4.3793795354749684E-2</v>
      </c>
    </row>
    <row r="18" spans="1:38" ht="15">
      <c r="A18" s="59">
        <v>16</v>
      </c>
      <c r="B18" s="74">
        <f>(getDistance(coord!C16,coord!D16,coord!$C$1,coord!$D$1)*1000)/$B$20</f>
        <v>7.4539863090210934E-2</v>
      </c>
      <c r="C18" s="74">
        <f>(getDistance(coord!C16,coord!D16,coord!$C$2,coord!$D$2)*1000)/$C$20</f>
        <v>6.9380858823358496E-2</v>
      </c>
      <c r="D18" s="74">
        <f>(getDistance(coord!$C16,coord!$D16,coord!$C$3,coord!$D$3)*1000)/$D$20</f>
        <v>6.8379776783968532E-2</v>
      </c>
      <c r="E18" s="74">
        <f>(getDistance(coord!$C16,coord!$D16,coord!$C$4,coord!$D$4)*1000)/$E$20</f>
        <v>8.7499184224573673E-2</v>
      </c>
      <c r="F18" s="74">
        <f>(getDistance(coord!$C16,coord!$D16,coord!$C$5,coord!$D$5)*1000)/$F$20</f>
        <v>7.3597659179639202E-2</v>
      </c>
      <c r="G18" s="74">
        <f>(getDistance(coord!$C16,coord!$D16,coord!$C$6,coord!$D$6)*1000)/$G$20</f>
        <v>8.8874981726127858E-2</v>
      </c>
      <c r="H18" s="74">
        <f>(getDistance(coord!$C16,coord!$D16,coord!$C$7,coord!$D$7)*1000)/$H$20</f>
        <v>7.6116828848675294E-2</v>
      </c>
      <c r="I18" s="74">
        <f>(getDistance(coord!$C16,coord!$D16,coord!$C$8,coord!$D$8)*1000)/$I$20</f>
        <v>7.7957113685623414E-2</v>
      </c>
      <c r="J18" s="74">
        <f>(getDistance(coord!$C16,coord!$D16,coord!$C$9,coord!$D$9)*1000)/$J$20</f>
        <v>5.7972186799735002E-2</v>
      </c>
      <c r="K18" s="74">
        <f>(getDistance(coord!$C16,coord!$D16,coord!$C$10,coord!$D$10)*1000)/$K$20</f>
        <v>8.2721052024025188E-2</v>
      </c>
      <c r="L18" s="74">
        <f>(getDistance(coord!$C16,coord!$D16,coord!$C$11,coord!$D$11)*1000)/$L$20</f>
        <v>9.708410399984746E-2</v>
      </c>
      <c r="M18" s="74">
        <f>(getDistance(coord!$C16,coord!$D16,coord!$C$12,coord!$D$12)*1000)/$M$20</f>
        <v>7.8603436061609189E-2</v>
      </c>
      <c r="N18" s="74">
        <f>(getDistance(coord!$C16,coord!$D16,coord!$C$13,coord!$D$13)*1000)/$N$20</f>
        <v>8.5903661228574124E-2</v>
      </c>
      <c r="O18" s="74">
        <f>(getDistance(coord!$C16,coord!$D16,coord!$C$14,coord!$D$14)*1000)/$O$20</f>
        <v>7.7753898977035094E-2</v>
      </c>
      <c r="P18" s="74">
        <f>(getDistance(coord!$C16,coord!$D16,coord!$C$15,coord!$D$15)*1000)/$P$20</f>
        <v>3.1873437683884037E-2</v>
      </c>
      <c r="Q18" s="75">
        <f>(getDistance(coord!$C16,coord!$D16,coord!$C$16,coord!$D$16)*1000)/$Q$20</f>
        <v>0</v>
      </c>
      <c r="R18" s="74">
        <f>(getDistance(coord!$C16,coord!$D16,coord!$C$17,coord!$D$17)*1000)/$R$20</f>
        <v>2.2366467553544888E-2</v>
      </c>
      <c r="S18" s="58" t="s">
        <v>29</v>
      </c>
      <c r="T18" s="59">
        <v>23</v>
      </c>
      <c r="U18" s="61">
        <v>2.7586206896551724E-2</v>
      </c>
      <c r="V18" s="61">
        <v>1.9607843137254902E-2</v>
      </c>
      <c r="W18" s="61">
        <v>6.0606060606060608E-2</v>
      </c>
      <c r="X18" s="61">
        <v>1.9047619047619049E-2</v>
      </c>
      <c r="Y18" s="61">
        <v>3.5087719298245612E-2</v>
      </c>
      <c r="Z18" s="61">
        <v>3.9577836411609502E-2</v>
      </c>
      <c r="AA18" s="61">
        <v>4.3478260869565216E-2</v>
      </c>
      <c r="AB18" s="61">
        <v>3.6363636363636362E-2</v>
      </c>
      <c r="AC18" s="61">
        <v>4.8000000000000001E-2</v>
      </c>
      <c r="AD18" s="61">
        <v>4.9295774647887321E-2</v>
      </c>
      <c r="AE18" s="61">
        <v>3.614457831325301E-2</v>
      </c>
      <c r="AF18" s="61">
        <v>2.3529411764705882E-2</v>
      </c>
      <c r="AG18" s="61">
        <v>2.4691358024691357E-2</v>
      </c>
      <c r="AH18" s="61">
        <v>2.6315789473684209E-2</v>
      </c>
      <c r="AI18" s="61">
        <v>2.7027027027027029E-2</v>
      </c>
      <c r="AJ18" s="61">
        <v>4.2682926829268296E-2</v>
      </c>
      <c r="AK18" s="62">
        <v>3.669724770642202E-2</v>
      </c>
      <c r="AL18" s="82">
        <f t="shared" si="0"/>
        <v>3.504348802455777E-2</v>
      </c>
    </row>
    <row r="19" spans="1:38" ht="15.75" thickBot="1">
      <c r="A19" s="60">
        <v>17</v>
      </c>
      <c r="B19" s="76">
        <f>(getDistance(coord!C17,coord!D17,coord!$C$1,coord!$D$1)*1000)/$B$20</f>
        <v>6.0432531522365308E-2</v>
      </c>
      <c r="C19" s="76">
        <f>(getDistance(coord!C17,coord!D17,coord!$C$2,coord!$D$2)*1000)/$C$20</f>
        <v>5.4221091431074626E-2</v>
      </c>
      <c r="D19" s="76">
        <f>(getDistance(coord!$C17,coord!$D17,coord!$C$3,coord!$D$3)*1000)/$D$20</f>
        <v>4.9108610527564232E-2</v>
      </c>
      <c r="E19" s="76">
        <f>(getDistance(coord!$C17,coord!$D17,coord!$C$4,coord!$D$4)*1000)/$E$20</f>
        <v>7.6124360699406909E-2</v>
      </c>
      <c r="F19" s="76">
        <f>(getDistance(coord!$C17,coord!$D17,coord!$C$5,coord!$D$5)*1000)/$F$20</f>
        <v>5.1221079450713469E-2</v>
      </c>
      <c r="G19" s="76">
        <f>(getDistance(coord!$C17,coord!$D17,coord!$C$6,coord!$D$6)*1000)/$G$20</f>
        <v>6.6054212362709239E-2</v>
      </c>
      <c r="H19" s="76">
        <f>(getDistance(coord!$C17,coord!$D17,coord!$C$7,coord!$D$7)*1000)/$H$20</f>
        <v>6.3641605632909978E-2</v>
      </c>
      <c r="I19" s="76">
        <f>(getDistance(coord!$C17,coord!$D17,coord!$C$8,coord!$D$8)*1000)/$I$20</f>
        <v>5.6399985146804513E-2</v>
      </c>
      <c r="J19" s="76">
        <f>(getDistance(coord!$C17,coord!$D17,coord!$C$9,coord!$D$9)*1000)/$J$20</f>
        <v>3.9240100764582453E-2</v>
      </c>
      <c r="K19" s="76">
        <f>(getDistance(coord!$C17,coord!$D17,coord!$C$10,coord!$D$10)*1000)/$K$20</f>
        <v>5.6545865245065975E-2</v>
      </c>
      <c r="L19" s="76">
        <f>(getDistance(coord!$C17,coord!$D17,coord!$C$11,coord!$D$11)*1000)/$L$20</f>
        <v>7.5075206325497953E-2</v>
      </c>
      <c r="M19" s="76">
        <f>(getDistance(coord!$C17,coord!$D17,coord!$C$12,coord!$D$12)*1000)/$M$20</f>
        <v>6.7569810514766349E-2</v>
      </c>
      <c r="N19" s="76">
        <f>(getDistance(coord!$C17,coord!$D17,coord!$C$13,coord!$D$13)*1000)/$N$20</f>
        <v>7.4175616662935109E-2</v>
      </c>
      <c r="O19" s="76">
        <f>(getDistance(coord!$C17,coord!$D17,coord!$C$14,coord!$D$14)*1000)/$O$20</f>
        <v>6.5175347551160764E-2</v>
      </c>
      <c r="P19" s="76">
        <f>(getDistance(coord!$C17,coord!$D17,coord!$C$15,coord!$D$15)*1000)/$P$20</f>
        <v>9.6058656335458042E-3</v>
      </c>
      <c r="Q19" s="76">
        <f>(getDistance(coord!$C17,coord!$D17,coord!$C$16,coord!$D$16)*1000)/$Q$20</f>
        <v>1.757745352532147E-2</v>
      </c>
      <c r="R19" s="77">
        <f>(getDistance(coord!$C17,coord!$D17,coord!$C$17,coord!$D$17)*1000)/$R$20</f>
        <v>0</v>
      </c>
      <c r="S19" s="58" t="s">
        <v>30</v>
      </c>
      <c r="T19" s="60">
        <v>24</v>
      </c>
      <c r="U19" s="64">
        <v>2.7586206896551724E-2</v>
      </c>
      <c r="V19" s="64">
        <v>1.9607843137254902E-2</v>
      </c>
      <c r="W19" s="64">
        <v>3.0303030303030304E-2</v>
      </c>
      <c r="X19" s="64">
        <v>1.9047619047619049E-2</v>
      </c>
      <c r="Y19" s="64">
        <v>3.5087719298245612E-2</v>
      </c>
      <c r="Z19" s="64">
        <v>3.9577836411609502E-2</v>
      </c>
      <c r="AA19" s="64">
        <v>4.3478260869565216E-2</v>
      </c>
      <c r="AB19" s="64">
        <v>3.6363636363636362E-2</v>
      </c>
      <c r="AC19" s="64">
        <v>4.8000000000000001E-2</v>
      </c>
      <c r="AD19" s="64">
        <v>4.9295774647887321E-2</v>
      </c>
      <c r="AE19" s="64">
        <v>3.614457831325301E-2</v>
      </c>
      <c r="AF19" s="64">
        <v>1.1764705882352941E-2</v>
      </c>
      <c r="AG19" s="64">
        <v>1.2345679012345678E-2</v>
      </c>
      <c r="AH19" s="64">
        <v>2.6315789473684209E-2</v>
      </c>
      <c r="AI19" s="64">
        <v>2.7027027027027029E-2</v>
      </c>
      <c r="AJ19" s="64">
        <v>3.6585365853658534E-2</v>
      </c>
      <c r="AK19" s="65">
        <v>2.7522935779816515E-2</v>
      </c>
      <c r="AL19" s="82">
        <f t="shared" si="0"/>
        <v>3.0944353430443401E-2</v>
      </c>
    </row>
    <row r="20" spans="1:38" ht="15" thickBot="1">
      <c r="A20" s="4"/>
      <c r="B20" s="68">
        <v>3829.978895979646</v>
      </c>
      <c r="C20" s="68">
        <v>3616.0678119784002</v>
      </c>
      <c r="D20" s="68">
        <v>3314.493706896405</v>
      </c>
      <c r="E20" s="68">
        <v>5923.847449148986</v>
      </c>
      <c r="F20" s="68">
        <v>3181.8203817365966</v>
      </c>
      <c r="G20" s="68">
        <v>3344.9676701526337</v>
      </c>
      <c r="H20" s="68">
        <v>4701.4158231582978</v>
      </c>
      <c r="I20" s="68">
        <v>3279.0662518609661</v>
      </c>
      <c r="J20" s="68">
        <v>3381.4512311458216</v>
      </c>
      <c r="K20" s="68">
        <v>3016.9392764720842</v>
      </c>
      <c r="L20" s="68">
        <v>3662.8594091928085</v>
      </c>
      <c r="M20" s="68">
        <v>5570.3920268510847</v>
      </c>
      <c r="N20" s="68">
        <v>5231.7763035809749</v>
      </c>
      <c r="O20" s="68">
        <v>4220.6025649162793</v>
      </c>
      <c r="P20" s="68">
        <v>3427.4152805487406</v>
      </c>
      <c r="Q20" s="68">
        <v>4633.6298853195376</v>
      </c>
      <c r="R20" s="68">
        <v>3641.4965290232485</v>
      </c>
      <c r="U20" s="66">
        <v>725</v>
      </c>
      <c r="V20" s="66">
        <v>255</v>
      </c>
      <c r="W20" s="66">
        <v>165</v>
      </c>
      <c r="X20" s="66">
        <v>525</v>
      </c>
      <c r="Y20" s="66">
        <v>570</v>
      </c>
      <c r="Z20" s="66">
        <v>379</v>
      </c>
      <c r="AA20" s="66">
        <v>230</v>
      </c>
      <c r="AB20" s="66">
        <v>275</v>
      </c>
      <c r="AC20" s="66">
        <v>625</v>
      </c>
      <c r="AD20" s="66">
        <v>710</v>
      </c>
      <c r="AE20" s="66">
        <v>415</v>
      </c>
      <c r="AF20" s="66">
        <v>425</v>
      </c>
      <c r="AG20" s="66">
        <v>405</v>
      </c>
      <c r="AH20" s="66">
        <v>380</v>
      </c>
      <c r="AI20" s="66">
        <v>370</v>
      </c>
      <c r="AJ20" s="66">
        <v>820</v>
      </c>
      <c r="AK20" s="66">
        <v>545</v>
      </c>
    </row>
    <row r="21" spans="1:38" ht="15" thickBot="1">
      <c r="A21" s="69" t="s">
        <v>4</v>
      </c>
      <c r="B21" s="70" t="s">
        <v>7</v>
      </c>
      <c r="C21" s="70" t="s">
        <v>9</v>
      </c>
      <c r="D21" s="70" t="s">
        <v>2</v>
      </c>
      <c r="E21" s="70" t="s">
        <v>1</v>
      </c>
      <c r="F21" s="70" t="s">
        <v>0</v>
      </c>
      <c r="G21" s="42"/>
      <c r="H21" s="43"/>
      <c r="I21" s="135" t="s">
        <v>33</v>
      </c>
      <c r="J21" s="135" t="s">
        <v>34</v>
      </c>
      <c r="K21" s="135" t="s">
        <v>35</v>
      </c>
      <c r="L21" s="160" t="s">
        <v>37</v>
      </c>
      <c r="M21" s="11" t="s">
        <v>38</v>
      </c>
      <c r="T21" s="56" t="s">
        <v>12</v>
      </c>
      <c r="U21" s="54">
        <v>1</v>
      </c>
      <c r="V21" s="54">
        <v>2</v>
      </c>
      <c r="W21" s="54">
        <v>3</v>
      </c>
      <c r="X21" s="54">
        <v>4</v>
      </c>
      <c r="Y21" s="54">
        <v>5</v>
      </c>
      <c r="Z21" s="54">
        <v>6</v>
      </c>
      <c r="AA21" s="54">
        <v>7</v>
      </c>
      <c r="AB21" s="54">
        <v>8</v>
      </c>
      <c r="AC21" s="54">
        <v>9</v>
      </c>
      <c r="AD21" s="54">
        <v>10</v>
      </c>
      <c r="AE21" s="54">
        <v>11</v>
      </c>
      <c r="AF21" s="54">
        <v>12</v>
      </c>
      <c r="AG21" s="54">
        <v>13</v>
      </c>
      <c r="AH21" s="54">
        <v>14</v>
      </c>
      <c r="AI21" s="54">
        <v>15</v>
      </c>
      <c r="AJ21" s="54">
        <v>16</v>
      </c>
      <c r="AK21" s="55">
        <v>17</v>
      </c>
    </row>
    <row r="22" spans="1:38">
      <c r="A22" s="59">
        <v>8</v>
      </c>
      <c r="B22" s="59">
        <v>11</v>
      </c>
      <c r="C22" s="89" t="str">
        <f t="shared" ref="C22:C38" si="1">VLOOKUP(B22,$A$3:$S$19,19,1)</f>
        <v>Thunder Mtn</v>
      </c>
      <c r="D22" s="94">
        <f>ABS(E22)</f>
        <v>0</v>
      </c>
      <c r="E22" s="8"/>
      <c r="F22" s="78">
        <f t="shared" ref="F22:F38" si="2">INDEX($T$2:$AK$19,MATCH(A22,$T$2:$T$19,0),MATCH(B22,$T$2:$AK$2,0))</f>
        <v>1.2048192771084338E-2</v>
      </c>
      <c r="G22" s="8"/>
      <c r="H22" s="79">
        <f t="shared" ref="H22:H38" si="3">INDEX($T$21:$AK$38,MATCH(A22,$T$21:$T$38,0),MATCH(B22,$T$21:$AK$21,0))</f>
        <v>5</v>
      </c>
      <c r="I22" s="136">
        <v>1</v>
      </c>
      <c r="J22" s="137">
        <v>1</v>
      </c>
      <c r="K22" s="138">
        <v>8</v>
      </c>
      <c r="L22" s="154">
        <f>VLOOKUP(C22,coord!B:D,2,0)</f>
        <v>33.813229</v>
      </c>
      <c r="M22" s="155">
        <f>VLOOKUP(C22,coord!B:D,3,0)</f>
        <v>-117.920417</v>
      </c>
      <c r="O22" s="66" t="s">
        <v>17</v>
      </c>
      <c r="T22" s="59">
        <v>8</v>
      </c>
      <c r="U22" s="82">
        <f t="shared" ref="U22:AK22" si="4">U3*U$20</f>
        <v>10</v>
      </c>
      <c r="V22" s="82">
        <f t="shared" si="4"/>
        <v>5</v>
      </c>
      <c r="W22" s="82">
        <f t="shared" si="4"/>
        <v>10</v>
      </c>
      <c r="X22" s="82">
        <f t="shared" si="4"/>
        <v>5.0000000000000009</v>
      </c>
      <c r="Y22" s="82">
        <f t="shared" si="4"/>
        <v>15</v>
      </c>
      <c r="Z22" s="82">
        <f t="shared" si="4"/>
        <v>5</v>
      </c>
      <c r="AA22" s="82">
        <f t="shared" si="4"/>
        <v>5</v>
      </c>
      <c r="AB22" s="82">
        <f t="shared" si="4"/>
        <v>5</v>
      </c>
      <c r="AC22" s="82">
        <f t="shared" si="4"/>
        <v>5</v>
      </c>
      <c r="AD22" s="82">
        <f t="shared" si="4"/>
        <v>35</v>
      </c>
      <c r="AE22" s="82">
        <f t="shared" si="4"/>
        <v>5</v>
      </c>
      <c r="AF22" s="82">
        <f t="shared" si="4"/>
        <v>5</v>
      </c>
      <c r="AG22" s="82">
        <f t="shared" si="4"/>
        <v>5</v>
      </c>
      <c r="AH22" s="82">
        <f t="shared" si="4"/>
        <v>5</v>
      </c>
      <c r="AI22" s="82">
        <f t="shared" si="4"/>
        <v>5</v>
      </c>
      <c r="AJ22" s="82">
        <f t="shared" si="4"/>
        <v>14.999999999999998</v>
      </c>
      <c r="AK22" s="82">
        <f t="shared" si="4"/>
        <v>5</v>
      </c>
    </row>
    <row r="23" spans="1:38">
      <c r="A23" s="59">
        <v>9</v>
      </c>
      <c r="B23" s="59">
        <v>12</v>
      </c>
      <c r="C23" s="89" t="str">
        <f t="shared" si="1"/>
        <v>Toon Spin</v>
      </c>
      <c r="D23" s="94">
        <f t="shared" ref="D23:D38" si="5">ABS(E23)</f>
        <v>5.572497415185388E-2</v>
      </c>
      <c r="E23" s="83">
        <f t="shared" ref="E23:E38" si="6">INDEX($A$2:$R$19,MATCH(B22,$A$2:$A$19,0),MATCH(B23,$A$2:$R$2,0))</f>
        <v>5.572497415185388E-2</v>
      </c>
      <c r="F23" s="78">
        <f t="shared" si="2"/>
        <v>2.3529411764705882E-2</v>
      </c>
      <c r="G23" s="83">
        <f t="shared" ref="G23:G38" si="7">INDEX($T$39:$AK$56,MATCH(B22,$T$39:$T$56,0),MATCH(B23,$T$39:$AK$39,0))</f>
        <v>310.40995171196965</v>
      </c>
      <c r="H23" s="79">
        <f t="shared" si="3"/>
        <v>10</v>
      </c>
      <c r="I23" s="139">
        <v>1</v>
      </c>
      <c r="J23" s="8">
        <v>1</v>
      </c>
      <c r="K23" s="39">
        <v>9</v>
      </c>
      <c r="L23" s="154">
        <f>VLOOKUP(C23,coord!B:D,2,0)</f>
        <v>33.815263999999999</v>
      </c>
      <c r="M23" s="155">
        <f>VLOOKUP(C23,coord!B:D,3,0)</f>
        <v>-117.918117</v>
      </c>
      <c r="O23" s="66" t="s">
        <v>14</v>
      </c>
      <c r="T23" s="59">
        <v>9</v>
      </c>
      <c r="U23" s="82">
        <f t="shared" ref="U23:AK23" si="8">U4*U$20</f>
        <v>25</v>
      </c>
      <c r="V23" s="82">
        <f t="shared" si="8"/>
        <v>5</v>
      </c>
      <c r="W23" s="82">
        <f t="shared" si="8"/>
        <v>10</v>
      </c>
      <c r="X23" s="82">
        <f t="shared" si="8"/>
        <v>5.0000000000000009</v>
      </c>
      <c r="Y23" s="82">
        <f t="shared" si="8"/>
        <v>25</v>
      </c>
      <c r="Z23" s="82">
        <f t="shared" si="8"/>
        <v>5</v>
      </c>
      <c r="AA23" s="82">
        <f t="shared" si="8"/>
        <v>5</v>
      </c>
      <c r="AB23" s="82">
        <f t="shared" si="8"/>
        <v>5</v>
      </c>
      <c r="AC23" s="82">
        <f t="shared" si="8"/>
        <v>10</v>
      </c>
      <c r="AD23" s="82">
        <f t="shared" si="8"/>
        <v>40</v>
      </c>
      <c r="AE23" s="82">
        <f t="shared" si="8"/>
        <v>10</v>
      </c>
      <c r="AF23" s="82">
        <f t="shared" si="8"/>
        <v>10</v>
      </c>
      <c r="AG23" s="82">
        <f t="shared" si="8"/>
        <v>10</v>
      </c>
      <c r="AH23" s="82">
        <f t="shared" si="8"/>
        <v>15</v>
      </c>
      <c r="AI23" s="82">
        <f t="shared" si="8"/>
        <v>15</v>
      </c>
      <c r="AJ23" s="82">
        <f t="shared" si="8"/>
        <v>20</v>
      </c>
      <c r="AK23" s="82">
        <f t="shared" si="8"/>
        <v>20</v>
      </c>
    </row>
    <row r="24" spans="1:38">
      <c r="A24" s="59">
        <v>10</v>
      </c>
      <c r="B24" s="59">
        <v>7</v>
      </c>
      <c r="C24" s="89" t="str">
        <f t="shared" si="1"/>
        <v>Small World</v>
      </c>
      <c r="D24" s="94">
        <f t="shared" si="5"/>
        <v>1.722571046413977E-2</v>
      </c>
      <c r="E24" s="83">
        <f t="shared" si="6"/>
        <v>1.722571046413977E-2</v>
      </c>
      <c r="F24" s="78">
        <f t="shared" si="2"/>
        <v>4.3478260869565216E-2</v>
      </c>
      <c r="G24" s="83">
        <f t="shared" si="7"/>
        <v>80.985227741250185</v>
      </c>
      <c r="H24" s="79">
        <f t="shared" si="3"/>
        <v>10</v>
      </c>
      <c r="I24" s="139">
        <v>1</v>
      </c>
      <c r="J24" s="8">
        <v>1</v>
      </c>
      <c r="K24" s="39">
        <v>10</v>
      </c>
      <c r="L24" s="154">
        <f>VLOOKUP(C24,coord!B:D,2,0)</f>
        <v>33.814573000000003</v>
      </c>
      <c r="M24" s="155">
        <f>VLOOKUP(C24,coord!B:D,3,0)</f>
        <v>-117.91784</v>
      </c>
      <c r="O24" s="66" t="s">
        <v>25</v>
      </c>
      <c r="T24" s="59">
        <v>10</v>
      </c>
      <c r="U24" s="82">
        <f t="shared" ref="U24:AK24" si="9">U5*U$20</f>
        <v>35</v>
      </c>
      <c r="V24" s="82">
        <f t="shared" si="9"/>
        <v>10</v>
      </c>
      <c r="W24" s="82">
        <f t="shared" si="9"/>
        <v>10</v>
      </c>
      <c r="X24" s="82">
        <f t="shared" si="9"/>
        <v>10.000000000000002</v>
      </c>
      <c r="Y24" s="82">
        <f t="shared" si="9"/>
        <v>35</v>
      </c>
      <c r="Z24" s="82">
        <f t="shared" si="9"/>
        <v>10</v>
      </c>
      <c r="AA24" s="82">
        <f t="shared" si="9"/>
        <v>10</v>
      </c>
      <c r="AB24" s="82">
        <f t="shared" si="9"/>
        <v>10</v>
      </c>
      <c r="AC24" s="82">
        <f t="shared" si="9"/>
        <v>15</v>
      </c>
      <c r="AD24" s="82">
        <f t="shared" si="9"/>
        <v>45</v>
      </c>
      <c r="AE24" s="82">
        <f t="shared" si="9"/>
        <v>15</v>
      </c>
      <c r="AF24" s="82">
        <f t="shared" si="9"/>
        <v>15</v>
      </c>
      <c r="AG24" s="82">
        <f t="shared" si="9"/>
        <v>15</v>
      </c>
      <c r="AH24" s="82">
        <f t="shared" si="9"/>
        <v>25</v>
      </c>
      <c r="AI24" s="82">
        <f t="shared" si="9"/>
        <v>25</v>
      </c>
      <c r="AJ24" s="82">
        <f t="shared" si="9"/>
        <v>25</v>
      </c>
      <c r="AK24" s="82">
        <f t="shared" si="9"/>
        <v>35</v>
      </c>
    </row>
    <row r="25" spans="1:38">
      <c r="A25" s="59">
        <v>11</v>
      </c>
      <c r="B25" s="59">
        <v>6</v>
      </c>
      <c r="C25" s="89" t="str">
        <f t="shared" si="1"/>
        <v>Dumbo</v>
      </c>
      <c r="D25" s="94">
        <f t="shared" si="5"/>
        <v>4.0988037398308211E-2</v>
      </c>
      <c r="E25" s="83">
        <f t="shared" si="6"/>
        <v>4.0988037398308211E-2</v>
      </c>
      <c r="F25" s="78">
        <f t="shared" si="2"/>
        <v>3.9577836411609502E-2</v>
      </c>
      <c r="G25" s="83">
        <f t="shared" si="7"/>
        <v>137.10365996034804</v>
      </c>
      <c r="H25" s="79">
        <f t="shared" si="3"/>
        <v>15.000000000000002</v>
      </c>
      <c r="I25" s="139">
        <v>1</v>
      </c>
      <c r="J25" s="8">
        <v>1</v>
      </c>
      <c r="K25" s="39">
        <v>11</v>
      </c>
      <c r="L25" s="154">
        <f>VLOOKUP(C25,coord!B:D,2,0)</f>
        <v>33.813699999999997</v>
      </c>
      <c r="M25" s="155">
        <f>VLOOKUP(C25,coord!B:D,3,0)</f>
        <v>-117.918888</v>
      </c>
      <c r="O25" s="66" t="s">
        <v>29</v>
      </c>
      <c r="T25" s="59">
        <v>11</v>
      </c>
      <c r="U25" s="82">
        <f t="shared" ref="U25:AK25" si="10">U6*U$20</f>
        <v>40</v>
      </c>
      <c r="V25" s="82">
        <f t="shared" si="10"/>
        <v>15</v>
      </c>
      <c r="W25" s="82">
        <f t="shared" si="10"/>
        <v>10</v>
      </c>
      <c r="X25" s="82">
        <f t="shared" si="10"/>
        <v>15</v>
      </c>
      <c r="Y25" s="82">
        <f t="shared" si="10"/>
        <v>40</v>
      </c>
      <c r="Z25" s="82">
        <f t="shared" si="10"/>
        <v>15.000000000000002</v>
      </c>
      <c r="AA25" s="82">
        <f t="shared" si="10"/>
        <v>15</v>
      </c>
      <c r="AB25" s="82">
        <f t="shared" si="10"/>
        <v>10</v>
      </c>
      <c r="AC25" s="82">
        <f t="shared" si="10"/>
        <v>20</v>
      </c>
      <c r="AD25" s="82">
        <f t="shared" si="10"/>
        <v>45</v>
      </c>
      <c r="AE25" s="82">
        <f t="shared" si="10"/>
        <v>20</v>
      </c>
      <c r="AF25" s="82">
        <f t="shared" si="10"/>
        <v>20</v>
      </c>
      <c r="AG25" s="82">
        <f t="shared" si="10"/>
        <v>25</v>
      </c>
      <c r="AH25" s="82">
        <f t="shared" si="10"/>
        <v>30</v>
      </c>
      <c r="AI25" s="82">
        <f t="shared" si="10"/>
        <v>30</v>
      </c>
      <c r="AJ25" s="82">
        <f t="shared" si="10"/>
        <v>29.999999999999996</v>
      </c>
      <c r="AK25" s="82">
        <f t="shared" si="10"/>
        <v>50</v>
      </c>
    </row>
    <row r="26" spans="1:38">
      <c r="A26" s="59">
        <v>12</v>
      </c>
      <c r="B26" s="59">
        <v>9</v>
      </c>
      <c r="C26" s="89" t="str">
        <f t="shared" si="1"/>
        <v>Matterhorn</v>
      </c>
      <c r="D26" s="94">
        <f t="shared" si="5"/>
        <v>3.4169011585670317E-2</v>
      </c>
      <c r="E26" s="83">
        <f t="shared" si="6"/>
        <v>3.4169011585670317E-2</v>
      </c>
      <c r="F26" s="78">
        <f t="shared" si="2"/>
        <v>0.04</v>
      </c>
      <c r="G26" s="83">
        <f t="shared" si="7"/>
        <v>115.54084629340073</v>
      </c>
      <c r="H26" s="79">
        <f t="shared" si="3"/>
        <v>25</v>
      </c>
      <c r="I26" s="139">
        <v>1</v>
      </c>
      <c r="J26" s="8">
        <v>1</v>
      </c>
      <c r="K26" s="39">
        <v>12</v>
      </c>
      <c r="L26" s="154">
        <f>VLOOKUP(C26,coord!B:D,2,0)</f>
        <v>33.813076000000002</v>
      </c>
      <c r="M26" s="155">
        <f>VLOOKUP(C26,coord!B:D,3,0)</f>
        <v>-117.917888</v>
      </c>
      <c r="O26" s="66" t="s">
        <v>28</v>
      </c>
      <c r="T26" s="59">
        <v>12</v>
      </c>
      <c r="U26" s="82">
        <f t="shared" ref="U26:AK26" si="11">U7*U$20</f>
        <v>45</v>
      </c>
      <c r="V26" s="82">
        <f t="shared" si="11"/>
        <v>15</v>
      </c>
      <c r="W26" s="82">
        <f t="shared" si="11"/>
        <v>10</v>
      </c>
      <c r="X26" s="82">
        <f t="shared" si="11"/>
        <v>25</v>
      </c>
      <c r="Y26" s="82">
        <f t="shared" si="11"/>
        <v>40</v>
      </c>
      <c r="Z26" s="82">
        <f t="shared" si="11"/>
        <v>24</v>
      </c>
      <c r="AA26" s="82">
        <f t="shared" si="11"/>
        <v>15</v>
      </c>
      <c r="AB26" s="82">
        <f t="shared" si="11"/>
        <v>15</v>
      </c>
      <c r="AC26" s="82">
        <f t="shared" si="11"/>
        <v>25</v>
      </c>
      <c r="AD26" s="82">
        <f t="shared" si="11"/>
        <v>45</v>
      </c>
      <c r="AE26" s="82">
        <f t="shared" si="11"/>
        <v>25</v>
      </c>
      <c r="AF26" s="82">
        <f t="shared" si="11"/>
        <v>25</v>
      </c>
      <c r="AG26" s="82">
        <f t="shared" si="11"/>
        <v>35</v>
      </c>
      <c r="AH26" s="82">
        <f t="shared" si="11"/>
        <v>35</v>
      </c>
      <c r="AI26" s="82">
        <f t="shared" si="11"/>
        <v>30</v>
      </c>
      <c r="AJ26" s="82">
        <f t="shared" si="11"/>
        <v>35</v>
      </c>
      <c r="AK26" s="82">
        <f t="shared" si="11"/>
        <v>50</v>
      </c>
    </row>
    <row r="27" spans="1:38">
      <c r="A27" s="59">
        <v>13</v>
      </c>
      <c r="B27" s="59">
        <v>8</v>
      </c>
      <c r="C27" s="89" t="str">
        <f t="shared" si="1"/>
        <v>Mad Tea</v>
      </c>
      <c r="D27" s="94">
        <f t="shared" si="5"/>
        <v>1.9454992196515256E-2</v>
      </c>
      <c r="E27" s="83">
        <f t="shared" si="6"/>
        <v>1.9454992196515256E-2</v>
      </c>
      <c r="F27" s="78">
        <f t="shared" si="2"/>
        <v>5.4545454545454543E-2</v>
      </c>
      <c r="G27" s="83">
        <f t="shared" si="7"/>
        <v>63.794208341811625</v>
      </c>
      <c r="H27" s="79">
        <f t="shared" si="3"/>
        <v>15</v>
      </c>
      <c r="I27" s="139">
        <v>1</v>
      </c>
      <c r="J27" s="8">
        <v>1</v>
      </c>
      <c r="K27" s="39">
        <v>13</v>
      </c>
      <c r="L27" s="154">
        <f>VLOOKUP(C27,coord!B:D,2,0)</f>
        <v>33.813509000000003</v>
      </c>
      <c r="M27" s="155">
        <f>VLOOKUP(C27,coord!B:D,3,0)</f>
        <v>-117.918341</v>
      </c>
      <c r="O27" s="66" t="s">
        <v>30</v>
      </c>
      <c r="T27" s="59">
        <v>13</v>
      </c>
      <c r="U27" s="82">
        <f t="shared" ref="U27:AK27" si="12">U8*U$20</f>
        <v>55</v>
      </c>
      <c r="V27" s="82">
        <f t="shared" si="12"/>
        <v>20</v>
      </c>
      <c r="W27" s="82">
        <f t="shared" si="12"/>
        <v>10</v>
      </c>
      <c r="X27" s="82">
        <f t="shared" si="12"/>
        <v>35</v>
      </c>
      <c r="Y27" s="82">
        <f t="shared" si="12"/>
        <v>40</v>
      </c>
      <c r="Z27" s="82">
        <f t="shared" si="12"/>
        <v>30.000000000000004</v>
      </c>
      <c r="AA27" s="82">
        <f t="shared" si="12"/>
        <v>20</v>
      </c>
      <c r="AB27" s="82">
        <f t="shared" si="12"/>
        <v>15</v>
      </c>
      <c r="AC27" s="82">
        <f t="shared" si="12"/>
        <v>35</v>
      </c>
      <c r="AD27" s="82">
        <f t="shared" si="12"/>
        <v>45</v>
      </c>
      <c r="AE27" s="82">
        <f t="shared" si="12"/>
        <v>30</v>
      </c>
      <c r="AF27" s="82">
        <f t="shared" si="12"/>
        <v>30</v>
      </c>
      <c r="AG27" s="82">
        <f t="shared" si="12"/>
        <v>40</v>
      </c>
      <c r="AH27" s="82">
        <f t="shared" si="12"/>
        <v>35</v>
      </c>
      <c r="AI27" s="82">
        <f t="shared" si="12"/>
        <v>30</v>
      </c>
      <c r="AJ27" s="82">
        <f t="shared" si="12"/>
        <v>45</v>
      </c>
      <c r="AK27" s="82">
        <f t="shared" si="12"/>
        <v>50</v>
      </c>
    </row>
    <row r="28" spans="1:38">
      <c r="A28" s="59">
        <v>14</v>
      </c>
      <c r="B28" s="59">
        <v>5</v>
      </c>
      <c r="C28" s="89" t="str">
        <f t="shared" si="1"/>
        <v>Alice in Wonderland</v>
      </c>
      <c r="D28" s="94">
        <f t="shared" si="5"/>
        <v>6.9044686187920493E-3</v>
      </c>
      <c r="E28" s="83">
        <f t="shared" si="6"/>
        <v>6.9044686187920493E-3</v>
      </c>
      <c r="F28" s="78">
        <f t="shared" si="2"/>
        <v>7.0175438596491224E-2</v>
      </c>
      <c r="G28" s="83">
        <f t="shared" si="7"/>
        <v>21.968778976333269</v>
      </c>
      <c r="H28" s="79">
        <f t="shared" si="3"/>
        <v>40</v>
      </c>
      <c r="I28" s="139">
        <v>1</v>
      </c>
      <c r="J28" s="8">
        <v>1</v>
      </c>
      <c r="K28" s="39">
        <v>14</v>
      </c>
      <c r="L28" s="154">
        <f>VLOOKUP(C28,coord!B:D,2,0)</f>
        <v>33.813315000000003</v>
      </c>
      <c r="M28" s="155">
        <f>VLOOKUP(C28,coord!B:D,3,0)</f>
        <v>-117.918296</v>
      </c>
      <c r="O28" s="66" t="s">
        <v>24</v>
      </c>
      <c r="T28" s="59">
        <v>14</v>
      </c>
      <c r="U28" s="82">
        <f t="shared" ref="U28:AK28" si="13">U9*U$20</f>
        <v>55</v>
      </c>
      <c r="V28" s="82">
        <f t="shared" si="13"/>
        <v>20</v>
      </c>
      <c r="W28" s="82">
        <f t="shared" si="13"/>
        <v>10</v>
      </c>
      <c r="X28" s="82">
        <f t="shared" si="13"/>
        <v>45</v>
      </c>
      <c r="Y28" s="82">
        <f t="shared" si="13"/>
        <v>40</v>
      </c>
      <c r="Z28" s="82">
        <f t="shared" si="13"/>
        <v>30.000000000000004</v>
      </c>
      <c r="AA28" s="82">
        <f t="shared" si="13"/>
        <v>20</v>
      </c>
      <c r="AB28" s="82">
        <f t="shared" si="13"/>
        <v>20</v>
      </c>
      <c r="AC28" s="82">
        <f t="shared" si="13"/>
        <v>45</v>
      </c>
      <c r="AD28" s="82">
        <f t="shared" si="13"/>
        <v>45</v>
      </c>
      <c r="AE28" s="82">
        <f t="shared" si="13"/>
        <v>35</v>
      </c>
      <c r="AF28" s="82">
        <f t="shared" si="13"/>
        <v>35</v>
      </c>
      <c r="AG28" s="82">
        <f t="shared" si="13"/>
        <v>40</v>
      </c>
      <c r="AH28" s="82">
        <f t="shared" si="13"/>
        <v>35</v>
      </c>
      <c r="AI28" s="82">
        <f t="shared" si="13"/>
        <v>30</v>
      </c>
      <c r="AJ28" s="82">
        <f t="shared" si="13"/>
        <v>55</v>
      </c>
      <c r="AK28" s="82">
        <f t="shared" si="13"/>
        <v>45</v>
      </c>
    </row>
    <row r="29" spans="1:38">
      <c r="A29" s="59">
        <v>15</v>
      </c>
      <c r="B29" s="59">
        <v>10</v>
      </c>
      <c r="C29" s="90" t="str">
        <f t="shared" si="1"/>
        <v>Peter Pan</v>
      </c>
      <c r="D29" s="95">
        <f t="shared" si="5"/>
        <v>1.7651267526811714E-2</v>
      </c>
      <c r="E29" s="92">
        <f t="shared" si="6"/>
        <v>1.7651267526811714E-2</v>
      </c>
      <c r="F29" s="84">
        <f t="shared" si="2"/>
        <v>6.3380281690140844E-2</v>
      </c>
      <c r="G29" s="83">
        <f t="shared" si="7"/>
        <v>53.25280228115453</v>
      </c>
      <c r="H29" s="79">
        <f t="shared" si="3"/>
        <v>45</v>
      </c>
      <c r="I29" s="139">
        <v>1</v>
      </c>
      <c r="J29" s="8">
        <v>1</v>
      </c>
      <c r="K29" s="39">
        <v>15</v>
      </c>
      <c r="L29" s="154">
        <f>VLOOKUP(C29,coord!B:D,2,0)</f>
        <v>33.813205000000004</v>
      </c>
      <c r="M29" s="155">
        <f>VLOOKUP(C29,coord!B:D,3,0)</f>
        <v>-117.918857</v>
      </c>
      <c r="O29" s="66" t="s">
        <v>26</v>
      </c>
      <c r="T29" s="59">
        <v>15</v>
      </c>
      <c r="U29" s="82">
        <f t="shared" ref="U29:AK29" si="14">U10*U$20</f>
        <v>60</v>
      </c>
      <c r="V29" s="82">
        <f t="shared" si="14"/>
        <v>25</v>
      </c>
      <c r="W29" s="82">
        <f t="shared" si="14"/>
        <v>10</v>
      </c>
      <c r="X29" s="82">
        <f t="shared" si="14"/>
        <v>60</v>
      </c>
      <c r="Y29" s="82">
        <f t="shared" si="14"/>
        <v>40</v>
      </c>
      <c r="Z29" s="82">
        <f t="shared" si="14"/>
        <v>30.000000000000004</v>
      </c>
      <c r="AA29" s="82">
        <f t="shared" si="14"/>
        <v>20</v>
      </c>
      <c r="AB29" s="82">
        <f t="shared" si="14"/>
        <v>20</v>
      </c>
      <c r="AC29" s="82">
        <f t="shared" si="14"/>
        <v>60</v>
      </c>
      <c r="AD29" s="82">
        <f t="shared" si="14"/>
        <v>45</v>
      </c>
      <c r="AE29" s="82">
        <f t="shared" si="14"/>
        <v>40</v>
      </c>
      <c r="AF29" s="82">
        <f t="shared" si="14"/>
        <v>40</v>
      </c>
      <c r="AG29" s="82">
        <f t="shared" si="14"/>
        <v>40</v>
      </c>
      <c r="AH29" s="82">
        <f t="shared" si="14"/>
        <v>35</v>
      </c>
      <c r="AI29" s="82">
        <f t="shared" si="14"/>
        <v>30</v>
      </c>
      <c r="AJ29" s="82">
        <f t="shared" si="14"/>
        <v>65</v>
      </c>
      <c r="AK29" s="82">
        <f t="shared" si="14"/>
        <v>45</v>
      </c>
    </row>
    <row r="30" spans="1:38">
      <c r="A30" s="59">
        <v>16</v>
      </c>
      <c r="B30" s="59">
        <v>16</v>
      </c>
      <c r="C30" s="89" t="str">
        <f t="shared" si="1"/>
        <v>Space Mtn</v>
      </c>
      <c r="D30" s="94">
        <f t="shared" si="5"/>
        <v>5.3859370950850576E-2</v>
      </c>
      <c r="E30" s="83">
        <f t="shared" si="6"/>
        <v>5.3859370950850576E-2</v>
      </c>
      <c r="F30" s="85">
        <f t="shared" si="2"/>
        <v>9.1463414634146339E-2</v>
      </c>
      <c r="G30" s="83">
        <f t="shared" si="7"/>
        <v>249.56439084237218</v>
      </c>
      <c r="H30" s="79">
        <f t="shared" si="3"/>
        <v>75</v>
      </c>
      <c r="I30" s="139">
        <v>1</v>
      </c>
      <c r="J30" s="8">
        <v>1</v>
      </c>
      <c r="K30" s="39">
        <v>16</v>
      </c>
      <c r="L30" s="154">
        <f>VLOOKUP(C30,coord!B:D,2,0)</f>
        <v>33.811390000000003</v>
      </c>
      <c r="M30" s="155">
        <f>VLOOKUP(C30,coord!B:D,3,0)</f>
        <v>-117.91726800000001</v>
      </c>
      <c r="O30" s="66" t="s">
        <v>22</v>
      </c>
      <c r="T30" s="59">
        <v>16</v>
      </c>
      <c r="U30" s="82">
        <f t="shared" ref="U30:AK30" si="15">U11*U$20</f>
        <v>60</v>
      </c>
      <c r="V30" s="82">
        <f t="shared" si="15"/>
        <v>25</v>
      </c>
      <c r="W30" s="82">
        <f t="shared" si="15"/>
        <v>10</v>
      </c>
      <c r="X30" s="82">
        <f t="shared" si="15"/>
        <v>60</v>
      </c>
      <c r="Y30" s="82">
        <f t="shared" si="15"/>
        <v>40</v>
      </c>
      <c r="Z30" s="82">
        <f t="shared" si="15"/>
        <v>30.000000000000004</v>
      </c>
      <c r="AA30" s="82">
        <f t="shared" si="15"/>
        <v>20</v>
      </c>
      <c r="AB30" s="82">
        <f t="shared" si="15"/>
        <v>20</v>
      </c>
      <c r="AC30" s="82">
        <f t="shared" si="15"/>
        <v>60</v>
      </c>
      <c r="AD30" s="82">
        <f t="shared" si="15"/>
        <v>45</v>
      </c>
      <c r="AE30" s="82">
        <f t="shared" si="15"/>
        <v>40</v>
      </c>
      <c r="AF30" s="82">
        <f t="shared" si="15"/>
        <v>40</v>
      </c>
      <c r="AG30" s="82">
        <f t="shared" si="15"/>
        <v>40</v>
      </c>
      <c r="AH30" s="82">
        <f t="shared" si="15"/>
        <v>35</v>
      </c>
      <c r="AI30" s="82">
        <f t="shared" si="15"/>
        <v>30</v>
      </c>
      <c r="AJ30" s="82">
        <f t="shared" si="15"/>
        <v>75</v>
      </c>
      <c r="AK30" s="82">
        <f t="shared" si="15"/>
        <v>40</v>
      </c>
    </row>
    <row r="31" spans="1:38">
      <c r="A31" s="59">
        <v>17</v>
      </c>
      <c r="B31" s="59">
        <v>17</v>
      </c>
      <c r="C31" s="89" t="str">
        <f t="shared" si="1"/>
        <v>Star Tours</v>
      </c>
      <c r="D31" s="94">
        <f t="shared" si="5"/>
        <v>2.2366467553544888E-2</v>
      </c>
      <c r="E31" s="83">
        <f t="shared" si="6"/>
        <v>2.2366467553544888E-2</v>
      </c>
      <c r="F31" s="85">
        <f t="shared" si="2"/>
        <v>7.3394495412844041E-2</v>
      </c>
      <c r="G31" s="83">
        <f t="shared" si="7"/>
        <v>81.447413962744818</v>
      </c>
      <c r="H31" s="79">
        <f t="shared" si="3"/>
        <v>40</v>
      </c>
      <c r="I31" s="139">
        <v>1</v>
      </c>
      <c r="J31" s="8">
        <v>1</v>
      </c>
      <c r="K31" s="39">
        <v>17</v>
      </c>
      <c r="L31" s="154">
        <f>VLOOKUP(C31,coord!B:D,2,0)</f>
        <v>33.811883000000002</v>
      </c>
      <c r="M31" s="155">
        <f>VLOOKUP(C31,coord!B:D,3,0)</f>
        <v>-117.91792</v>
      </c>
      <c r="T31" s="59">
        <v>17</v>
      </c>
      <c r="U31" s="82">
        <f t="shared" ref="U31:AK31" si="16">U12*U$20</f>
        <v>60</v>
      </c>
      <c r="V31" s="82">
        <f t="shared" si="16"/>
        <v>25</v>
      </c>
      <c r="W31" s="82">
        <f t="shared" si="16"/>
        <v>10</v>
      </c>
      <c r="X31" s="82">
        <f t="shared" si="16"/>
        <v>60</v>
      </c>
      <c r="Y31" s="82">
        <f t="shared" si="16"/>
        <v>40</v>
      </c>
      <c r="Z31" s="82">
        <f t="shared" si="16"/>
        <v>30.000000000000004</v>
      </c>
      <c r="AA31" s="82">
        <f t="shared" si="16"/>
        <v>20</v>
      </c>
      <c r="AB31" s="82">
        <f t="shared" si="16"/>
        <v>20</v>
      </c>
      <c r="AC31" s="82">
        <f t="shared" si="16"/>
        <v>60</v>
      </c>
      <c r="AD31" s="82">
        <f t="shared" si="16"/>
        <v>40</v>
      </c>
      <c r="AE31" s="82">
        <f t="shared" si="16"/>
        <v>40</v>
      </c>
      <c r="AF31" s="82">
        <f t="shared" si="16"/>
        <v>40</v>
      </c>
      <c r="AG31" s="82">
        <f t="shared" si="16"/>
        <v>35</v>
      </c>
      <c r="AH31" s="82">
        <f t="shared" si="16"/>
        <v>30</v>
      </c>
      <c r="AI31" s="82">
        <f t="shared" si="16"/>
        <v>30</v>
      </c>
      <c r="AJ31" s="82">
        <f t="shared" si="16"/>
        <v>80</v>
      </c>
      <c r="AK31" s="82">
        <f t="shared" si="16"/>
        <v>40</v>
      </c>
    </row>
    <row r="32" spans="1:38">
      <c r="A32" s="59">
        <v>18</v>
      </c>
      <c r="B32" s="59">
        <v>15</v>
      </c>
      <c r="C32" s="91" t="str">
        <f t="shared" si="1"/>
        <v>Buzz Lightyear</v>
      </c>
      <c r="D32" s="96">
        <f t="shared" si="5"/>
        <v>9.6058656335458042E-3</v>
      </c>
      <c r="E32" s="93">
        <f t="shared" si="6"/>
        <v>9.6058656335458042E-3</v>
      </c>
      <c r="F32" s="86">
        <f t="shared" si="2"/>
        <v>6.7567567567567571E-2</v>
      </c>
      <c r="G32" s="83">
        <f t="shared" si="7"/>
        <v>32.923290655312897</v>
      </c>
      <c r="H32" s="79">
        <f t="shared" si="3"/>
        <v>25</v>
      </c>
      <c r="I32" s="139">
        <v>1</v>
      </c>
      <c r="J32" s="8">
        <v>1</v>
      </c>
      <c r="K32" s="39">
        <v>18</v>
      </c>
      <c r="L32" s="154">
        <f>VLOOKUP(C32,coord!B:D,2,0)</f>
        <v>33.812175000000003</v>
      </c>
      <c r="M32" s="155">
        <f>VLOOKUP(C32,coord!B:D,3,0)</f>
        <v>-117.917979</v>
      </c>
      <c r="T32" s="59">
        <v>18</v>
      </c>
      <c r="U32" s="82">
        <f t="shared" ref="U32:AK32" si="17">U13*U$20</f>
        <v>60</v>
      </c>
      <c r="V32" s="82">
        <f t="shared" si="17"/>
        <v>25</v>
      </c>
      <c r="W32" s="82">
        <f t="shared" si="17"/>
        <v>10</v>
      </c>
      <c r="X32" s="82">
        <f t="shared" si="17"/>
        <v>60</v>
      </c>
      <c r="Y32" s="82">
        <f t="shared" si="17"/>
        <v>40</v>
      </c>
      <c r="Z32" s="82">
        <f t="shared" si="17"/>
        <v>30.000000000000004</v>
      </c>
      <c r="AA32" s="82">
        <f t="shared" si="17"/>
        <v>15</v>
      </c>
      <c r="AB32" s="82">
        <f t="shared" si="17"/>
        <v>20</v>
      </c>
      <c r="AC32" s="82">
        <f t="shared" si="17"/>
        <v>60</v>
      </c>
      <c r="AD32" s="82">
        <f t="shared" si="17"/>
        <v>40</v>
      </c>
      <c r="AE32" s="82">
        <f t="shared" si="17"/>
        <v>35</v>
      </c>
      <c r="AF32" s="82">
        <f t="shared" si="17"/>
        <v>40</v>
      </c>
      <c r="AG32" s="82">
        <f t="shared" si="17"/>
        <v>30</v>
      </c>
      <c r="AH32" s="82">
        <f t="shared" si="17"/>
        <v>25</v>
      </c>
      <c r="AI32" s="82">
        <f t="shared" si="17"/>
        <v>25</v>
      </c>
      <c r="AJ32" s="82">
        <f t="shared" si="17"/>
        <v>80</v>
      </c>
      <c r="AK32" s="82">
        <f t="shared" si="17"/>
        <v>35</v>
      </c>
    </row>
    <row r="33" spans="1:37">
      <c r="A33" s="59">
        <v>19</v>
      </c>
      <c r="B33" s="59">
        <v>3</v>
      </c>
      <c r="C33" s="89" t="str">
        <f t="shared" si="1"/>
        <v>Tiki room</v>
      </c>
      <c r="D33" s="94">
        <f t="shared" si="5"/>
        <v>4.9195690408532458E-2</v>
      </c>
      <c r="E33" s="83">
        <f t="shared" si="6"/>
        <v>4.9195690408532458E-2</v>
      </c>
      <c r="F33" s="78">
        <f t="shared" si="2"/>
        <v>6.0606060606060608E-2</v>
      </c>
      <c r="G33" s="83">
        <f t="shared" si="7"/>
        <v>163.05880626550467</v>
      </c>
      <c r="H33" s="79">
        <f t="shared" si="3"/>
        <v>10</v>
      </c>
      <c r="I33" s="139">
        <v>1</v>
      </c>
      <c r="J33" s="8">
        <v>1</v>
      </c>
      <c r="K33" s="39">
        <v>19</v>
      </c>
      <c r="L33" s="154">
        <f>VLOOKUP(C33,coord!B:D,2,0)</f>
        <v>33.811774999999997</v>
      </c>
      <c r="M33" s="155">
        <f>VLOOKUP(C33,coord!B:D,3,0)</f>
        <v>-117.91967699999999</v>
      </c>
      <c r="T33" s="59">
        <v>19</v>
      </c>
      <c r="U33" s="82">
        <f t="shared" ref="U33:AK33" si="18">U14*U$20</f>
        <v>60</v>
      </c>
      <c r="V33" s="82">
        <f t="shared" si="18"/>
        <v>25</v>
      </c>
      <c r="W33" s="82">
        <f t="shared" si="18"/>
        <v>10</v>
      </c>
      <c r="X33" s="82">
        <f t="shared" si="18"/>
        <v>50</v>
      </c>
      <c r="Y33" s="82">
        <f t="shared" si="18"/>
        <v>40</v>
      </c>
      <c r="Z33" s="82">
        <f t="shared" si="18"/>
        <v>30.000000000000004</v>
      </c>
      <c r="AA33" s="82">
        <f t="shared" si="18"/>
        <v>15</v>
      </c>
      <c r="AB33" s="82">
        <f t="shared" si="18"/>
        <v>20</v>
      </c>
      <c r="AC33" s="82">
        <f t="shared" si="18"/>
        <v>60</v>
      </c>
      <c r="AD33" s="82">
        <f t="shared" si="18"/>
        <v>45</v>
      </c>
      <c r="AE33" s="82">
        <f t="shared" si="18"/>
        <v>30</v>
      </c>
      <c r="AF33" s="82">
        <f t="shared" si="18"/>
        <v>35</v>
      </c>
      <c r="AG33" s="82">
        <f t="shared" si="18"/>
        <v>25</v>
      </c>
      <c r="AH33" s="82">
        <f t="shared" si="18"/>
        <v>20</v>
      </c>
      <c r="AI33" s="82">
        <f t="shared" si="18"/>
        <v>20</v>
      </c>
      <c r="AJ33" s="82">
        <f t="shared" si="18"/>
        <v>70</v>
      </c>
      <c r="AK33" s="82">
        <f t="shared" si="18"/>
        <v>30</v>
      </c>
    </row>
    <row r="34" spans="1:37">
      <c r="A34" s="59">
        <v>20</v>
      </c>
      <c r="B34" s="59">
        <v>1</v>
      </c>
      <c r="C34" s="89" t="str">
        <f t="shared" si="1"/>
        <v>Indiana Jones</v>
      </c>
      <c r="D34" s="94">
        <f t="shared" si="5"/>
        <v>1.9643791909343934E-2</v>
      </c>
      <c r="E34" s="83">
        <f t="shared" si="6"/>
        <v>1.9643791909343934E-2</v>
      </c>
      <c r="F34" s="78">
        <f t="shared" si="2"/>
        <v>6.2068965517241378E-2</v>
      </c>
      <c r="G34" s="83">
        <f t="shared" si="7"/>
        <v>75.235308449802986</v>
      </c>
      <c r="H34" s="79">
        <f t="shared" si="3"/>
        <v>45</v>
      </c>
      <c r="I34" s="139">
        <v>1</v>
      </c>
      <c r="J34" s="8">
        <v>1</v>
      </c>
      <c r="K34" s="39">
        <v>20</v>
      </c>
      <c r="L34" s="154">
        <f>VLOOKUP(C34,coord!B:D,2,0)</f>
        <v>33.811404000000003</v>
      </c>
      <c r="M34" s="155">
        <f>VLOOKUP(C34,coord!B:D,3,0)</f>
        <v>-117.92035799999999</v>
      </c>
      <c r="T34" s="59">
        <v>20</v>
      </c>
      <c r="U34" s="82">
        <f t="shared" ref="U34:AK34" si="19">U15*U$20</f>
        <v>45</v>
      </c>
      <c r="V34" s="82">
        <f t="shared" si="19"/>
        <v>15</v>
      </c>
      <c r="W34" s="82">
        <f t="shared" si="19"/>
        <v>10</v>
      </c>
      <c r="X34" s="82">
        <f t="shared" si="19"/>
        <v>35</v>
      </c>
      <c r="Y34" s="82">
        <f t="shared" si="19"/>
        <v>35</v>
      </c>
      <c r="Z34" s="82">
        <f t="shared" si="19"/>
        <v>30.000000000000004</v>
      </c>
      <c r="AA34" s="82">
        <f t="shared" si="19"/>
        <v>10</v>
      </c>
      <c r="AB34" s="82">
        <f t="shared" si="19"/>
        <v>45</v>
      </c>
      <c r="AC34" s="82">
        <f t="shared" si="19"/>
        <v>45</v>
      </c>
      <c r="AD34" s="82">
        <f t="shared" si="19"/>
        <v>45</v>
      </c>
      <c r="AE34" s="82">
        <f t="shared" si="19"/>
        <v>25</v>
      </c>
      <c r="AF34" s="82">
        <f t="shared" si="19"/>
        <v>30</v>
      </c>
      <c r="AG34" s="82">
        <f t="shared" si="19"/>
        <v>20</v>
      </c>
      <c r="AH34" s="82">
        <f t="shared" si="19"/>
        <v>15</v>
      </c>
      <c r="AI34" s="82">
        <f t="shared" si="19"/>
        <v>20</v>
      </c>
      <c r="AJ34" s="82">
        <f t="shared" si="19"/>
        <v>65</v>
      </c>
      <c r="AK34" s="82">
        <f t="shared" si="19"/>
        <v>25</v>
      </c>
    </row>
    <row r="35" spans="1:37">
      <c r="A35" s="59">
        <v>21</v>
      </c>
      <c r="B35" s="59">
        <v>14</v>
      </c>
      <c r="C35" s="89" t="str">
        <f t="shared" si="1"/>
        <v>Pirates</v>
      </c>
      <c r="D35" s="94">
        <f t="shared" si="5"/>
        <v>1.0336778634729865E-2</v>
      </c>
      <c r="E35" s="83">
        <f t="shared" si="6"/>
        <v>1.0336778634729865E-2</v>
      </c>
      <c r="F35" s="78">
        <f t="shared" si="2"/>
        <v>2.6315789473684209E-2</v>
      </c>
      <c r="G35" s="83">
        <f t="shared" si="7"/>
        <v>43.627434418712667</v>
      </c>
      <c r="H35" s="79">
        <f t="shared" si="3"/>
        <v>10</v>
      </c>
      <c r="I35" s="139">
        <v>1</v>
      </c>
      <c r="J35" s="8">
        <v>1</v>
      </c>
      <c r="K35" s="39">
        <v>21</v>
      </c>
      <c r="L35" s="154">
        <f>VLOOKUP(C35,coord!B:D,2,0)</f>
        <v>33.811318999999997</v>
      </c>
      <c r="M35" s="155">
        <f>VLOOKUP(C35,coord!B:D,3,0)</f>
        <v>-117.92081899999999</v>
      </c>
      <c r="T35" s="59">
        <v>21</v>
      </c>
      <c r="U35" s="82">
        <f t="shared" ref="U35:AK35" si="20">U16*U$20</f>
        <v>40</v>
      </c>
      <c r="V35" s="82">
        <f t="shared" si="20"/>
        <v>10</v>
      </c>
      <c r="W35" s="82">
        <f t="shared" si="20"/>
        <v>10</v>
      </c>
      <c r="X35" s="82">
        <f t="shared" si="20"/>
        <v>25</v>
      </c>
      <c r="Y35" s="82">
        <f t="shared" si="20"/>
        <v>30</v>
      </c>
      <c r="Z35" s="82">
        <f t="shared" si="20"/>
        <v>25</v>
      </c>
      <c r="AA35" s="82">
        <f t="shared" si="20"/>
        <v>10</v>
      </c>
      <c r="AB35" s="82">
        <f t="shared" si="20"/>
        <v>15</v>
      </c>
      <c r="AC35" s="82">
        <f t="shared" si="20"/>
        <v>35</v>
      </c>
      <c r="AD35" s="82">
        <f t="shared" si="20"/>
        <v>40</v>
      </c>
      <c r="AE35" s="82">
        <f t="shared" si="20"/>
        <v>20</v>
      </c>
      <c r="AF35" s="82">
        <f t="shared" si="20"/>
        <v>25</v>
      </c>
      <c r="AG35" s="82">
        <f t="shared" si="20"/>
        <v>15</v>
      </c>
      <c r="AH35" s="82">
        <f t="shared" si="20"/>
        <v>10</v>
      </c>
      <c r="AI35" s="82">
        <f t="shared" si="20"/>
        <v>15</v>
      </c>
      <c r="AJ35" s="82">
        <f t="shared" si="20"/>
        <v>59.999999999999993</v>
      </c>
      <c r="AK35" s="82">
        <f t="shared" si="20"/>
        <v>20</v>
      </c>
    </row>
    <row r="36" spans="1:37">
      <c r="A36" s="59">
        <v>22</v>
      </c>
      <c r="B36" s="59">
        <v>2</v>
      </c>
      <c r="C36" s="89" t="str">
        <f t="shared" si="1"/>
        <v>Jungle Cruise</v>
      </c>
      <c r="D36" s="94">
        <f t="shared" si="5"/>
        <v>2.1857505644037514E-2</v>
      </c>
      <c r="E36" s="83">
        <f t="shared" si="6"/>
        <v>2.1857505644037514E-2</v>
      </c>
      <c r="F36" s="78">
        <f t="shared" si="2"/>
        <v>1.9607843137254902E-2</v>
      </c>
      <c r="G36" s="83">
        <f t="shared" si="7"/>
        <v>79.03822260954027</v>
      </c>
      <c r="H36" s="79">
        <f t="shared" si="3"/>
        <v>5</v>
      </c>
      <c r="I36" s="139">
        <v>1</v>
      </c>
      <c r="J36" s="8">
        <v>1</v>
      </c>
      <c r="K36" s="39">
        <v>22</v>
      </c>
      <c r="L36" s="154">
        <f>VLOOKUP(C36,coord!B:D,2,0)</f>
        <v>33.811466000000003</v>
      </c>
      <c r="M36" s="155">
        <f>VLOOKUP(C36,coord!B:D,3,0)</f>
        <v>-117.919982</v>
      </c>
      <c r="T36" s="59">
        <v>22</v>
      </c>
      <c r="U36" s="82">
        <f t="shared" ref="U36:AK36" si="21">U17*U$20</f>
        <v>35</v>
      </c>
      <c r="V36" s="82">
        <f t="shared" si="21"/>
        <v>5</v>
      </c>
      <c r="W36" s="82">
        <f t="shared" si="21"/>
        <v>10</v>
      </c>
      <c r="X36" s="82">
        <f t="shared" si="21"/>
        <v>15</v>
      </c>
      <c r="Y36" s="82">
        <f t="shared" si="21"/>
        <v>30</v>
      </c>
      <c r="Z36" s="82">
        <f t="shared" si="21"/>
        <v>25</v>
      </c>
      <c r="AA36" s="82">
        <f t="shared" si="21"/>
        <v>10</v>
      </c>
      <c r="AB36" s="82">
        <f t="shared" si="21"/>
        <v>15</v>
      </c>
      <c r="AC36" s="82">
        <f t="shared" si="21"/>
        <v>30</v>
      </c>
      <c r="AD36" s="82">
        <f t="shared" si="21"/>
        <v>40</v>
      </c>
      <c r="AE36" s="82">
        <f t="shared" si="21"/>
        <v>15</v>
      </c>
      <c r="AF36" s="82">
        <f t="shared" si="21"/>
        <v>20</v>
      </c>
      <c r="AG36" s="82">
        <f t="shared" si="21"/>
        <v>15</v>
      </c>
      <c r="AH36" s="82">
        <f t="shared" si="21"/>
        <v>10</v>
      </c>
      <c r="AI36" s="82">
        <f t="shared" si="21"/>
        <v>15</v>
      </c>
      <c r="AJ36" s="82">
        <f t="shared" si="21"/>
        <v>35</v>
      </c>
      <c r="AK36" s="82">
        <f t="shared" si="21"/>
        <v>20</v>
      </c>
    </row>
    <row r="37" spans="1:37">
      <c r="A37" s="59">
        <v>23</v>
      </c>
      <c r="B37" s="59">
        <v>4</v>
      </c>
      <c r="C37" s="89" t="str">
        <f t="shared" si="1"/>
        <v>Splash Mtn</v>
      </c>
      <c r="D37" s="94">
        <f t="shared" si="5"/>
        <v>4.6106558172381198E-2</v>
      </c>
      <c r="E37" s="83">
        <f t="shared" si="6"/>
        <v>4.6106558172381198E-2</v>
      </c>
      <c r="F37" s="78">
        <f t="shared" si="2"/>
        <v>1.9047619047619049E-2</v>
      </c>
      <c r="G37" s="83">
        <f t="shared" si="7"/>
        <v>273.1282170184997</v>
      </c>
      <c r="H37" s="79">
        <f t="shared" si="3"/>
        <v>10.000000000000002</v>
      </c>
      <c r="I37" s="139">
        <v>1</v>
      </c>
      <c r="J37" s="8">
        <v>1</v>
      </c>
      <c r="K37" s="39">
        <v>23</v>
      </c>
      <c r="L37" s="154">
        <f>VLOOKUP(C37,coord!B:D,2,0)</f>
        <v>33.812258999999997</v>
      </c>
      <c r="M37" s="155">
        <f>VLOOKUP(C37,coord!B:D,3,0)</f>
        <v>-117.92278</v>
      </c>
      <c r="T37" s="59">
        <v>23</v>
      </c>
      <c r="U37" s="82">
        <f t="shared" ref="U37:AK38" si="22">U18*U$20</f>
        <v>20</v>
      </c>
      <c r="V37" s="82">
        <f t="shared" si="22"/>
        <v>5</v>
      </c>
      <c r="W37" s="82">
        <f t="shared" si="22"/>
        <v>10</v>
      </c>
      <c r="X37" s="82">
        <f t="shared" si="22"/>
        <v>10.000000000000002</v>
      </c>
      <c r="Y37" s="82">
        <f t="shared" si="22"/>
        <v>20</v>
      </c>
      <c r="Z37" s="82">
        <f t="shared" si="22"/>
        <v>15.000000000000002</v>
      </c>
      <c r="AA37" s="82">
        <f t="shared" si="22"/>
        <v>10</v>
      </c>
      <c r="AB37" s="82">
        <f t="shared" si="22"/>
        <v>10</v>
      </c>
      <c r="AC37" s="82">
        <f t="shared" si="22"/>
        <v>30</v>
      </c>
      <c r="AD37" s="82">
        <f t="shared" si="22"/>
        <v>35</v>
      </c>
      <c r="AE37" s="82">
        <f t="shared" si="22"/>
        <v>15</v>
      </c>
      <c r="AF37" s="82">
        <f t="shared" si="22"/>
        <v>10</v>
      </c>
      <c r="AG37" s="82">
        <f t="shared" si="22"/>
        <v>10</v>
      </c>
      <c r="AH37" s="82">
        <f t="shared" si="22"/>
        <v>10</v>
      </c>
      <c r="AI37" s="82">
        <f t="shared" si="22"/>
        <v>10</v>
      </c>
      <c r="AJ37" s="82">
        <f t="shared" si="22"/>
        <v>35</v>
      </c>
      <c r="AK37" s="82">
        <f t="shared" si="22"/>
        <v>20</v>
      </c>
    </row>
    <row r="38" spans="1:37" ht="15" thickBot="1">
      <c r="A38" s="60">
        <v>24</v>
      </c>
      <c r="B38" s="60">
        <v>13</v>
      </c>
      <c r="C38" s="156" t="str">
        <f t="shared" si="1"/>
        <v>Haunted Mansion</v>
      </c>
      <c r="D38" s="97">
        <f t="shared" si="5"/>
        <v>1.6348341587255268E-2</v>
      </c>
      <c r="E38" s="105">
        <f t="shared" si="6"/>
        <v>1.6348341587255268E-2</v>
      </c>
      <c r="F38" s="80">
        <f t="shared" si="2"/>
        <v>1.2345679012345678E-2</v>
      </c>
      <c r="G38" s="105">
        <f t="shared" si="7"/>
        <v>85.530866119049492</v>
      </c>
      <c r="H38" s="81">
        <f t="shared" si="3"/>
        <v>5</v>
      </c>
      <c r="I38" s="157">
        <v>1</v>
      </c>
      <c r="J38" s="16">
        <v>1</v>
      </c>
      <c r="K38" s="147">
        <v>24</v>
      </c>
      <c r="L38" s="158">
        <f>VLOOKUP(C38,coord!B:D,2,0)</f>
        <v>33.811723000000001</v>
      </c>
      <c r="M38" s="159">
        <f>VLOOKUP(C38,coord!B:D,3,0)</f>
        <v>-117.922116</v>
      </c>
      <c r="T38" s="60">
        <v>24</v>
      </c>
      <c r="U38" s="82">
        <f t="shared" si="22"/>
        <v>20</v>
      </c>
      <c r="V38" s="82">
        <f t="shared" si="22"/>
        <v>5</v>
      </c>
      <c r="W38" s="82">
        <f t="shared" si="22"/>
        <v>5</v>
      </c>
      <c r="X38" s="82">
        <f t="shared" si="22"/>
        <v>10.000000000000002</v>
      </c>
      <c r="Y38" s="82">
        <f t="shared" si="22"/>
        <v>20</v>
      </c>
      <c r="Z38" s="82">
        <f t="shared" si="22"/>
        <v>15.000000000000002</v>
      </c>
      <c r="AA38" s="82">
        <f t="shared" si="22"/>
        <v>10</v>
      </c>
      <c r="AB38" s="82">
        <f t="shared" si="22"/>
        <v>10</v>
      </c>
      <c r="AC38" s="82">
        <f t="shared" si="22"/>
        <v>30</v>
      </c>
      <c r="AD38" s="82">
        <f t="shared" si="22"/>
        <v>35</v>
      </c>
      <c r="AE38" s="82">
        <f t="shared" si="22"/>
        <v>15</v>
      </c>
      <c r="AF38" s="82">
        <f t="shared" si="22"/>
        <v>5</v>
      </c>
      <c r="AG38" s="82">
        <f t="shared" si="22"/>
        <v>5</v>
      </c>
      <c r="AH38" s="82">
        <f t="shared" si="22"/>
        <v>10</v>
      </c>
      <c r="AI38" s="82">
        <f t="shared" si="22"/>
        <v>10</v>
      </c>
      <c r="AJ38" s="82">
        <f t="shared" si="22"/>
        <v>29.999999999999996</v>
      </c>
      <c r="AK38" s="82">
        <f t="shared" si="22"/>
        <v>15</v>
      </c>
    </row>
    <row r="39" spans="1:37" ht="15">
      <c r="A39" s="12"/>
      <c r="B39" s="8"/>
      <c r="C39" s="8"/>
      <c r="D39" s="94">
        <f>SUM(D22:D38)</f>
        <v>0.44143883243631271</v>
      </c>
      <c r="E39" s="8"/>
      <c r="F39" s="78">
        <f>SUM(F22:F38)</f>
        <v>0.77915231105781535</v>
      </c>
      <c r="G39" s="87">
        <f>SUM(G23:G38)</f>
        <v>1866.6094256478079</v>
      </c>
      <c r="H39" s="88">
        <f>SUM(H22:H38)</f>
        <v>390</v>
      </c>
      <c r="K39" s="82">
        <f>D39-SUM(D29:D32)</f>
        <v>0.3379558607715597</v>
      </c>
      <c r="L39" s="66" t="s">
        <v>31</v>
      </c>
      <c r="U39" s="54">
        <v>1</v>
      </c>
      <c r="V39" s="54">
        <v>2</v>
      </c>
      <c r="W39" s="54">
        <v>3</v>
      </c>
      <c r="X39" s="54">
        <v>4</v>
      </c>
      <c r="Y39" s="54">
        <v>5</v>
      </c>
      <c r="Z39" s="54">
        <v>6</v>
      </c>
      <c r="AA39" s="54">
        <v>7</v>
      </c>
      <c r="AB39" s="54">
        <v>8</v>
      </c>
      <c r="AC39" s="54">
        <v>9</v>
      </c>
      <c r="AD39" s="54">
        <v>10</v>
      </c>
      <c r="AE39" s="54">
        <v>11</v>
      </c>
      <c r="AF39" s="54">
        <v>12</v>
      </c>
      <c r="AG39" s="54">
        <v>13</v>
      </c>
      <c r="AH39" s="54">
        <v>14</v>
      </c>
      <c r="AI39" s="54">
        <v>15</v>
      </c>
      <c r="AJ39" s="54">
        <v>16</v>
      </c>
      <c r="AK39" s="55">
        <v>17</v>
      </c>
    </row>
    <row r="40" spans="1:37">
      <c r="A40" s="12"/>
      <c r="B40" s="61" t="s">
        <v>3</v>
      </c>
      <c r="C40" s="8"/>
      <c r="D40" s="71">
        <v>1</v>
      </c>
      <c r="E40" s="8"/>
      <c r="F40" s="71">
        <v>1</v>
      </c>
      <c r="G40" s="8"/>
      <c r="H40" s="14"/>
      <c r="K40" s="82">
        <f>F39-SUM(F29:F32)</f>
        <v>0.48334655175311658</v>
      </c>
      <c r="L40" s="66" t="s">
        <v>32</v>
      </c>
      <c r="T40" s="59">
        <v>1</v>
      </c>
      <c r="U40" s="82">
        <f>B3*B$20</f>
        <v>0</v>
      </c>
      <c r="V40" s="82">
        <f t="shared" ref="V40:AK55" si="23">C3*C$20</f>
        <v>35.41571747416252</v>
      </c>
      <c r="W40" s="82">
        <f t="shared" si="23"/>
        <v>75.235308449802986</v>
      </c>
      <c r="X40" s="82">
        <f t="shared" si="23"/>
        <v>243.12415046854719</v>
      </c>
      <c r="Y40" s="82">
        <f t="shared" si="23"/>
        <v>285.38608101250298</v>
      </c>
      <c r="Z40" s="82">
        <f t="shared" si="23"/>
        <v>289.17855867575389</v>
      </c>
      <c r="AA40" s="82">
        <f t="shared" si="23"/>
        <v>422.239931684601</v>
      </c>
      <c r="AB40" s="82">
        <f t="shared" si="23"/>
        <v>299.18469658294089</v>
      </c>
      <c r="AC40" s="82">
        <f t="shared" si="23"/>
        <v>294.34674965435448</v>
      </c>
      <c r="AD40" s="82">
        <f t="shared" si="23"/>
        <v>243.58872607986009</v>
      </c>
      <c r="AE40" s="82">
        <f t="shared" si="23"/>
        <v>203.00393542072791</v>
      </c>
      <c r="AF40" s="82">
        <f t="shared" si="23"/>
        <v>476.53795812918798</v>
      </c>
      <c r="AG40" s="82">
        <f t="shared" si="23"/>
        <v>166.24766329420825</v>
      </c>
      <c r="AH40" s="82">
        <f t="shared" si="23"/>
        <v>43.627434418712667</v>
      </c>
      <c r="AI40" s="82">
        <f t="shared" si="23"/>
        <v>235.9205617282789</v>
      </c>
      <c r="AJ40" s="82">
        <f t="shared" si="23"/>
        <v>285.48610254472004</v>
      </c>
      <c r="AK40" s="82">
        <f t="shared" si="23"/>
        <v>231.45532036128384</v>
      </c>
    </row>
    <row r="41" spans="1:37">
      <c r="A41" s="12"/>
      <c r="B41" s="8"/>
      <c r="C41" s="8"/>
      <c r="D41" s="8"/>
      <c r="E41" s="8"/>
      <c r="F41" s="8"/>
      <c r="G41" s="8"/>
      <c r="H41" s="14"/>
      <c r="T41" s="59">
        <v>2</v>
      </c>
      <c r="U41" s="82">
        <f>B4*B$20</f>
        <v>35.41571747416252</v>
      </c>
      <c r="V41" s="82">
        <f t="shared" si="23"/>
        <v>0</v>
      </c>
      <c r="W41" s="82">
        <f t="shared" si="23"/>
        <v>44.436335182955069</v>
      </c>
      <c r="X41" s="82">
        <f t="shared" si="23"/>
        <v>273.1282170184997</v>
      </c>
      <c r="Y41" s="82">
        <f t="shared" si="23"/>
        <v>257.94215654492939</v>
      </c>
      <c r="Z41" s="82">
        <f t="shared" si="23"/>
        <v>268.18432904191525</v>
      </c>
      <c r="AA41" s="82">
        <f t="shared" si="23"/>
        <v>398.14575455830294</v>
      </c>
      <c r="AB41" s="82">
        <f t="shared" si="23"/>
        <v>273.11509923526529</v>
      </c>
      <c r="AC41" s="82">
        <f t="shared" si="23"/>
        <v>263.58393767409399</v>
      </c>
      <c r="AD41" s="82">
        <f t="shared" si="23"/>
        <v>219.53121870866025</v>
      </c>
      <c r="AE41" s="82">
        <f t="shared" si="23"/>
        <v>200.11373184634655</v>
      </c>
      <c r="AF41" s="82">
        <f t="shared" si="23"/>
        <v>456.11462948302591</v>
      </c>
      <c r="AG41" s="82">
        <f t="shared" si="23"/>
        <v>199.21786127021554</v>
      </c>
      <c r="AH41" s="82">
        <f t="shared" si="23"/>
        <v>79.03822260954027</v>
      </c>
      <c r="AI41" s="82">
        <f t="shared" si="23"/>
        <v>201.14756751767686</v>
      </c>
      <c r="AJ41" s="82">
        <f t="shared" si="23"/>
        <v>250.88589035856424</v>
      </c>
      <c r="AK41" s="82">
        <f t="shared" si="23"/>
        <v>196.0671434542468</v>
      </c>
    </row>
    <row r="42" spans="1:37" ht="15" thickBot="1">
      <c r="A42" s="41"/>
      <c r="B42" s="16"/>
      <c r="C42" s="97">
        <f>D39*D40</f>
        <v>0.44143883243631271</v>
      </c>
      <c r="D42" s="16"/>
      <c r="E42" s="80">
        <f>F39*F40</f>
        <v>0.77915231105781535</v>
      </c>
      <c r="F42" s="16"/>
      <c r="G42" s="64" t="s">
        <v>8</v>
      </c>
      <c r="H42" s="98">
        <f>E42+C42</f>
        <v>1.2205911434941281</v>
      </c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59">
        <v>3</v>
      </c>
      <c r="U42" s="82">
        <f t="shared" ref="U42:AJ56" si="24">B5*B$20</f>
        <v>75.235308449802986</v>
      </c>
      <c r="V42" s="82">
        <f t="shared" si="23"/>
        <v>44.436335182955069</v>
      </c>
      <c r="W42" s="82">
        <f t="shared" si="23"/>
        <v>0</v>
      </c>
      <c r="X42" s="82">
        <f t="shared" si="23"/>
        <v>291.68873208474383</v>
      </c>
      <c r="Y42" s="82">
        <f t="shared" si="23"/>
        <v>213.54567105456343</v>
      </c>
      <c r="Z42" s="82">
        <f t="shared" si="23"/>
        <v>226.12164826396045</v>
      </c>
      <c r="AA42" s="82">
        <f t="shared" si="23"/>
        <v>354.40223799523591</v>
      </c>
      <c r="AB42" s="82">
        <f t="shared" si="23"/>
        <v>228.93534948956807</v>
      </c>
      <c r="AC42" s="82">
        <f t="shared" si="23"/>
        <v>219.64957303895184</v>
      </c>
      <c r="AD42" s="82">
        <f t="shared" si="23"/>
        <v>176.13361760590169</v>
      </c>
      <c r="AE42" s="82">
        <f t="shared" si="23"/>
        <v>175.53810902631469</v>
      </c>
      <c r="AF42" s="82">
        <f t="shared" si="23"/>
        <v>413.86441663557724</v>
      </c>
      <c r="AG42" s="82">
        <f t="shared" si="23"/>
        <v>225.40989687633373</v>
      </c>
      <c r="AH42" s="82">
        <f t="shared" si="23"/>
        <v>117.05948454950837</v>
      </c>
      <c r="AI42" s="82">
        <f t="shared" si="23"/>
        <v>163.05880626550467</v>
      </c>
      <c r="AJ42" s="82">
        <f t="shared" si="23"/>
        <v>226.64433982944462</v>
      </c>
      <c r="AK42" s="82">
        <f t="shared" si="23"/>
        <v>162.77018054803818</v>
      </c>
    </row>
    <row r="43" spans="1:37">
      <c r="T43" s="59">
        <v>4</v>
      </c>
      <c r="U43" s="82">
        <f t="shared" si="24"/>
        <v>243.12415046854719</v>
      </c>
      <c r="V43" s="82">
        <f t="shared" si="23"/>
        <v>273.1282170184997</v>
      </c>
      <c r="W43" s="82">
        <f t="shared" si="23"/>
        <v>291.68873208474383</v>
      </c>
      <c r="X43" s="82">
        <f t="shared" si="23"/>
        <v>0</v>
      </c>
      <c r="Y43" s="82">
        <f t="shared" si="23"/>
        <v>430.58523917795372</v>
      </c>
      <c r="Z43" s="82">
        <f t="shared" si="23"/>
        <v>393.65678799828754</v>
      </c>
      <c r="AA43" s="82">
        <f t="shared" si="23"/>
        <v>523.92586826058493</v>
      </c>
      <c r="AB43" s="82">
        <f t="shared" si="23"/>
        <v>433.02117322658592</v>
      </c>
      <c r="AC43" s="82">
        <f t="shared" si="23"/>
        <v>460.99990848306385</v>
      </c>
      <c r="AD43" s="82">
        <f t="shared" si="23"/>
        <v>377.39239285121079</v>
      </c>
      <c r="AE43" s="82">
        <f t="shared" si="23"/>
        <v>243.50268764516562</v>
      </c>
      <c r="AF43" s="82">
        <f t="shared" si="23"/>
        <v>545.19424297983869</v>
      </c>
      <c r="AG43" s="82">
        <f t="shared" si="23"/>
        <v>85.530866119049492</v>
      </c>
      <c r="AH43" s="82">
        <f t="shared" si="23"/>
        <v>209.16282830150311</v>
      </c>
      <c r="AI43" s="82">
        <f t="shared" si="23"/>
        <v>443.65343531531391</v>
      </c>
      <c r="AJ43" s="82">
        <f t="shared" si="23"/>
        <v>518.33181927135797</v>
      </c>
      <c r="AK43" s="82">
        <f t="shared" si="23"/>
        <v>450.94909994727891</v>
      </c>
    </row>
    <row r="44" spans="1:37">
      <c r="T44" s="59">
        <v>5</v>
      </c>
      <c r="U44" s="82">
        <f t="shared" si="24"/>
        <v>285.38608101250298</v>
      </c>
      <c r="V44" s="82">
        <f t="shared" si="23"/>
        <v>257.94215654492939</v>
      </c>
      <c r="W44" s="82">
        <f t="shared" si="23"/>
        <v>213.54567105456346</v>
      </c>
      <c r="X44" s="82">
        <f t="shared" si="23"/>
        <v>430.58523917795367</v>
      </c>
      <c r="Y44" s="82">
        <f t="shared" si="23"/>
        <v>0</v>
      </c>
      <c r="Z44" s="82">
        <f t="shared" si="23"/>
        <v>69.455125502039664</v>
      </c>
      <c r="AA44" s="82">
        <f t="shared" si="23"/>
        <v>146.08932876096961</v>
      </c>
      <c r="AB44" s="82">
        <f t="shared" si="23"/>
        <v>21.968778976333269</v>
      </c>
      <c r="AC44" s="82">
        <f t="shared" si="23"/>
        <v>46.120406617537434</v>
      </c>
      <c r="AD44" s="82">
        <f t="shared" si="23"/>
        <v>53.25280228115453</v>
      </c>
      <c r="AE44" s="82">
        <f t="shared" si="23"/>
        <v>196.18586926043142</v>
      </c>
      <c r="AF44" s="82">
        <f t="shared" si="23"/>
        <v>217.34893875517614</v>
      </c>
      <c r="AG44" s="82">
        <f t="shared" si="23"/>
        <v>394.82939421009377</v>
      </c>
      <c r="AH44" s="82">
        <f t="shared" si="23"/>
        <v>321.85836784012554</v>
      </c>
      <c r="AI44" s="82">
        <f t="shared" si="23"/>
        <v>130.10141514607648</v>
      </c>
      <c r="AJ44" s="82">
        <f t="shared" si="23"/>
        <v>234.1745320258795</v>
      </c>
      <c r="AK44" s="82">
        <f t="shared" si="23"/>
        <v>162.97627457082967</v>
      </c>
    </row>
    <row r="45" spans="1:37">
      <c r="C45" s="66" t="s">
        <v>64</v>
      </c>
      <c r="G45" s="82">
        <f>G39*3</f>
        <v>5599.8282769434236</v>
      </c>
      <c r="T45" s="59">
        <v>6</v>
      </c>
      <c r="U45" s="82">
        <f t="shared" si="24"/>
        <v>289.17855867575389</v>
      </c>
      <c r="V45" s="82">
        <f t="shared" si="23"/>
        <v>268.18432904191525</v>
      </c>
      <c r="W45" s="82">
        <f t="shared" si="23"/>
        <v>226.1216482639604</v>
      </c>
      <c r="X45" s="82">
        <f t="shared" si="23"/>
        <v>393.65678799828754</v>
      </c>
      <c r="Y45" s="82">
        <f t="shared" si="23"/>
        <v>69.455125502039664</v>
      </c>
      <c r="Z45" s="82">
        <f t="shared" si="23"/>
        <v>0</v>
      </c>
      <c r="AA45" s="82">
        <f t="shared" si="23"/>
        <v>137.10365996034804</v>
      </c>
      <c r="AB45" s="82">
        <f t="shared" si="23"/>
        <v>54.816916820998749</v>
      </c>
      <c r="AC45" s="82">
        <f t="shared" si="23"/>
        <v>115.54084629340073</v>
      </c>
      <c r="AD45" s="82">
        <f t="shared" si="23"/>
        <v>55.11594960765737</v>
      </c>
      <c r="AE45" s="82">
        <f t="shared" si="23"/>
        <v>150.6555634966613</v>
      </c>
      <c r="AF45" s="82">
        <f t="shared" si="23"/>
        <v>187.93059434003794</v>
      </c>
      <c r="AG45" s="82">
        <f t="shared" si="23"/>
        <v>370.49370442246158</v>
      </c>
      <c r="AH45" s="82">
        <f t="shared" si="23"/>
        <v>319.2524065418915</v>
      </c>
      <c r="AI45" s="82">
        <f t="shared" si="23"/>
        <v>189.22843379725697</v>
      </c>
      <c r="AJ45" s="82">
        <f t="shared" si="23"/>
        <v>297.2839405593038</v>
      </c>
      <c r="AK45" s="82">
        <f t="shared" si="23"/>
        <v>220.94920483065883</v>
      </c>
    </row>
    <row r="46" spans="1:37">
      <c r="C46" s="66" t="s">
        <v>65</v>
      </c>
      <c r="G46" s="82">
        <f>G45/5280</f>
        <v>1.0605735372998908</v>
      </c>
      <c r="T46" s="59">
        <v>7</v>
      </c>
      <c r="U46" s="82">
        <f t="shared" si="24"/>
        <v>422.239931684601</v>
      </c>
      <c r="V46" s="82">
        <f t="shared" si="23"/>
        <v>398.14575455830294</v>
      </c>
      <c r="W46" s="82">
        <f t="shared" si="23"/>
        <v>354.40223799523591</v>
      </c>
      <c r="X46" s="82">
        <f t="shared" si="23"/>
        <v>523.92586826058493</v>
      </c>
      <c r="Y46" s="82">
        <f t="shared" si="23"/>
        <v>146.08932876096961</v>
      </c>
      <c r="Z46" s="82">
        <f t="shared" si="23"/>
        <v>137.10365996034804</v>
      </c>
      <c r="AA46" s="82">
        <f t="shared" si="23"/>
        <v>0</v>
      </c>
      <c r="AB46" s="82">
        <f t="shared" si="23"/>
        <v>127.04302098859858</v>
      </c>
      <c r="AC46" s="82">
        <f t="shared" si="23"/>
        <v>166.51786372548233</v>
      </c>
      <c r="AD46" s="82">
        <f t="shared" si="23"/>
        <v>178.79249083232051</v>
      </c>
      <c r="AE46" s="82">
        <f t="shared" si="23"/>
        <v>281.09763747137629</v>
      </c>
      <c r="AF46" s="82">
        <f t="shared" si="23"/>
        <v>80.985227741250185</v>
      </c>
      <c r="AG46" s="82">
        <f t="shared" si="23"/>
        <v>506.4497087106385</v>
      </c>
      <c r="AH46" s="82">
        <f t="shared" si="23"/>
        <v>454.60608976349624</v>
      </c>
      <c r="AI46" s="82">
        <f t="shared" si="23"/>
        <v>266.95448741353545</v>
      </c>
      <c r="AJ46" s="82">
        <f t="shared" si="23"/>
        <v>357.85686355779404</v>
      </c>
      <c r="AK46" s="82">
        <f t="shared" si="23"/>
        <v>299.2056517337632</v>
      </c>
    </row>
    <row r="47" spans="1:37">
      <c r="C47" s="66" t="s">
        <v>66</v>
      </c>
      <c r="G47" s="82">
        <f>H39/60</f>
        <v>6.5</v>
      </c>
      <c r="T47" s="59">
        <v>8</v>
      </c>
      <c r="U47" s="82">
        <f t="shared" si="24"/>
        <v>299.18469658294089</v>
      </c>
      <c r="V47" s="82">
        <f t="shared" si="23"/>
        <v>273.11509923526529</v>
      </c>
      <c r="W47" s="82">
        <f t="shared" si="23"/>
        <v>228.93534948956807</v>
      </c>
      <c r="X47" s="82">
        <f t="shared" si="23"/>
        <v>433.02117322658592</v>
      </c>
      <c r="Y47" s="82">
        <f t="shared" si="23"/>
        <v>21.968778976333269</v>
      </c>
      <c r="Z47" s="82">
        <f t="shared" si="23"/>
        <v>54.816916820998742</v>
      </c>
      <c r="AA47" s="82">
        <f t="shared" si="23"/>
        <v>127.04302098859857</v>
      </c>
      <c r="AB47" s="82">
        <f t="shared" si="23"/>
        <v>0</v>
      </c>
      <c r="AC47" s="82">
        <f t="shared" si="23"/>
        <v>63.794208341811625</v>
      </c>
      <c r="AD47" s="82">
        <f t="shared" si="23"/>
        <v>58.440074323805938</v>
      </c>
      <c r="AE47" s="82">
        <f t="shared" si="23"/>
        <v>194.30568622833704</v>
      </c>
      <c r="AF47" s="82">
        <f t="shared" si="23"/>
        <v>196.24129880676139</v>
      </c>
      <c r="AG47" s="82">
        <f t="shared" si="23"/>
        <v>401.34210495569926</v>
      </c>
      <c r="AH47" s="82">
        <f t="shared" si="23"/>
        <v>334.23445421028055</v>
      </c>
      <c r="AI47" s="82">
        <f t="shared" si="23"/>
        <v>152.05756119461753</v>
      </c>
      <c r="AJ47" s="82">
        <f t="shared" si="23"/>
        <v>255.62654057901639</v>
      </c>
      <c r="AK47" s="82">
        <f t="shared" si="23"/>
        <v>184.93928790034644</v>
      </c>
    </row>
    <row r="48" spans="1:37">
      <c r="C48" s="66" t="s">
        <v>67</v>
      </c>
      <c r="G48" s="82">
        <f>SUM(D29:D32)/D39</f>
        <v>0.23442199476114889</v>
      </c>
      <c r="T48" s="59">
        <v>9</v>
      </c>
      <c r="U48" s="82">
        <f t="shared" si="24"/>
        <v>294.34674965435448</v>
      </c>
      <c r="V48" s="82">
        <f t="shared" si="23"/>
        <v>263.58393767409399</v>
      </c>
      <c r="W48" s="82">
        <f t="shared" si="23"/>
        <v>219.64957303895184</v>
      </c>
      <c r="X48" s="82">
        <f t="shared" si="23"/>
        <v>460.99990848306379</v>
      </c>
      <c r="Y48" s="82">
        <f t="shared" si="23"/>
        <v>46.120406617537434</v>
      </c>
      <c r="Z48" s="82">
        <f t="shared" si="23"/>
        <v>115.54084629340075</v>
      </c>
      <c r="AA48" s="82">
        <f t="shared" si="23"/>
        <v>166.51786372548233</v>
      </c>
      <c r="AB48" s="82">
        <f t="shared" si="23"/>
        <v>63.794208341811625</v>
      </c>
      <c r="AC48" s="82">
        <f t="shared" si="23"/>
        <v>0</v>
      </c>
      <c r="AD48" s="82">
        <f t="shared" si="23"/>
        <v>90.664956666995778</v>
      </c>
      <c r="AE48" s="82">
        <f t="shared" si="23"/>
        <v>234.26543137137057</v>
      </c>
      <c r="AF48" s="82">
        <f t="shared" si="23"/>
        <v>244.21262443256944</v>
      </c>
      <c r="AG48" s="82">
        <f t="shared" si="23"/>
        <v>418.58691675179392</v>
      </c>
      <c r="AH48" s="82">
        <f t="shared" si="23"/>
        <v>333.91043574757589</v>
      </c>
      <c r="AI48" s="82">
        <f t="shared" si="23"/>
        <v>100.53876287995733</v>
      </c>
      <c r="AJ48" s="82">
        <f t="shared" si="23"/>
        <v>196.03012242617947</v>
      </c>
      <c r="AK48" s="82">
        <f t="shared" si="23"/>
        <v>132.68848704068344</v>
      </c>
    </row>
    <row r="49" spans="3:37">
      <c r="C49" s="66" t="s">
        <v>68</v>
      </c>
      <c r="G49" s="82">
        <f>SUM(F29:F32)/F39</f>
        <v>0.37965075006079158</v>
      </c>
      <c r="T49" s="59">
        <v>10</v>
      </c>
      <c r="U49" s="82">
        <f t="shared" si="24"/>
        <v>243.58872607986012</v>
      </c>
      <c r="V49" s="82">
        <f t="shared" si="23"/>
        <v>219.53121870866028</v>
      </c>
      <c r="W49" s="82">
        <f t="shared" si="23"/>
        <v>176.13361760590169</v>
      </c>
      <c r="X49" s="82">
        <f t="shared" si="23"/>
        <v>377.39239285121079</v>
      </c>
      <c r="Y49" s="82">
        <f t="shared" si="23"/>
        <v>53.252802281154523</v>
      </c>
      <c r="Z49" s="82">
        <f t="shared" si="23"/>
        <v>55.115949607657363</v>
      </c>
      <c r="AA49" s="82">
        <f t="shared" si="23"/>
        <v>178.79249083232051</v>
      </c>
      <c r="AB49" s="82">
        <f t="shared" si="23"/>
        <v>58.440074323805938</v>
      </c>
      <c r="AC49" s="82">
        <f t="shared" si="23"/>
        <v>90.664956666995778</v>
      </c>
      <c r="AD49" s="82">
        <f t="shared" si="23"/>
        <v>0</v>
      </c>
      <c r="AE49" s="82">
        <f t="shared" si="23"/>
        <v>144.14840241197871</v>
      </c>
      <c r="AF49" s="82">
        <f t="shared" si="23"/>
        <v>238.93956076898073</v>
      </c>
      <c r="AG49" s="82">
        <f t="shared" si="23"/>
        <v>343.23800472175236</v>
      </c>
      <c r="AH49" s="82">
        <f t="shared" si="23"/>
        <v>277.19471876766289</v>
      </c>
      <c r="AI49" s="82">
        <f t="shared" si="23"/>
        <v>140.34652822183338</v>
      </c>
      <c r="AJ49" s="82">
        <f t="shared" si="23"/>
        <v>249.56439084237218</v>
      </c>
      <c r="AK49" s="82">
        <f t="shared" si="23"/>
        <v>170.59544177993732</v>
      </c>
    </row>
    <row r="50" spans="3:37">
      <c r="T50" s="59">
        <v>11</v>
      </c>
      <c r="U50" s="82">
        <f t="shared" si="24"/>
        <v>203.00393542072791</v>
      </c>
      <c r="V50" s="82">
        <f t="shared" si="23"/>
        <v>200.11373184634655</v>
      </c>
      <c r="W50" s="82">
        <f t="shared" si="23"/>
        <v>175.53810902631469</v>
      </c>
      <c r="X50" s="82">
        <f t="shared" si="23"/>
        <v>243.50268764516565</v>
      </c>
      <c r="Y50" s="82">
        <f t="shared" si="23"/>
        <v>196.18586926043142</v>
      </c>
      <c r="Z50" s="82">
        <f t="shared" si="23"/>
        <v>150.6555634966613</v>
      </c>
      <c r="AA50" s="82">
        <f t="shared" si="23"/>
        <v>281.09763747137629</v>
      </c>
      <c r="AB50" s="82">
        <f t="shared" si="23"/>
        <v>194.30568622833704</v>
      </c>
      <c r="AC50" s="82">
        <f t="shared" si="23"/>
        <v>234.26543137137054</v>
      </c>
      <c r="AD50" s="82">
        <f t="shared" si="23"/>
        <v>144.14840241197871</v>
      </c>
      <c r="AE50" s="82">
        <f t="shared" si="23"/>
        <v>0</v>
      </c>
      <c r="AF50" s="82">
        <f t="shared" si="23"/>
        <v>310.40995171196965</v>
      </c>
      <c r="AG50" s="82">
        <f t="shared" si="23"/>
        <v>229.52406256746684</v>
      </c>
      <c r="AH50" s="82">
        <f t="shared" si="23"/>
        <v>215.60524896378325</v>
      </c>
      <c r="AI50" s="82">
        <f t="shared" si="23"/>
        <v>253.90774206554252</v>
      </c>
      <c r="AJ50" s="82">
        <f t="shared" si="23"/>
        <v>355.60542381889445</v>
      </c>
      <c r="AK50" s="82">
        <f t="shared" si="23"/>
        <v>274.98992588644165</v>
      </c>
    </row>
    <row r="51" spans="3:37">
      <c r="T51" s="59">
        <v>12</v>
      </c>
      <c r="U51" s="82">
        <f t="shared" si="24"/>
        <v>476.53795812918798</v>
      </c>
      <c r="V51" s="82">
        <f t="shared" si="23"/>
        <v>456.11462948302585</v>
      </c>
      <c r="W51" s="82">
        <f t="shared" si="23"/>
        <v>413.86441663557724</v>
      </c>
      <c r="X51" s="82">
        <f t="shared" si="23"/>
        <v>545.19424297983869</v>
      </c>
      <c r="Y51" s="82">
        <f t="shared" si="23"/>
        <v>217.34893875517614</v>
      </c>
      <c r="Z51" s="82">
        <f t="shared" si="23"/>
        <v>187.93059434003794</v>
      </c>
      <c r="AA51" s="82">
        <f t="shared" si="23"/>
        <v>80.985227741250185</v>
      </c>
      <c r="AB51" s="82">
        <f t="shared" si="23"/>
        <v>196.24129880676139</v>
      </c>
      <c r="AC51" s="82">
        <f t="shared" si="23"/>
        <v>244.21262443256944</v>
      </c>
      <c r="AD51" s="82">
        <f t="shared" si="23"/>
        <v>238.93956076898073</v>
      </c>
      <c r="AE51" s="82">
        <f t="shared" si="23"/>
        <v>310.40995171196965</v>
      </c>
      <c r="AF51" s="82">
        <f t="shared" si="23"/>
        <v>0</v>
      </c>
      <c r="AG51" s="82">
        <f t="shared" si="23"/>
        <v>539.93396275766452</v>
      </c>
      <c r="AH51" s="82">
        <f t="shared" si="23"/>
        <v>504.71867173682426</v>
      </c>
      <c r="AI51" s="82">
        <f t="shared" si="23"/>
        <v>343.71766130424044</v>
      </c>
      <c r="AJ51" s="82">
        <f t="shared" si="23"/>
        <v>437.85195352068683</v>
      </c>
      <c r="AK51" s="82">
        <f t="shared" si="23"/>
        <v>376.39033374729303</v>
      </c>
    </row>
    <row r="52" spans="3:37">
      <c r="T52" s="59">
        <v>13</v>
      </c>
      <c r="U52" s="82">
        <f t="shared" si="24"/>
        <v>166.24766329420825</v>
      </c>
      <c r="V52" s="82">
        <f t="shared" si="23"/>
        <v>199.21786127021554</v>
      </c>
      <c r="W52" s="82">
        <f t="shared" si="23"/>
        <v>225.40989687633373</v>
      </c>
      <c r="X52" s="82">
        <f t="shared" si="23"/>
        <v>85.530866119049492</v>
      </c>
      <c r="Y52" s="82">
        <f t="shared" si="23"/>
        <v>394.82939421009377</v>
      </c>
      <c r="Z52" s="82">
        <f t="shared" si="23"/>
        <v>370.49370442246158</v>
      </c>
      <c r="AA52" s="82">
        <f t="shared" si="23"/>
        <v>506.44970871063845</v>
      </c>
      <c r="AB52" s="82">
        <f t="shared" si="23"/>
        <v>401.34210495569926</v>
      </c>
      <c r="AC52" s="82">
        <f t="shared" si="23"/>
        <v>418.58691675179392</v>
      </c>
      <c r="AD52" s="82">
        <f t="shared" si="23"/>
        <v>343.23800472175242</v>
      </c>
      <c r="AE52" s="82">
        <f t="shared" si="23"/>
        <v>229.52406256746684</v>
      </c>
      <c r="AF52" s="82">
        <f t="shared" si="23"/>
        <v>539.93396275766452</v>
      </c>
      <c r="AG52" s="82">
        <f t="shared" si="23"/>
        <v>0</v>
      </c>
      <c r="AH52" s="82">
        <f t="shared" si="23"/>
        <v>127.9721607205676</v>
      </c>
      <c r="AI52" s="82">
        <f t="shared" si="23"/>
        <v>385.50102343587747</v>
      </c>
      <c r="AJ52" s="82">
        <f t="shared" si="23"/>
        <v>449.4287392065018</v>
      </c>
      <c r="AK52" s="82">
        <f t="shared" si="23"/>
        <v>388.07023356065002</v>
      </c>
    </row>
    <row r="53" spans="3:37">
      <c r="T53" s="59">
        <v>14</v>
      </c>
      <c r="U53" s="82">
        <f t="shared" si="24"/>
        <v>43.627434418712667</v>
      </c>
      <c r="V53" s="82">
        <f t="shared" si="23"/>
        <v>79.03822260954027</v>
      </c>
      <c r="W53" s="82">
        <f t="shared" si="23"/>
        <v>117.05948454950837</v>
      </c>
      <c r="X53" s="82">
        <f t="shared" si="23"/>
        <v>209.16282830150311</v>
      </c>
      <c r="Y53" s="82">
        <f t="shared" si="23"/>
        <v>321.85836784012554</v>
      </c>
      <c r="Z53" s="82">
        <f t="shared" si="23"/>
        <v>319.2524065418915</v>
      </c>
      <c r="AA53" s="82">
        <f t="shared" si="23"/>
        <v>454.60608976349624</v>
      </c>
      <c r="AB53" s="82">
        <f t="shared" si="23"/>
        <v>334.23445421028055</v>
      </c>
      <c r="AC53" s="82">
        <f t="shared" si="23"/>
        <v>333.91043574757589</v>
      </c>
      <c r="AD53" s="82">
        <f t="shared" si="23"/>
        <v>277.19471876766289</v>
      </c>
      <c r="AE53" s="82">
        <f t="shared" si="23"/>
        <v>215.60524896378325</v>
      </c>
      <c r="AF53" s="82">
        <f t="shared" si="23"/>
        <v>504.71867173682426</v>
      </c>
      <c r="AG53" s="82">
        <f t="shared" si="23"/>
        <v>127.9721607205676</v>
      </c>
      <c r="AH53" s="82">
        <f t="shared" si="23"/>
        <v>0</v>
      </c>
      <c r="AI53" s="82">
        <f t="shared" si="23"/>
        <v>279.11449624635367</v>
      </c>
      <c r="AJ53" s="82">
        <f t="shared" si="23"/>
        <v>328.16830545471561</v>
      </c>
      <c r="AK53" s="82">
        <f t="shared" si="23"/>
        <v>275.07923904373905</v>
      </c>
    </row>
    <row r="54" spans="3:37">
      <c r="T54" s="59">
        <v>15</v>
      </c>
      <c r="U54" s="82">
        <f t="shared" si="24"/>
        <v>235.9205617282789</v>
      </c>
      <c r="V54" s="82">
        <f t="shared" si="23"/>
        <v>201.14756751767686</v>
      </c>
      <c r="W54" s="82">
        <f t="shared" si="23"/>
        <v>163.05880626550467</v>
      </c>
      <c r="X54" s="82">
        <f t="shared" si="23"/>
        <v>443.65343531531403</v>
      </c>
      <c r="Y54" s="82">
        <f t="shared" si="23"/>
        <v>130.10141514607648</v>
      </c>
      <c r="Z54" s="82">
        <f t="shared" si="23"/>
        <v>189.22843379725697</v>
      </c>
      <c r="AA54" s="82">
        <f t="shared" si="23"/>
        <v>266.95448741353545</v>
      </c>
      <c r="AB54" s="82">
        <f t="shared" si="23"/>
        <v>152.05756119461753</v>
      </c>
      <c r="AC54" s="82">
        <f t="shared" si="23"/>
        <v>100.53876287995733</v>
      </c>
      <c r="AD54" s="82">
        <f t="shared" si="23"/>
        <v>140.34652822183338</v>
      </c>
      <c r="AE54" s="82">
        <f t="shared" si="23"/>
        <v>253.90774206554249</v>
      </c>
      <c r="AF54" s="82">
        <f t="shared" si="23"/>
        <v>343.71766130424044</v>
      </c>
      <c r="AG54" s="82">
        <f t="shared" si="23"/>
        <v>385.50102343587753</v>
      </c>
      <c r="AH54" s="82">
        <f t="shared" si="23"/>
        <v>279.11449624635367</v>
      </c>
      <c r="AI54" s="82">
        <f t="shared" si="23"/>
        <v>0</v>
      </c>
      <c r="AJ54" s="82">
        <f t="shared" si="23"/>
        <v>109.24350736136221</v>
      </c>
      <c r="AK54" s="82">
        <f t="shared" si="23"/>
        <v>32.923290655312897</v>
      </c>
    </row>
    <row r="55" spans="3:37">
      <c r="T55" s="59">
        <v>16</v>
      </c>
      <c r="U55" s="82">
        <f t="shared" si="24"/>
        <v>285.48610254472004</v>
      </c>
      <c r="V55" s="82">
        <f t="shared" si="23"/>
        <v>250.88589035856424</v>
      </c>
      <c r="W55" s="82">
        <f t="shared" si="23"/>
        <v>226.64433982944459</v>
      </c>
      <c r="X55" s="82">
        <f t="shared" si="23"/>
        <v>518.33181927135797</v>
      </c>
      <c r="Y55" s="82">
        <f t="shared" si="23"/>
        <v>234.17453202587953</v>
      </c>
      <c r="Z55" s="82">
        <f t="shared" si="23"/>
        <v>297.2839405593038</v>
      </c>
      <c r="AA55" s="82">
        <f t="shared" si="23"/>
        <v>357.85686355779404</v>
      </c>
      <c r="AB55" s="82">
        <f t="shared" si="23"/>
        <v>255.62654057901639</v>
      </c>
      <c r="AC55" s="82">
        <f t="shared" si="23"/>
        <v>196.03012242617947</v>
      </c>
      <c r="AD55" s="82">
        <f t="shared" si="23"/>
        <v>249.56439084237218</v>
      </c>
      <c r="AE55" s="82">
        <f t="shared" si="23"/>
        <v>355.60542381889445</v>
      </c>
      <c r="AF55" s="82">
        <f t="shared" si="23"/>
        <v>437.85195352068683</v>
      </c>
      <c r="AG55" s="82">
        <f t="shared" si="23"/>
        <v>449.42873920650186</v>
      </c>
      <c r="AH55" s="82">
        <f t="shared" si="23"/>
        <v>328.16830545471561</v>
      </c>
      <c r="AI55" s="82">
        <f t="shared" si="23"/>
        <v>109.24350736136221</v>
      </c>
      <c r="AJ55" s="82">
        <f t="shared" si="23"/>
        <v>0</v>
      </c>
      <c r="AK55" s="82">
        <f t="shared" ref="AK55:AK56" si="25">R18*R$20</f>
        <v>81.447413962744818</v>
      </c>
    </row>
    <row r="56" spans="3:37" ht="15" thickBot="1">
      <c r="T56" s="60">
        <v>17</v>
      </c>
      <c r="U56" s="82">
        <f t="shared" si="24"/>
        <v>231.45532036128384</v>
      </c>
      <c r="V56" s="82">
        <f t="shared" si="24"/>
        <v>196.0671434542468</v>
      </c>
      <c r="W56" s="82">
        <f t="shared" si="24"/>
        <v>162.77018054803818</v>
      </c>
      <c r="X56" s="82">
        <f t="shared" si="24"/>
        <v>450.94909994727897</v>
      </c>
      <c r="Y56" s="82">
        <f t="shared" si="24"/>
        <v>162.97627457082967</v>
      </c>
      <c r="Z56" s="82">
        <f t="shared" si="24"/>
        <v>220.9492048306588</v>
      </c>
      <c r="AA56" s="82">
        <f t="shared" si="24"/>
        <v>299.2056517337632</v>
      </c>
      <c r="AB56" s="82">
        <f t="shared" si="24"/>
        <v>184.93928790034644</v>
      </c>
      <c r="AC56" s="82">
        <f t="shared" si="24"/>
        <v>132.68848704068344</v>
      </c>
      <c r="AD56" s="82">
        <f t="shared" si="24"/>
        <v>170.59544177993732</v>
      </c>
      <c r="AE56" s="82">
        <f t="shared" si="24"/>
        <v>274.98992588644165</v>
      </c>
      <c r="AF56" s="82">
        <f t="shared" si="24"/>
        <v>376.39033374729303</v>
      </c>
      <c r="AG56" s="82">
        <f t="shared" si="24"/>
        <v>388.07023356065002</v>
      </c>
      <c r="AH56" s="82">
        <f t="shared" si="24"/>
        <v>275.07923904373905</v>
      </c>
      <c r="AI56" s="82">
        <f t="shared" si="24"/>
        <v>32.923290655312897</v>
      </c>
      <c r="AJ56" s="82">
        <f t="shared" si="24"/>
        <v>81.447413962744832</v>
      </c>
      <c r="AK56" s="82">
        <f t="shared" si="25"/>
        <v>0</v>
      </c>
    </row>
  </sheetData>
  <conditionalFormatting sqref="C22:C38">
    <cfRule type="expression" dxfId="3" priority="2">
      <formula>MATCH(C22,$O$22:$O$30,0)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E3C4E7-A87A-4E54-B2B8-5FAAD41E05D5}">
  <dimension ref="A1:AL56"/>
  <sheetViews>
    <sheetView topLeftCell="A20" workbookViewId="0">
      <selection activeCell="A21" sqref="A21:M38"/>
    </sheetView>
  </sheetViews>
  <sheetFormatPr defaultRowHeight="14.25"/>
  <cols>
    <col min="1" max="1" width="9.5" bestFit="1" customWidth="1"/>
    <col min="2" max="2" width="11.5" customWidth="1"/>
    <col min="3" max="3" width="17.25" bestFit="1" customWidth="1"/>
    <col min="4" max="4" width="12.5" bestFit="1" customWidth="1"/>
    <col min="5" max="5" width="7.75" bestFit="1" customWidth="1"/>
    <col min="6" max="6" width="8.375" bestFit="1" customWidth="1"/>
    <col min="7" max="7" width="7.375" bestFit="1" customWidth="1"/>
    <col min="8" max="8" width="8" customWidth="1"/>
    <col min="9" max="18" width="6.75" customWidth="1"/>
    <col min="19" max="19" width="17.25" bestFit="1" customWidth="1"/>
    <col min="20" max="20" width="18.25" customWidth="1"/>
    <col min="21" max="21" width="12.75" bestFit="1" customWidth="1"/>
    <col min="22" max="38" width="5.5" customWidth="1"/>
    <col min="39" max="39" width="15.75" bestFit="1" customWidth="1"/>
  </cols>
  <sheetData>
    <row r="1" spans="1:38" ht="48.75" customHeight="1" thickBot="1">
      <c r="A1" s="67" t="s">
        <v>41</v>
      </c>
      <c r="B1" s="51" t="s">
        <v>5</v>
      </c>
      <c r="C1" s="25"/>
      <c r="D1" s="25"/>
      <c r="E1" s="25"/>
      <c r="F1" s="25"/>
      <c r="G1" s="25"/>
      <c r="H1" s="25"/>
      <c r="I1" s="25"/>
      <c r="J1" s="25"/>
      <c r="K1" s="25"/>
      <c r="L1" s="25"/>
      <c r="M1" s="25"/>
      <c r="N1" s="25"/>
      <c r="O1" s="25"/>
      <c r="P1" s="25"/>
      <c r="Q1" s="25"/>
      <c r="R1" s="26"/>
      <c r="S1" s="52" t="s">
        <v>40</v>
      </c>
      <c r="T1" s="52" t="s">
        <v>11</v>
      </c>
      <c r="U1" s="53" t="s">
        <v>6</v>
      </c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1"/>
    </row>
    <row r="2" spans="1:38" ht="15" thickBot="1">
      <c r="A2" s="100" t="s">
        <v>5</v>
      </c>
      <c r="B2" s="70">
        <v>1</v>
      </c>
      <c r="C2" s="70">
        <v>2</v>
      </c>
      <c r="D2" s="70">
        <v>3</v>
      </c>
      <c r="E2" s="70">
        <v>4</v>
      </c>
      <c r="F2" s="70">
        <v>5</v>
      </c>
      <c r="G2" s="70">
        <v>6</v>
      </c>
      <c r="H2" s="70">
        <v>7</v>
      </c>
      <c r="I2" s="70">
        <v>8</v>
      </c>
      <c r="J2" s="70">
        <v>9</v>
      </c>
      <c r="K2" s="70">
        <v>10</v>
      </c>
      <c r="L2" s="70">
        <v>11</v>
      </c>
      <c r="M2" s="70">
        <v>12</v>
      </c>
      <c r="N2" s="70">
        <v>13</v>
      </c>
      <c r="O2" s="70">
        <v>14</v>
      </c>
      <c r="P2" s="70">
        <v>15</v>
      </c>
      <c r="Q2" s="70">
        <v>16</v>
      </c>
      <c r="R2" s="99">
        <v>17</v>
      </c>
      <c r="T2" s="56" t="s">
        <v>12</v>
      </c>
      <c r="U2" s="54">
        <v>1</v>
      </c>
      <c r="V2" s="54">
        <v>2</v>
      </c>
      <c r="W2" s="54">
        <v>3</v>
      </c>
      <c r="X2" s="54">
        <v>4</v>
      </c>
      <c r="Y2" s="54">
        <v>5</v>
      </c>
      <c r="Z2" s="54">
        <v>6</v>
      </c>
      <c r="AA2" s="54">
        <v>7</v>
      </c>
      <c r="AB2" s="54">
        <v>8</v>
      </c>
      <c r="AC2" s="54">
        <v>9</v>
      </c>
      <c r="AD2" s="54">
        <v>10</v>
      </c>
      <c r="AE2" s="54">
        <v>11</v>
      </c>
      <c r="AF2" s="54">
        <v>12</v>
      </c>
      <c r="AG2" s="54">
        <v>13</v>
      </c>
      <c r="AH2" s="54">
        <v>14</v>
      </c>
      <c r="AI2" s="54">
        <v>15</v>
      </c>
      <c r="AJ2" s="54">
        <v>16</v>
      </c>
      <c r="AK2" s="55">
        <v>17</v>
      </c>
      <c r="AL2" s="57" t="s">
        <v>13</v>
      </c>
    </row>
    <row r="3" spans="1:38" ht="15">
      <c r="A3" s="59">
        <v>1</v>
      </c>
      <c r="B3" s="75">
        <f>(getDistance(coord!C1,coord!D1,coord!$C$1,coord!$D$1)*1000)/$B$20</f>
        <v>0</v>
      </c>
      <c r="C3" s="74">
        <f>(getDistance(coord!C1,coord!D1,coord!$C$2,coord!$D$2)*1000)/$C$20</f>
        <v>9.7939859857844019E-3</v>
      </c>
      <c r="D3" s="74">
        <f>(getDistance(coord!$C1,coord!$D1,coord!$C$3,coord!$D$3)*1000)/$D$20</f>
        <v>2.2698884083943889E-2</v>
      </c>
      <c r="E3" s="74">
        <f>(getDistance(coord!$C1,coord!$D1,coord!$C$4,coord!$D$4)*1000)/$E$20</f>
        <v>4.1041595442076105E-2</v>
      </c>
      <c r="F3" s="74">
        <f>(getDistance(coord!$C1,coord!$D1,coord!$C$5,coord!$D$5)*1000)/$F$20</f>
        <v>8.9692706304415254E-2</v>
      </c>
      <c r="G3" s="74">
        <f>(getDistance(coord!$C1,coord!$D1,coord!$C$6,coord!$D$6)*1000)/$G$20</f>
        <v>8.6451824708535505E-2</v>
      </c>
      <c r="H3" s="74">
        <f>(getDistance(coord!$C1,coord!$D1,coord!$C$7,coord!$D$7)*1000)/$H$20</f>
        <v>8.9811228695136011E-2</v>
      </c>
      <c r="I3" s="74">
        <f>(getDistance(coord!$C1,coord!$D1,coord!$C$8,coord!$D$8)*1000)/$I$20</f>
        <v>9.1240820893187149E-2</v>
      </c>
      <c r="J3" s="74">
        <f>(getDistance(coord!$C1,coord!$D1,coord!$C$9,coord!$D$9)*1000)/$J$20</f>
        <v>8.7047462622908689E-2</v>
      </c>
      <c r="K3" s="74">
        <f>(getDistance(coord!$C1,coord!$D1,coord!$C$10,coord!$D$10)*1000)/$K$20</f>
        <v>8.0740347669411905E-2</v>
      </c>
      <c r="L3" s="74">
        <f>(getDistance(coord!$C1,coord!$D1,coord!$C$11,coord!$D$11)*1000)/$L$20</f>
        <v>5.5422256969853041E-2</v>
      </c>
      <c r="M3" s="74">
        <f>(getDistance(coord!$C1,coord!$D1,coord!$C$12,coord!$D$12)*1000)/$M$20</f>
        <v>8.5548369994808526E-2</v>
      </c>
      <c r="N3" s="74">
        <f>(getDistance(coord!$C1,coord!$D1,coord!$C$13,coord!$D$13)*1000)/$N$20</f>
        <v>3.1776523621703266E-2</v>
      </c>
      <c r="O3" s="74">
        <f>(getDistance(coord!$C1,coord!$D1,coord!$C$14,coord!$D$14)*1000)/$O$20</f>
        <v>1.0336778634729865E-2</v>
      </c>
      <c r="P3" s="74">
        <f>(getDistance(coord!$C1,coord!$D1,coord!$C$15,coord!$D$15)*1000)/$P$20</f>
        <v>6.8833375128825133E-2</v>
      </c>
      <c r="Q3" s="74">
        <f>(getDistance(coord!$C1,coord!$D1,coord!$C$16,coord!$D$16)*1000)/$Q$20</f>
        <v>6.1611762184374974E-2</v>
      </c>
      <c r="R3" s="74">
        <f>(getDistance(coord!$C1,coord!$D1,coord!$C$17,coord!$D$17)*1000)/$R$20</f>
        <v>6.3560494570447018E-2</v>
      </c>
      <c r="S3" s="58" t="s">
        <v>39</v>
      </c>
      <c r="T3" s="59">
        <v>8</v>
      </c>
      <c r="U3" s="61">
        <v>1.3793103448275862E-2</v>
      </c>
      <c r="V3" s="61">
        <v>1.9607843137254902E-2</v>
      </c>
      <c r="W3" s="61">
        <v>6.0606060606060608E-2</v>
      </c>
      <c r="X3" s="61">
        <v>9.5238095238095247E-3</v>
      </c>
      <c r="Y3" s="61">
        <v>2.6315789473684209E-2</v>
      </c>
      <c r="Z3" s="61">
        <v>1.3192612137203167E-2</v>
      </c>
      <c r="AA3" s="61">
        <v>2.1739130434782608E-2</v>
      </c>
      <c r="AB3" s="61">
        <v>1.8181818181818181E-2</v>
      </c>
      <c r="AC3" s="61">
        <v>8.0000000000000002E-3</v>
      </c>
      <c r="AD3" s="61">
        <v>4.9295774647887321E-2</v>
      </c>
      <c r="AE3" s="61">
        <v>1.2048192771084338E-2</v>
      </c>
      <c r="AF3" s="61">
        <v>1.1764705882352941E-2</v>
      </c>
      <c r="AG3" s="61">
        <v>1.2345679012345678E-2</v>
      </c>
      <c r="AH3" s="61">
        <v>1.3157894736842105E-2</v>
      </c>
      <c r="AI3" s="61">
        <v>1.3513513513513514E-2</v>
      </c>
      <c r="AJ3" s="61">
        <v>1.8292682926829267E-2</v>
      </c>
      <c r="AK3" s="62">
        <v>9.1743119266055051E-3</v>
      </c>
      <c r="AL3" s="82">
        <f>AVERAGE(U3:AK3)</f>
        <v>1.9444289550608812E-2</v>
      </c>
    </row>
    <row r="4" spans="1:38" ht="15">
      <c r="A4" s="59">
        <v>2</v>
      </c>
      <c r="B4" s="74">
        <f>(getDistance(coord!C2,coord!D2,coord!$C$1,coord!$D$1)*1000)/$B$20</f>
        <v>9.2469745750658385E-3</v>
      </c>
      <c r="C4" s="75">
        <f>(getDistance(coord!C2,coord!D2,coord!$C$2,coord!$D$2)*1000)/$C$20</f>
        <v>0</v>
      </c>
      <c r="D4" s="74">
        <f>(getDistance(coord!$C2,coord!$D2,coord!$C$3,coord!$D$3)*1000)/$D$20</f>
        <v>1.3406673571440857E-2</v>
      </c>
      <c r="E4" s="74">
        <f>(getDistance(coord!$C2,coord!$D2,coord!$C$4,coord!$D$4)*1000)/$E$20</f>
        <v>4.6106558172381198E-2</v>
      </c>
      <c r="F4" s="74">
        <f>(getDistance(coord!$C2,coord!$D2,coord!$C$5,coord!$D$5)*1000)/$F$20</f>
        <v>8.1067478863828216E-2</v>
      </c>
      <c r="G4" s="74">
        <f>(getDistance(coord!$C2,coord!$D2,coord!$C$6,coord!$D$6)*1000)/$G$20</f>
        <v>8.0175462212965953E-2</v>
      </c>
      <c r="H4" s="74">
        <f>(getDistance(coord!$C2,coord!$D2,coord!$C$7,coord!$D$7)*1000)/$H$20</f>
        <v>8.468635184258988E-2</v>
      </c>
      <c r="I4" s="74">
        <f>(getDistance(coord!$C2,coord!$D2,coord!$C$8,coord!$D$8)*1000)/$I$20</f>
        <v>8.3290509632205356E-2</v>
      </c>
      <c r="J4" s="74">
        <f>(getDistance(coord!$C2,coord!$D2,coord!$C$9,coord!$D$9)*1000)/$J$20</f>
        <v>7.7949945055034039E-2</v>
      </c>
      <c r="K4" s="74">
        <f>(getDistance(coord!$C2,coord!$D2,coord!$C$10,coord!$D$10)*1000)/$K$20</f>
        <v>7.2766203954019684E-2</v>
      </c>
      <c r="L4" s="74">
        <f>(getDistance(coord!$C2,coord!$D2,coord!$C$11,coord!$D$11)*1000)/$L$20</f>
        <v>5.4633200319977884E-2</v>
      </c>
      <c r="M4" s="74">
        <f>(getDistance(coord!$C2,coord!$D2,coord!$C$12,coord!$D$12)*1000)/$M$20</f>
        <v>8.1881962218171789E-2</v>
      </c>
      <c r="N4" s="74">
        <f>(getDistance(coord!$C2,coord!$D2,coord!$C$13,coord!$D$13)*1000)/$N$20</f>
        <v>3.8078436406743466E-2</v>
      </c>
      <c r="O4" s="74">
        <f>(getDistance(coord!$C2,coord!$D2,coord!$C$14,coord!$D$14)*1000)/$O$20</f>
        <v>1.8726762682311E-2</v>
      </c>
      <c r="P4" s="74">
        <f>(getDistance(coord!$C2,coord!$D2,coord!$C$15,coord!$D$15)*1000)/$P$20</f>
        <v>5.8687830639966236E-2</v>
      </c>
      <c r="Q4" s="74">
        <f>(getDistance(coord!$C2,coord!$D2,coord!$C$16,coord!$D$16)*1000)/$Q$20</f>
        <v>5.4144568419983552E-2</v>
      </c>
      <c r="R4" s="74">
        <f>(getDistance(coord!$C2,coord!$D2,coord!$C$17,coord!$D$17)*1000)/$R$20</f>
        <v>5.3842463364049263E-2</v>
      </c>
      <c r="S4" s="58" t="s">
        <v>15</v>
      </c>
      <c r="T4" s="59">
        <v>9</v>
      </c>
      <c r="U4" s="61">
        <v>3.4482758620689655E-2</v>
      </c>
      <c r="V4" s="61">
        <v>1.9607843137254902E-2</v>
      </c>
      <c r="W4" s="61">
        <v>6.0606060606060608E-2</v>
      </c>
      <c r="X4" s="61">
        <v>9.5238095238095247E-3</v>
      </c>
      <c r="Y4" s="61">
        <v>4.3859649122807015E-2</v>
      </c>
      <c r="Z4" s="61">
        <v>1.3192612137203167E-2</v>
      </c>
      <c r="AA4" s="61">
        <v>2.1739130434782608E-2</v>
      </c>
      <c r="AB4" s="61">
        <v>1.8181818181818181E-2</v>
      </c>
      <c r="AC4" s="61">
        <v>1.6E-2</v>
      </c>
      <c r="AD4" s="61">
        <v>5.6338028169014086E-2</v>
      </c>
      <c r="AE4" s="61">
        <v>2.4096385542168676E-2</v>
      </c>
      <c r="AF4" s="61">
        <v>2.3529411764705882E-2</v>
      </c>
      <c r="AG4" s="61">
        <v>2.4691358024691357E-2</v>
      </c>
      <c r="AH4" s="61">
        <v>3.9473684210526314E-2</v>
      </c>
      <c r="AI4" s="61">
        <v>4.0540540540540543E-2</v>
      </c>
      <c r="AJ4" s="61">
        <v>2.4390243902439025E-2</v>
      </c>
      <c r="AK4" s="62">
        <v>3.669724770642202E-2</v>
      </c>
      <c r="AL4" s="82">
        <f t="shared" ref="AL4:AL19" si="0">AVERAGE(U4:AK4)</f>
        <v>2.982062244852551E-2</v>
      </c>
    </row>
    <row r="5" spans="1:38" ht="15">
      <c r="A5" s="59">
        <v>3</v>
      </c>
      <c r="B5" s="74">
        <f>(getDistance(coord!C3,coord!D3,coord!$C$1,coord!$D$1)*1000)/$B$20</f>
        <v>1.9643791909343934E-2</v>
      </c>
      <c r="C5" s="74">
        <f>(getDistance(coord!C3,coord!D3,coord!$C$2,coord!$D$2)*1000)/$C$20</f>
        <v>1.2288579056995987E-2</v>
      </c>
      <c r="D5" s="75">
        <f>(getDistance(coord!$C3,coord!$D3,coord!$C$3,coord!$D$3)*1000)/$D$20</f>
        <v>0</v>
      </c>
      <c r="E5" s="74">
        <f>(getDistance(coord!$C3,coord!$D3,coord!$C$4,coord!$D$4)*1000)/$E$20</f>
        <v>4.9239744032680575E-2</v>
      </c>
      <c r="F5" s="74">
        <f>(getDistance(coord!$C3,coord!$D3,coord!$C$5,coord!$D$5)*1000)/$F$20</f>
        <v>6.7114307356976877E-2</v>
      </c>
      <c r="G5" s="74">
        <f>(getDistance(coord!$C3,coord!$D3,coord!$C$6,coord!$D$6)*1000)/$G$20</f>
        <v>6.7600548215057135E-2</v>
      </c>
      <c r="H5" s="74">
        <f>(getDistance(coord!$C3,coord!$D3,coord!$C$7,coord!$D$7)*1000)/$H$20</f>
        <v>7.5382023485248112E-2</v>
      </c>
      <c r="I5" s="74">
        <f>(getDistance(coord!$C3,coord!$D3,coord!$C$8,coord!$D$8)*1000)/$I$20</f>
        <v>6.9817238172495161E-2</v>
      </c>
      <c r="J5" s="74">
        <f>(getDistance(coord!$C3,coord!$D3,coord!$C$9,coord!$D$9)*1000)/$J$20</f>
        <v>6.4957190869945655E-2</v>
      </c>
      <c r="K5" s="74">
        <f>(getDistance(coord!$C3,coord!$D3,coord!$C$10,coord!$D$10)*1000)/$K$20</f>
        <v>5.8381558747137567E-2</v>
      </c>
      <c r="L5" s="74">
        <f>(getDistance(coord!$C3,coord!$D3,coord!$C$11,coord!$D$11)*1000)/$L$20</f>
        <v>4.7923791064915143E-2</v>
      </c>
      <c r="M5" s="74">
        <f>(getDistance(coord!$C3,coord!$D3,coord!$C$12,coord!$D$12)*1000)/$M$20</f>
        <v>7.4297179559466797E-2</v>
      </c>
      <c r="N5" s="74">
        <f>(getDistance(coord!$C3,coord!$D3,coord!$C$13,coord!$D$13)*1000)/$N$20</f>
        <v>4.3084773468247912E-2</v>
      </c>
      <c r="O5" s="74">
        <f>(getDistance(coord!$C3,coord!$D3,coord!$C$14,coord!$D$14)*1000)/$O$20</f>
        <v>2.7735254089680056E-2</v>
      </c>
      <c r="P5" s="74">
        <f>(getDistance(coord!$C3,coord!$D3,coord!$C$15,coord!$D$15)*1000)/$P$20</f>
        <v>4.7574861205438287E-2</v>
      </c>
      <c r="Q5" s="74">
        <f>(getDistance(coord!$C3,coord!$D3,coord!$C$16,coord!$D$16)*1000)/$Q$20</f>
        <v>4.891291394410003E-2</v>
      </c>
      <c r="R5" s="74">
        <f>(getDistance(coord!$C3,coord!$D3,coord!$C$17,coord!$D$17)*1000)/$R$20</f>
        <v>4.4698705395085934E-2</v>
      </c>
      <c r="S5" s="58" t="s">
        <v>16</v>
      </c>
      <c r="T5" s="59">
        <v>10</v>
      </c>
      <c r="U5" s="61">
        <v>4.8275862068965517E-2</v>
      </c>
      <c r="V5" s="61">
        <v>3.9215686274509803E-2</v>
      </c>
      <c r="W5" s="61">
        <v>6.0606060606060608E-2</v>
      </c>
      <c r="X5" s="61">
        <v>1.9047619047619049E-2</v>
      </c>
      <c r="Y5" s="61">
        <v>6.1403508771929821E-2</v>
      </c>
      <c r="Z5" s="61">
        <v>2.6385224274406333E-2</v>
      </c>
      <c r="AA5" s="61">
        <v>4.3478260869565216E-2</v>
      </c>
      <c r="AB5" s="61">
        <v>3.6363636363636362E-2</v>
      </c>
      <c r="AC5" s="61">
        <v>2.4E-2</v>
      </c>
      <c r="AD5" s="61">
        <v>6.3380281690140844E-2</v>
      </c>
      <c r="AE5" s="61">
        <v>3.614457831325301E-2</v>
      </c>
      <c r="AF5" s="61">
        <v>3.5294117647058823E-2</v>
      </c>
      <c r="AG5" s="61">
        <v>3.7037037037037035E-2</v>
      </c>
      <c r="AH5" s="61">
        <v>6.5789473684210523E-2</v>
      </c>
      <c r="AI5" s="61">
        <v>6.7567567567567571E-2</v>
      </c>
      <c r="AJ5" s="61">
        <v>3.048780487804878E-2</v>
      </c>
      <c r="AK5" s="62">
        <v>6.4220183486238536E-2</v>
      </c>
      <c r="AL5" s="82">
        <f t="shared" si="0"/>
        <v>4.4629229563543996E-2</v>
      </c>
    </row>
    <row r="6" spans="1:38" ht="15">
      <c r="A6" s="59">
        <v>4</v>
      </c>
      <c r="B6" s="74">
        <f>(getDistance(coord!C4,coord!D4,coord!$C$1,coord!$D$1)*1000)/$B$20</f>
        <v>6.3479240244314714E-2</v>
      </c>
      <c r="C6" s="74">
        <f>(getDistance(coord!C4,coord!D4,coord!$C$2,coord!$D$2)*1000)/$C$20</f>
        <v>7.5531829384877472E-2</v>
      </c>
      <c r="D6" s="74">
        <f>(getDistance(coord!$C4,coord!$D4,coord!$C$3,coord!$D$3)*1000)/$D$20</f>
        <v>8.800400841849014E-2</v>
      </c>
      <c r="E6" s="75">
        <f>(getDistance(coord!$C4,coord!$D4,coord!$C$4,coord!$D$4)*1000)/$E$20</f>
        <v>0</v>
      </c>
      <c r="F6" s="74">
        <f>(getDistance(coord!$C4,coord!$D4,coord!$C$5,coord!$D$5)*1000)/$F$20</f>
        <v>0.13532669589065421</v>
      </c>
      <c r="G6" s="74">
        <f>(getDistance(coord!$C4,coord!$D4,coord!$C$6,coord!$D$6)*1000)/$G$20</f>
        <v>0.11768627586774991</v>
      </c>
      <c r="H6" s="74">
        <f>(getDistance(coord!$C4,coord!$D4,coord!$C$7,coord!$D$7)*1000)/$H$20</f>
        <v>0.11144001891511569</v>
      </c>
      <c r="I6" s="74">
        <f>(getDistance(coord!$C4,coord!$D4,coord!$C$8,coord!$D$8)*1000)/$I$20</f>
        <v>0.13205624405448768</v>
      </c>
      <c r="J6" s="74">
        <f>(getDistance(coord!$C4,coord!$D4,coord!$C$9,coord!$D$9)*1000)/$J$20</f>
        <v>0.13633197020169702</v>
      </c>
      <c r="K6" s="74">
        <f>(getDistance(coord!$C4,coord!$D4,coord!$C$10,coord!$D$10)*1000)/$K$20</f>
        <v>0.12509114644578523</v>
      </c>
      <c r="L6" s="74">
        <f>(getDistance(coord!$C4,coord!$D4,coord!$C$11,coord!$D$11)*1000)/$L$20</f>
        <v>6.6478851750094006E-2</v>
      </c>
      <c r="M6" s="74">
        <f>(getDistance(coord!$C4,coord!$D4,coord!$C$12,coord!$D$12)*1000)/$M$20</f>
        <v>9.7873585979555255E-2</v>
      </c>
      <c r="N6" s="74">
        <f>(getDistance(coord!$C4,coord!$D4,coord!$C$13,coord!$D$13)*1000)/$N$20</f>
        <v>1.6348341587255268E-2</v>
      </c>
      <c r="O6" s="74">
        <f>(getDistance(coord!$C4,coord!$D4,coord!$C$14,coord!$D$14)*1000)/$O$20</f>
        <v>4.9557575034467172E-2</v>
      </c>
      <c r="P6" s="74">
        <f>(getDistance(coord!$C4,coord!$D4,coord!$C$15,coord!$D$15)*1000)/$P$20</f>
        <v>0.1294425679412515</v>
      </c>
      <c r="Q6" s="74">
        <f>(getDistance(coord!$C4,coord!$D4,coord!$C$16,coord!$D$16)*1000)/$Q$20</f>
        <v>0.11186301713772151</v>
      </c>
      <c r="R6" s="74">
        <f>(getDistance(coord!$C4,coord!$D4,coord!$C$17,coord!$D$17)*1000)/$R$20</f>
        <v>0.12383620205405937</v>
      </c>
      <c r="S6" s="58" t="s">
        <v>17</v>
      </c>
      <c r="T6" s="59">
        <v>11</v>
      </c>
      <c r="U6" s="61">
        <v>5.5172413793103448E-2</v>
      </c>
      <c r="V6" s="61">
        <v>5.8823529411764705E-2</v>
      </c>
      <c r="W6" s="61">
        <v>6.0606060606060608E-2</v>
      </c>
      <c r="X6" s="61">
        <v>2.8571428571428571E-2</v>
      </c>
      <c r="Y6" s="61">
        <v>7.0175438596491224E-2</v>
      </c>
      <c r="Z6" s="61">
        <v>3.9577836411609502E-2</v>
      </c>
      <c r="AA6" s="61">
        <v>6.5217391304347824E-2</v>
      </c>
      <c r="AB6" s="61">
        <v>3.6363636363636362E-2</v>
      </c>
      <c r="AC6" s="61">
        <v>3.2000000000000001E-2</v>
      </c>
      <c r="AD6" s="61">
        <v>6.3380281690140844E-2</v>
      </c>
      <c r="AE6" s="61">
        <v>4.8192771084337352E-2</v>
      </c>
      <c r="AF6" s="61">
        <v>4.7058823529411764E-2</v>
      </c>
      <c r="AG6" s="61">
        <v>6.1728395061728392E-2</v>
      </c>
      <c r="AH6" s="61">
        <v>7.8947368421052627E-2</v>
      </c>
      <c r="AI6" s="61">
        <v>8.1081081081081086E-2</v>
      </c>
      <c r="AJ6" s="61">
        <v>3.6585365853658534E-2</v>
      </c>
      <c r="AK6" s="62">
        <v>9.1743119266055051E-2</v>
      </c>
      <c r="AL6" s="82">
        <f t="shared" si="0"/>
        <v>5.6189702414465192E-2</v>
      </c>
    </row>
    <row r="7" spans="1:38" ht="15">
      <c r="A7" s="59">
        <v>5</v>
      </c>
      <c r="B7" s="74">
        <f>(getDistance(coord!C5,coord!D5,coord!$C$1,coord!$D$1)*1000)/$B$20</f>
        <v>7.4513747663746827E-2</v>
      </c>
      <c r="C7" s="74">
        <f>(getDistance(coord!C5,coord!D5,coord!$C$2,coord!$D$2)*1000)/$C$20</f>
        <v>7.1332223275925158E-2</v>
      </c>
      <c r="D7" s="74">
        <f>(getDistance(coord!$C5,coord!$D5,coord!$C$3,coord!$D$3)*1000)/$D$20</f>
        <v>6.4427840249098367E-2</v>
      </c>
      <c r="E7" s="74">
        <f>(getDistance(coord!$C5,coord!$D5,coord!$C$4,coord!$D$4)*1000)/$E$20</f>
        <v>7.2686753478064511E-2</v>
      </c>
      <c r="F7" s="75">
        <f>(getDistance(coord!$C5,coord!$D5,coord!$C$5,coord!$D$5)*1000)/$F$20</f>
        <v>0</v>
      </c>
      <c r="G7" s="74">
        <f>(getDistance(coord!$C5,coord!$D5,coord!$C$6,coord!$D$6)*1000)/$G$20</f>
        <v>2.0764064813478561E-2</v>
      </c>
      <c r="H7" s="74">
        <f>(getDistance(coord!$C5,coord!$D5,coord!$C$7,coord!$D$7)*1000)/$H$20</f>
        <v>3.1073475364880684E-2</v>
      </c>
      <c r="I7" s="74">
        <f>(getDistance(coord!$C5,coord!$D5,coord!$C$8,coord!$D$8)*1000)/$I$20</f>
        <v>6.6997057360049812E-3</v>
      </c>
      <c r="J7" s="74">
        <f>(getDistance(coord!$C5,coord!$D5,coord!$C$9,coord!$D$9)*1000)/$J$20</f>
        <v>1.3639234596297669E-2</v>
      </c>
      <c r="K7" s="74">
        <f>(getDistance(coord!$C5,coord!$D5,coord!$C$10,coord!$D$10)*1000)/$K$20</f>
        <v>1.7651267526811714E-2</v>
      </c>
      <c r="L7" s="74">
        <f>(getDistance(coord!$C5,coord!$D5,coord!$C$11,coord!$D$11)*1000)/$L$20</f>
        <v>5.3560851603546879E-2</v>
      </c>
      <c r="M7" s="74">
        <f>(getDistance(coord!$C5,coord!$D5,coord!$C$12,coord!$D$12)*1000)/$M$20</f>
        <v>3.9018607255554762E-2</v>
      </c>
      <c r="N7" s="74">
        <f>(getDistance(coord!$C5,coord!$D5,coord!$C$13,coord!$D$13)*1000)/$N$20</f>
        <v>7.5467560403881626E-2</v>
      </c>
      <c r="O7" s="74">
        <f>(getDistance(coord!$C5,coord!$D5,coord!$C$14,coord!$D$14)*1000)/$O$20</f>
        <v>7.6258866569330716E-2</v>
      </c>
      <c r="P7" s="74">
        <f>(getDistance(coord!$C5,coord!$D5,coord!$C$15,coord!$D$15)*1000)/$P$20</f>
        <v>3.7959046248182332E-2</v>
      </c>
      <c r="Q7" s="74">
        <f>(getDistance(coord!$C5,coord!$D5,coord!$C$16,coord!$D$16)*1000)/$Q$20</f>
        <v>5.0538031267408988E-2</v>
      </c>
      <c r="R7" s="74">
        <f>(getDistance(coord!$C5,coord!$D5,coord!$C$17,coord!$D$17)*1000)/$R$20</f>
        <v>4.4755301363570019E-2</v>
      </c>
      <c r="S7" s="58" t="s">
        <v>18</v>
      </c>
      <c r="T7" s="59">
        <v>12</v>
      </c>
      <c r="U7" s="61">
        <v>6.2068965517241378E-2</v>
      </c>
      <c r="V7" s="61">
        <v>5.8823529411764705E-2</v>
      </c>
      <c r="W7" s="61">
        <v>6.0606060606060608E-2</v>
      </c>
      <c r="X7" s="61">
        <v>4.7619047619047616E-2</v>
      </c>
      <c r="Y7" s="61">
        <v>7.0175438596491224E-2</v>
      </c>
      <c r="Z7" s="61">
        <v>6.3324538258575203E-2</v>
      </c>
      <c r="AA7" s="61">
        <v>6.5217391304347824E-2</v>
      </c>
      <c r="AB7" s="61">
        <v>5.4545454545454543E-2</v>
      </c>
      <c r="AC7" s="61">
        <v>0.04</v>
      </c>
      <c r="AD7" s="61">
        <v>6.3380281690140844E-2</v>
      </c>
      <c r="AE7" s="61">
        <v>6.0240963855421686E-2</v>
      </c>
      <c r="AF7" s="61">
        <v>5.8823529411764705E-2</v>
      </c>
      <c r="AG7" s="61">
        <v>8.6419753086419748E-2</v>
      </c>
      <c r="AH7" s="61">
        <v>9.2105263157894732E-2</v>
      </c>
      <c r="AI7" s="61">
        <v>8.1081081081081086E-2</v>
      </c>
      <c r="AJ7" s="61">
        <v>4.2682926829268296E-2</v>
      </c>
      <c r="AK7" s="62">
        <v>9.1743119266055051E-2</v>
      </c>
      <c r="AL7" s="82">
        <f t="shared" si="0"/>
        <v>6.4638667308060546E-2</v>
      </c>
    </row>
    <row r="8" spans="1:38" ht="15">
      <c r="A8" s="59">
        <v>6</v>
      </c>
      <c r="B8" s="74">
        <f>(getDistance(coord!C6,coord!D6,coord!$C$1,coord!$D$1)*1000)/$B$20</f>
        <v>7.5503956165217129E-2</v>
      </c>
      <c r="C8" s="74">
        <f>(getDistance(coord!C6,coord!D6,coord!$C$2,coord!$D$2)*1000)/$C$20</f>
        <v>7.416462936716553E-2</v>
      </c>
      <c r="D8" s="74">
        <f>(getDistance(coord!$C6,coord!$D6,coord!$C$3,coord!$D$3)*1000)/$D$20</f>
        <v>6.8222078018574397E-2</v>
      </c>
      <c r="E8" s="74">
        <f>(getDistance(coord!$C6,coord!$D6,coord!$C$4,coord!$D$4)*1000)/$E$20</f>
        <v>6.6452890858092556E-2</v>
      </c>
      <c r="F8" s="74">
        <f>(getDistance(coord!$C6,coord!$D6,coord!$C$5,coord!$D$5)*1000)/$F$20</f>
        <v>2.1828738636758608E-2</v>
      </c>
      <c r="G8" s="75">
        <f>(getDistance(coord!$C6,coord!$D6,coord!$C$6,coord!$D$6)*1000)/$G$20</f>
        <v>0</v>
      </c>
      <c r="H8" s="74">
        <f>(getDistance(coord!$C6,coord!$D6,coord!$C$7,coord!$D$7)*1000)/$H$20</f>
        <v>2.9162206687823905E-2</v>
      </c>
      <c r="I8" s="74">
        <f>(getDistance(coord!$C6,coord!$D6,coord!$C$8,coord!$D$8)*1000)/$I$20</f>
        <v>1.6717233691112079E-2</v>
      </c>
      <c r="J8" s="74">
        <f>(getDistance(coord!$C6,coord!$D6,coord!$C$9,coord!$D$9)*1000)/$J$20</f>
        <v>3.4169011585670317E-2</v>
      </c>
      <c r="K8" s="74">
        <f>(getDistance(coord!$C6,coord!$D6,coord!$C$10,coord!$D$10)*1000)/$K$20</f>
        <v>1.8268829617316084E-2</v>
      </c>
      <c r="L8" s="74">
        <f>(getDistance(coord!$C6,coord!$D6,coord!$C$11,coord!$D$11)*1000)/$L$20</f>
        <v>4.1130588610241409E-2</v>
      </c>
      <c r="M8" s="74">
        <f>(getDistance(coord!$C6,coord!$D6,coord!$C$12,coord!$D$12)*1000)/$M$20</f>
        <v>3.3737409043053328E-2</v>
      </c>
      <c r="N8" s="74">
        <f>(getDistance(coord!$C6,coord!$D6,coord!$C$13,coord!$D$13)*1000)/$N$20</f>
        <v>7.0816044670883788E-2</v>
      </c>
      <c r="O8" s="74">
        <f>(getDistance(coord!$C6,coord!$D6,coord!$C$14,coord!$D$14)*1000)/$O$20</f>
        <v>7.5641428358044008E-2</v>
      </c>
      <c r="P8" s="74">
        <f>(getDistance(coord!$C6,coord!$D6,coord!$C$15,coord!$D$15)*1000)/$P$20</f>
        <v>5.5210243961729924E-2</v>
      </c>
      <c r="Q8" s="74">
        <f>(getDistance(coord!$C6,coord!$D6,coord!$C$16,coord!$D$16)*1000)/$Q$20</f>
        <v>6.4157895195982612E-2</v>
      </c>
      <c r="R8" s="74">
        <f>(getDistance(coord!$C6,coord!$D6,coord!$C$17,coord!$D$17)*1000)/$R$20</f>
        <v>6.067538526253205E-2</v>
      </c>
      <c r="S8" s="58" t="s">
        <v>19</v>
      </c>
      <c r="T8" s="59">
        <v>13</v>
      </c>
      <c r="U8" s="63">
        <v>7.586206896551724E-2</v>
      </c>
      <c r="V8" s="63">
        <v>7.8431372549019607E-2</v>
      </c>
      <c r="W8" s="61">
        <v>6.0606060606060608E-2</v>
      </c>
      <c r="X8" s="61">
        <v>6.6666666666666666E-2</v>
      </c>
      <c r="Y8" s="61">
        <v>7.0175438596491224E-2</v>
      </c>
      <c r="Z8" s="61">
        <v>7.9155672823219003E-2</v>
      </c>
      <c r="AA8" s="61">
        <v>8.6956521739130432E-2</v>
      </c>
      <c r="AB8" s="61">
        <v>5.4545454545454543E-2</v>
      </c>
      <c r="AC8" s="61">
        <v>5.6000000000000001E-2</v>
      </c>
      <c r="AD8" s="61">
        <v>6.3380281690140844E-2</v>
      </c>
      <c r="AE8" s="61">
        <v>7.2289156626506021E-2</v>
      </c>
      <c r="AF8" s="61">
        <v>7.0588235294117646E-2</v>
      </c>
      <c r="AG8" s="61">
        <v>9.8765432098765427E-2</v>
      </c>
      <c r="AH8" s="61">
        <v>9.2105263157894732E-2</v>
      </c>
      <c r="AI8" s="61">
        <v>8.1081081081081086E-2</v>
      </c>
      <c r="AJ8" s="61">
        <v>5.4878048780487805E-2</v>
      </c>
      <c r="AK8" s="62">
        <v>9.1743119266055051E-2</v>
      </c>
      <c r="AL8" s="82">
        <f t="shared" si="0"/>
        <v>7.3719404381565184E-2</v>
      </c>
    </row>
    <row r="9" spans="1:38" ht="15">
      <c r="A9" s="59">
        <v>7</v>
      </c>
      <c r="B9" s="74">
        <f>(getDistance(coord!C7,coord!D7,coord!$C$1,coord!$D$1)*1000)/$B$20</f>
        <v>0.11024602044878865</v>
      </c>
      <c r="C9" s="74">
        <f>(getDistance(coord!C7,coord!D7,coord!$C$2,coord!$D$2)*1000)/$C$20</f>
        <v>0.11010461508476854</v>
      </c>
      <c r="D9" s="74">
        <f>(getDistance(coord!$C7,coord!$D7,coord!$C$3,coord!$D$3)*1000)/$D$20</f>
        <v>0.10692499951284801</v>
      </c>
      <c r="E9" s="74">
        <f>(getDistance(coord!$C7,coord!$D7,coord!$C$4,coord!$D$4)*1000)/$E$20</f>
        <v>8.8443511207543263E-2</v>
      </c>
      <c r="F9" s="74">
        <f>(getDistance(coord!$C7,coord!$D7,coord!$C$5,coord!$D$5)*1000)/$F$20</f>
        <v>4.5913757294255543E-2</v>
      </c>
      <c r="G9" s="74">
        <f>(getDistance(coord!$C7,coord!$D7,coord!$C$6,coord!$D$6)*1000)/$G$20</f>
        <v>4.0988037398308211E-2</v>
      </c>
      <c r="H9" s="75">
        <f>(getDistance(coord!$C7,coord!$D7,coord!$C$7,coord!$D$7)*1000)/$H$20</f>
        <v>0</v>
      </c>
      <c r="I9" s="74">
        <f>(getDistance(coord!$C7,coord!$D7,coord!$C$8,coord!$D$8)*1000)/$I$20</f>
        <v>3.8743657867997619E-2</v>
      </c>
      <c r="J9" s="74">
        <f>(getDistance(coord!$C7,coord!$D7,coord!$C$9,coord!$D$9)*1000)/$J$20</f>
        <v>4.9244496620776908E-2</v>
      </c>
      <c r="K9" s="74">
        <f>(getDistance(coord!$C7,coord!$D7,coord!$C$10,coord!$D$10)*1000)/$K$20</f>
        <v>5.9262873544274626E-2</v>
      </c>
      <c r="L9" s="74">
        <f>(getDistance(coord!$C7,coord!$D7,coord!$C$11,coord!$D$11)*1000)/$L$20</f>
        <v>7.6742677255341979E-2</v>
      </c>
      <c r="M9" s="74">
        <f>(getDistance(coord!$C7,coord!$D7,coord!$C$12,coord!$D$12)*1000)/$M$20</f>
        <v>1.4538514946681543E-2</v>
      </c>
      <c r="N9" s="74">
        <f>(getDistance(coord!$C7,coord!$D7,coord!$C$13,coord!$D$13)*1000)/$N$20</f>
        <v>9.6802630564305797E-2</v>
      </c>
      <c r="O9" s="74">
        <f>(getDistance(coord!$C7,coord!$D7,coord!$C$14,coord!$D$14)*1000)/$O$20</f>
        <v>0.10771118170244345</v>
      </c>
      <c r="P9" s="74">
        <f>(getDistance(coord!$C7,coord!$D7,coord!$C$15,coord!$D$15)*1000)/$P$20</f>
        <v>7.7887990092287598E-2</v>
      </c>
      <c r="Q9" s="74">
        <f>(getDistance(coord!$C7,coord!$D7,coord!$C$16,coord!$D$16)*1000)/$Q$20</f>
        <v>7.7230351239655826E-2</v>
      </c>
      <c r="R9" s="74">
        <f>(getDistance(coord!$C7,coord!$D7,coord!$C$17,coord!$D$17)*1000)/$R$20</f>
        <v>8.2165573782386259E-2</v>
      </c>
      <c r="S9" s="58" t="s">
        <v>20</v>
      </c>
      <c r="T9" s="59">
        <v>14</v>
      </c>
      <c r="U9" s="63">
        <v>7.586206896551724E-2</v>
      </c>
      <c r="V9" s="63">
        <v>7.8431372549019607E-2</v>
      </c>
      <c r="W9" s="61">
        <v>6.0606060606060608E-2</v>
      </c>
      <c r="X9" s="61">
        <v>8.5714285714285715E-2</v>
      </c>
      <c r="Y9" s="61">
        <v>7.0175438596491224E-2</v>
      </c>
      <c r="Z9" s="61">
        <v>7.9155672823219003E-2</v>
      </c>
      <c r="AA9" s="61">
        <v>8.6956521739130432E-2</v>
      </c>
      <c r="AB9" s="61">
        <v>7.2727272727272724E-2</v>
      </c>
      <c r="AC9" s="61">
        <v>7.1999999999999995E-2</v>
      </c>
      <c r="AD9" s="61">
        <v>6.3380281690140844E-2</v>
      </c>
      <c r="AE9" s="61">
        <v>8.4337349397590355E-2</v>
      </c>
      <c r="AF9" s="61">
        <v>8.2352941176470587E-2</v>
      </c>
      <c r="AG9" s="61">
        <v>9.8765432098765427E-2</v>
      </c>
      <c r="AH9" s="61">
        <v>9.2105263157894732E-2</v>
      </c>
      <c r="AI9" s="61">
        <v>8.1081081081081086E-2</v>
      </c>
      <c r="AJ9" s="61">
        <v>6.7073170731707321E-2</v>
      </c>
      <c r="AK9" s="62">
        <v>8.2568807339449546E-2</v>
      </c>
      <c r="AL9" s="82">
        <f t="shared" si="0"/>
        <v>7.8429001199652737E-2</v>
      </c>
    </row>
    <row r="10" spans="1:38" ht="15">
      <c r="A10" s="59">
        <v>8</v>
      </c>
      <c r="B10" s="74">
        <f>(getDistance(coord!C8,coord!D8,coord!$C$1,coord!$D$1)*1000)/$B$20</f>
        <v>7.8116539205215205E-2</v>
      </c>
      <c r="C10" s="74">
        <f>(getDistance(coord!C8,coord!D8,coord!$C$2,coord!$D$2)*1000)/$C$20</f>
        <v>7.5528201747367199E-2</v>
      </c>
      <c r="D10" s="74">
        <f>(getDistance(coord!$C8,coord!$D8,coord!$C$3,coord!$D$3)*1000)/$D$20</f>
        <v>6.9070986320844893E-2</v>
      </c>
      <c r="E10" s="74">
        <f>(getDistance(coord!$C8,coord!$D8,coord!$C$4,coord!$D$4)*1000)/$E$20</f>
        <v>7.3097961577115442E-2</v>
      </c>
      <c r="F10" s="74">
        <f>(getDistance(coord!$C8,coord!$D8,coord!$C$5,coord!$D$5)*1000)/$F$20</f>
        <v>6.9044686187920493E-3</v>
      </c>
      <c r="G10" s="74">
        <f>(getDistance(coord!$C8,coord!$D8,coord!$C$6,coord!$D$6)*1000)/$G$20</f>
        <v>1.6387876424078383E-2</v>
      </c>
      <c r="H10" s="74">
        <f>(getDistance(coord!$C8,coord!$D8,coord!$C$7,coord!$D$7)*1000)/$H$20</f>
        <v>2.7022289830822523E-2</v>
      </c>
      <c r="I10" s="75">
        <f>(getDistance(coord!$C8,coord!$D8,coord!$C$8,coord!$D$8)*1000)/$I$20</f>
        <v>0</v>
      </c>
      <c r="J10" s="74">
        <f>(getDistance(coord!$C8,coord!$D8,coord!$C$9,coord!$D$9)*1000)/$J$20</f>
        <v>1.8865925894248264E-2</v>
      </c>
      <c r="K10" s="74">
        <f>(getDistance(coord!$C8,coord!$D8,coord!$C$10,coord!$D$10)*1000)/$K$20</f>
        <v>1.9370649843554015E-2</v>
      </c>
      <c r="L10" s="74">
        <f>(getDistance(coord!$C8,coord!$D8,coord!$C$11,coord!$D$11)*1000)/$L$20</f>
        <v>5.3047541420967771E-2</v>
      </c>
      <c r="M10" s="74">
        <f>(getDistance(coord!$C8,coord!$D8,coord!$C$12,coord!$D$12)*1000)/$M$20</f>
        <v>3.5229351517956919E-2</v>
      </c>
      <c r="N10" s="74">
        <f>(getDistance(coord!$C8,coord!$D8,coord!$C$13,coord!$D$13)*1000)/$N$20</f>
        <v>7.6712397791357037E-2</v>
      </c>
      <c r="O10" s="74">
        <f>(getDistance(coord!$C8,coord!$D8,coord!$C$14,coord!$D$14)*1000)/$O$20</f>
        <v>7.9191169760593288E-2</v>
      </c>
      <c r="P10" s="74">
        <f>(getDistance(coord!$C8,coord!$D8,coord!$C$15,coord!$D$15)*1000)/$P$20</f>
        <v>4.4365082357417922E-2</v>
      </c>
      <c r="Q10" s="74">
        <f>(getDistance(coord!$C8,coord!$D8,coord!$C$16,coord!$D$16)*1000)/$Q$20</f>
        <v>5.516766485577608E-2</v>
      </c>
      <c r="R10" s="74">
        <f>(getDistance(coord!$C8,coord!$D8,coord!$C$17,coord!$D$17)*1000)/$R$20</f>
        <v>5.0786616553483946E-2</v>
      </c>
      <c r="S10" s="58" t="s">
        <v>21</v>
      </c>
      <c r="T10" s="59">
        <v>15</v>
      </c>
      <c r="U10" s="63">
        <v>8.2758620689655171E-2</v>
      </c>
      <c r="V10" s="63">
        <v>9.8039215686274508E-2</v>
      </c>
      <c r="W10" s="61">
        <v>6.0606060606060608E-2</v>
      </c>
      <c r="X10" s="61">
        <v>0.11428571428571428</v>
      </c>
      <c r="Y10" s="61">
        <v>7.0175438596491224E-2</v>
      </c>
      <c r="Z10" s="61">
        <v>7.9155672823219003E-2</v>
      </c>
      <c r="AA10" s="61">
        <v>8.6956521739130432E-2</v>
      </c>
      <c r="AB10" s="61">
        <v>7.2727272727272724E-2</v>
      </c>
      <c r="AC10" s="61">
        <v>9.6000000000000002E-2</v>
      </c>
      <c r="AD10" s="61">
        <v>6.3380281690140844E-2</v>
      </c>
      <c r="AE10" s="61">
        <v>9.6385542168674704E-2</v>
      </c>
      <c r="AF10" s="61">
        <v>9.4117647058823528E-2</v>
      </c>
      <c r="AG10" s="61">
        <v>9.8765432098765427E-2</v>
      </c>
      <c r="AH10" s="61">
        <v>9.2105263157894732E-2</v>
      </c>
      <c r="AI10" s="61">
        <v>8.1081081081081086E-2</v>
      </c>
      <c r="AJ10" s="61">
        <v>7.926829268292683E-2</v>
      </c>
      <c r="AK10" s="62">
        <v>8.2568807339449546E-2</v>
      </c>
      <c r="AL10" s="82">
        <f t="shared" si="0"/>
        <v>8.519863908421027E-2</v>
      </c>
    </row>
    <row r="11" spans="1:38" ht="15">
      <c r="A11" s="59">
        <v>9</v>
      </c>
      <c r="B11" s="74">
        <f>(getDistance(coord!C9,coord!D9,coord!$C$1,coord!$D$1)*1000)/$B$20</f>
        <v>7.6853360723040068E-2</v>
      </c>
      <c r="C11" s="74">
        <f>(getDistance(coord!C9,coord!D9,coord!$C$2,coord!$D$2)*1000)/$C$20</f>
        <v>7.2892421099228111E-2</v>
      </c>
      <c r="D11" s="74">
        <f>(getDistance(coord!$C9,coord!$D9,coord!$C$3,coord!$D$3)*1000)/$D$20</f>
        <v>6.6269419242501834E-2</v>
      </c>
      <c r="E11" s="74">
        <f>(getDistance(coord!$C9,coord!$D9,coord!$C$4,coord!$D$4)*1000)/$E$20</f>
        <v>7.7821029734533517E-2</v>
      </c>
      <c r="F11" s="74">
        <f>(getDistance(coord!$C9,coord!$D9,coord!$C$5,coord!$D$5)*1000)/$F$20</f>
        <v>1.4494974915072205E-2</v>
      </c>
      <c r="G11" s="74">
        <f>(getDistance(coord!$C9,coord!$D9,coord!$C$6,coord!$D$6)*1000)/$G$20</f>
        <v>3.4541692980885677E-2</v>
      </c>
      <c r="H11" s="74">
        <f>(getDistance(coord!$C9,coord!$D9,coord!$C$7,coord!$D$7)*1000)/$H$20</f>
        <v>3.5418663225925767E-2</v>
      </c>
      <c r="I11" s="74">
        <f>(getDistance(coord!$C9,coord!$D9,coord!$C$8,coord!$D$8)*1000)/$I$20</f>
        <v>1.9454992196515256E-2</v>
      </c>
      <c r="J11" s="75">
        <f>(getDistance(coord!$C9,coord!$D9,coord!$C$9,coord!$D$9)*1000)/$J$20</f>
        <v>0</v>
      </c>
      <c r="K11" s="74">
        <f>(getDistance(coord!$C9,coord!$D9,coord!$C$10,coord!$D$10)*1000)/$K$20</f>
        <v>3.0051966035264915E-2</v>
      </c>
      <c r="L11" s="74">
        <f>(getDistance(coord!$C9,coord!$D9,coord!$C$11,coord!$D$11)*1000)/$L$20</f>
        <v>6.3956981472842303E-2</v>
      </c>
      <c r="M11" s="74">
        <f>(getDistance(coord!$C9,coord!$D9,coord!$C$12,coord!$D$12)*1000)/$M$20</f>
        <v>4.3841191653188123E-2</v>
      </c>
      <c r="N11" s="74">
        <f>(getDistance(coord!$C9,coord!$D9,coord!$C$13,coord!$D$13)*1000)/$N$20</f>
        <v>8.0008565439865093E-2</v>
      </c>
      <c r="O11" s="74">
        <f>(getDistance(coord!$C9,coord!$D9,coord!$C$14,coord!$D$14)*1000)/$O$20</f>
        <v>7.9114399096281499E-2</v>
      </c>
      <c r="P11" s="74">
        <f>(getDistance(coord!$C9,coord!$D9,coord!$C$15,coord!$D$15)*1000)/$P$20</f>
        <v>2.9333697451410307E-2</v>
      </c>
      <c r="Q11" s="74">
        <f>(getDistance(coord!$C9,coord!$D9,coord!$C$16,coord!$D$16)*1000)/$Q$20</f>
        <v>4.2305951765213359E-2</v>
      </c>
      <c r="R11" s="74">
        <f>(getDistance(coord!$C9,coord!$D9,coord!$C$17,coord!$D$17)*1000)/$R$20</f>
        <v>3.6437900182833403E-2</v>
      </c>
      <c r="S11" s="58" t="s">
        <v>22</v>
      </c>
      <c r="T11" s="59">
        <v>16</v>
      </c>
      <c r="U11" s="63">
        <v>8.2758620689655171E-2</v>
      </c>
      <c r="V11" s="63">
        <v>9.8039215686274508E-2</v>
      </c>
      <c r="W11" s="61">
        <v>6.0606060606060608E-2</v>
      </c>
      <c r="X11" s="61">
        <v>0.11428571428571428</v>
      </c>
      <c r="Y11" s="61">
        <v>7.0175438596491224E-2</v>
      </c>
      <c r="Z11" s="61">
        <v>7.9155672823219003E-2</v>
      </c>
      <c r="AA11" s="61">
        <v>8.6956521739130432E-2</v>
      </c>
      <c r="AB11" s="61">
        <v>7.2727272727272724E-2</v>
      </c>
      <c r="AC11" s="61">
        <v>9.6000000000000002E-2</v>
      </c>
      <c r="AD11" s="61">
        <v>6.3380281690140844E-2</v>
      </c>
      <c r="AE11" s="61">
        <v>9.6385542168674704E-2</v>
      </c>
      <c r="AF11" s="61">
        <v>9.4117647058823528E-2</v>
      </c>
      <c r="AG11" s="61">
        <v>9.8765432098765427E-2</v>
      </c>
      <c r="AH11" s="61">
        <v>9.2105263157894732E-2</v>
      </c>
      <c r="AI11" s="61">
        <v>8.1081081081081086E-2</v>
      </c>
      <c r="AJ11" s="61">
        <v>9.1463414634146339E-2</v>
      </c>
      <c r="AK11" s="62">
        <v>7.3394495412844041E-2</v>
      </c>
      <c r="AL11" s="82">
        <f t="shared" si="0"/>
        <v>8.5376333791540512E-2</v>
      </c>
    </row>
    <row r="12" spans="1:38" ht="15">
      <c r="A12" s="59">
        <v>10</v>
      </c>
      <c r="B12" s="74">
        <f>(getDistance(coord!C10,coord!D10,coord!$C$1,coord!$D$1)*1000)/$B$20</f>
        <v>6.3600540027924646E-2</v>
      </c>
      <c r="C12" s="74">
        <f>(getDistance(coord!C10,coord!D10,coord!$C$2,coord!$D$2)*1000)/$C$20</f>
        <v>6.0709928608488055E-2</v>
      </c>
      <c r="D12" s="74">
        <f>(getDistance(coord!$C10,coord!$D10,coord!$C$3,coord!$D$3)*1000)/$D$20</f>
        <v>5.3140429031264647E-2</v>
      </c>
      <c r="E12" s="74">
        <f>(getDistance(coord!$C10,coord!$D10,coord!$C$4,coord!$D$4)*1000)/$E$20</f>
        <v>6.3707311184292334E-2</v>
      </c>
      <c r="F12" s="74">
        <f>(getDistance(coord!$C10,coord!$D10,coord!$C$5,coord!$D$5)*1000)/$F$20</f>
        <v>1.6736583430925735E-2</v>
      </c>
      <c r="G12" s="74">
        <f>(getDistance(coord!$C10,coord!$D10,coord!$C$6,coord!$D$6)*1000)/$G$20</f>
        <v>1.6477274234803704E-2</v>
      </c>
      <c r="H12" s="74">
        <f>(getDistance(coord!$C10,coord!$D10,coord!$C$7,coord!$D$7)*1000)/$H$20</f>
        <v>3.8029499528976364E-2</v>
      </c>
      <c r="I12" s="74">
        <f>(getDistance(coord!$C10,coord!$D10,coord!$C$8,coord!$D$8)*1000)/$I$20</f>
        <v>1.7822169433337764E-2</v>
      </c>
      <c r="J12" s="74">
        <f>(getDistance(coord!$C10,coord!$D10,coord!$C$9,coord!$D$9)*1000)/$J$20</f>
        <v>2.6812439532441078E-2</v>
      </c>
      <c r="K12" s="75">
        <f>(getDistance(coord!$C10,coord!$D10,coord!$C$10,coord!$D$10)*1000)/$K$20</f>
        <v>0</v>
      </c>
      <c r="L12" s="74">
        <f>(getDistance(coord!$C10,coord!$D10,coord!$C$11,coord!$D$11)*1000)/$L$20</f>
        <v>3.9354063672278637E-2</v>
      </c>
      <c r="M12" s="74">
        <f>(getDistance(coord!$C10,coord!$D10,coord!$C$12,coord!$D$12)*1000)/$M$20</f>
        <v>4.2894568213011769E-2</v>
      </c>
      <c r="N12" s="74">
        <f>(getDistance(coord!$C10,coord!$D10,coord!$C$13,coord!$D$13)*1000)/$N$20</f>
        <v>6.5606399204571786E-2</v>
      </c>
      <c r="O12" s="74">
        <f>(getDistance(coord!$C10,coord!$D10,coord!$C$14,coord!$D$14)*1000)/$O$20</f>
        <v>6.5676574494798801E-2</v>
      </c>
      <c r="P12" s="74">
        <f>(getDistance(coord!$C10,coord!$D10,coord!$C$15,coord!$D$15)*1000)/$P$20</f>
        <v>4.0948212204785242E-2</v>
      </c>
      <c r="Q12" s="74">
        <f>(getDistance(coord!$C10,coord!$D10,coord!$C$16,coord!$D$16)*1000)/$Q$20</f>
        <v>5.3859370950850576E-2</v>
      </c>
      <c r="R12" s="74">
        <f>(getDistance(coord!$C10,coord!$D10,coord!$C$17,coord!$D$17)*1000)/$R$20</f>
        <v>4.684761894464741E-2</v>
      </c>
      <c r="S12" s="58" t="s">
        <v>23</v>
      </c>
      <c r="T12" s="59">
        <v>17</v>
      </c>
      <c r="U12" s="63">
        <v>8.2758620689655171E-2</v>
      </c>
      <c r="V12" s="63">
        <v>9.8039215686274508E-2</v>
      </c>
      <c r="W12" s="61">
        <v>6.0606060606060608E-2</v>
      </c>
      <c r="X12" s="61">
        <v>0.11428571428571428</v>
      </c>
      <c r="Y12" s="61">
        <v>7.0175438596491224E-2</v>
      </c>
      <c r="Z12" s="61">
        <v>7.9155672823219003E-2</v>
      </c>
      <c r="AA12" s="61">
        <v>8.6956521739130432E-2</v>
      </c>
      <c r="AB12" s="61">
        <v>7.2727272727272724E-2</v>
      </c>
      <c r="AC12" s="61">
        <v>9.6000000000000002E-2</v>
      </c>
      <c r="AD12" s="61">
        <v>5.6338028169014086E-2</v>
      </c>
      <c r="AE12" s="61">
        <v>9.6385542168674704E-2</v>
      </c>
      <c r="AF12" s="61">
        <v>9.4117647058823528E-2</v>
      </c>
      <c r="AG12" s="61">
        <v>8.6419753086419748E-2</v>
      </c>
      <c r="AH12" s="61">
        <v>7.8947368421052627E-2</v>
      </c>
      <c r="AI12" s="61">
        <v>8.1081081081081086E-2</v>
      </c>
      <c r="AJ12" s="61">
        <v>9.7560975609756101E-2</v>
      </c>
      <c r="AK12" s="62">
        <v>7.3394495412844041E-2</v>
      </c>
      <c r="AL12" s="82">
        <f t="shared" si="0"/>
        <v>8.3820553421263766E-2</v>
      </c>
    </row>
    <row r="13" spans="1:38" ht="15">
      <c r="A13" s="59">
        <v>11</v>
      </c>
      <c r="B13" s="74">
        <f>(getDistance(coord!C11,coord!D11,coord!$C$1,coord!$D$1)*1000)/$B$20</f>
        <v>5.3003930552678102E-2</v>
      </c>
      <c r="C13" s="74">
        <f>(getDistance(coord!C11,coord!D11,coord!$C$2,coord!$D$2)*1000)/$C$20</f>
        <v>5.5340149093294128E-2</v>
      </c>
      <c r="D13" s="74">
        <f>(getDistance(coord!$C11,coord!$D11,coord!$C$3,coord!$D$3)*1000)/$D$20</f>
        <v>5.2960760993775863E-2</v>
      </c>
      <c r="E13" s="74">
        <f>(getDistance(coord!$C11,coord!$D11,coord!$C$4,coord!$D$4)*1000)/$E$20</f>
        <v>4.1105496003302211E-2</v>
      </c>
      <c r="F13" s="74">
        <f>(getDistance(coord!$C11,coord!$D11,coord!$C$5,coord!$D$5)*1000)/$F$20</f>
        <v>6.1658373422498379E-2</v>
      </c>
      <c r="G13" s="74">
        <f>(getDistance(coord!$C11,coord!$D11,coord!$C$6,coord!$D$6)*1000)/$G$20</f>
        <v>4.5039467747617051E-2</v>
      </c>
      <c r="H13" s="74">
        <f>(getDistance(coord!$C11,coord!$D11,coord!$C$7,coord!$D$7)*1000)/$H$20</f>
        <v>5.9789996895561061E-2</v>
      </c>
      <c r="I13" s="74">
        <f>(getDistance(coord!$C11,coord!$D11,coord!$C$8,coord!$D$8)*1000)/$I$20</f>
        <v>5.9256407557506004E-2</v>
      </c>
      <c r="J13" s="74">
        <f>(getDistance(coord!$C11,coord!$D11,coord!$C$9,coord!$D$9)*1000)/$J$20</f>
        <v>6.9279553469114658E-2</v>
      </c>
      <c r="K13" s="74">
        <f>(getDistance(coord!$C11,coord!$D11,coord!$C$10,coord!$D$10)*1000)/$K$20</f>
        <v>4.7779683050346779E-2</v>
      </c>
      <c r="L13" s="75">
        <f>(getDistance(coord!$C11,coord!$D11,coord!$C$11,coord!$D$11)*1000)/$L$20</f>
        <v>0</v>
      </c>
      <c r="M13" s="74">
        <f>(getDistance(coord!$C11,coord!$D11,coord!$C$12,coord!$D$12)*1000)/$M$20</f>
        <v>5.572497415185388E-2</v>
      </c>
      <c r="N13" s="74">
        <f>(getDistance(coord!$C11,coord!$D11,coord!$C$13,coord!$D$13)*1000)/$N$20</f>
        <v>4.3871153743780165E-2</v>
      </c>
      <c r="O13" s="74">
        <f>(getDistance(coord!$C11,coord!$D11,coord!$C$14,coord!$D$14)*1000)/$O$20</f>
        <v>5.1083997047246268E-2</v>
      </c>
      <c r="P13" s="74">
        <f>(getDistance(coord!$C11,coord!$D11,coord!$C$15,coord!$D$15)*1000)/$P$20</f>
        <v>7.4081405748092202E-2</v>
      </c>
      <c r="Q13" s="74">
        <f>(getDistance(coord!$C11,coord!$D11,coord!$C$16,coord!$D$16)*1000)/$Q$20</f>
        <v>7.6744460092839653E-2</v>
      </c>
      <c r="R13" s="74">
        <f>(getDistance(coord!$C11,coord!$D11,coord!$C$17,coord!$D$17)*1000)/$R$20</f>
        <v>7.5515635864192812E-2</v>
      </c>
      <c r="S13" s="58" t="s">
        <v>24</v>
      </c>
      <c r="T13" s="59">
        <v>18</v>
      </c>
      <c r="U13" s="63">
        <v>8.2758620689655171E-2</v>
      </c>
      <c r="V13" s="63">
        <v>9.8039215686274508E-2</v>
      </c>
      <c r="W13" s="61">
        <v>6.0606060606060608E-2</v>
      </c>
      <c r="X13" s="61">
        <v>0.11428571428571428</v>
      </c>
      <c r="Y13" s="61">
        <v>7.0175438596491224E-2</v>
      </c>
      <c r="Z13" s="61">
        <v>7.9155672823219003E-2</v>
      </c>
      <c r="AA13" s="61">
        <v>6.5217391304347824E-2</v>
      </c>
      <c r="AB13" s="61">
        <v>7.2727272727272724E-2</v>
      </c>
      <c r="AC13" s="61">
        <v>9.6000000000000002E-2</v>
      </c>
      <c r="AD13" s="61">
        <v>5.6338028169014086E-2</v>
      </c>
      <c r="AE13" s="61">
        <v>8.4337349397590355E-2</v>
      </c>
      <c r="AF13" s="61">
        <v>9.4117647058823528E-2</v>
      </c>
      <c r="AG13" s="61">
        <v>7.407407407407407E-2</v>
      </c>
      <c r="AH13" s="61">
        <v>6.5789473684210523E-2</v>
      </c>
      <c r="AI13" s="61">
        <v>6.7567567567567571E-2</v>
      </c>
      <c r="AJ13" s="61">
        <v>9.7560975609756101E-2</v>
      </c>
      <c r="AK13" s="62">
        <v>6.4220183486238536E-2</v>
      </c>
      <c r="AL13" s="82">
        <f t="shared" si="0"/>
        <v>7.8998275633312381E-2</v>
      </c>
    </row>
    <row r="14" spans="1:38" ht="15">
      <c r="A14" s="59">
        <v>12</v>
      </c>
      <c r="B14" s="74">
        <f>(getDistance(coord!C12,coord!D12,coord!$C$1,coord!$D$1)*1000)/$B$20</f>
        <v>0.12442312897060948</v>
      </c>
      <c r="C14" s="74">
        <f>(getDistance(coord!C12,coord!D12,coord!$C$2,coord!$D$2)*1000)/$C$20</f>
        <v>0.12613552986261042</v>
      </c>
      <c r="D14" s="74">
        <f>(getDistance(coord!$C12,coord!$D12,coord!$C$3,coord!$D$3)*1000)/$D$20</f>
        <v>0.12486504824989027</v>
      </c>
      <c r="E14" s="74">
        <f>(getDistance(coord!$C12,coord!$D12,coord!$C$4,coord!$D$4)*1000)/$E$20</f>
        <v>9.2033808712977699E-2</v>
      </c>
      <c r="F14" s="74">
        <f>(getDistance(coord!$C12,coord!$D12,coord!$C$5,coord!$D$5)*1000)/$F$20</f>
        <v>6.8309619236441591E-2</v>
      </c>
      <c r="G14" s="74">
        <f>(getDistance(coord!$C12,coord!$D12,coord!$C$6,coord!$D$6)*1000)/$G$20</f>
        <v>5.6183082430647978E-2</v>
      </c>
      <c r="H14" s="74">
        <f>(getDistance(coord!$C12,coord!$D12,coord!$C$7,coord!$D$7)*1000)/$H$20</f>
        <v>1.722571046413977E-2</v>
      </c>
      <c r="I14" s="74">
        <f>(getDistance(coord!$C12,coord!$D12,coord!$C$8,coord!$D$8)*1000)/$I$20</f>
        <v>5.9846701388051766E-2</v>
      </c>
      <c r="J14" s="74">
        <f>(getDistance(coord!$C12,coord!$D12,coord!$C$9,coord!$D$9)*1000)/$J$20</f>
        <v>7.2221246955502236E-2</v>
      </c>
      <c r="K14" s="74">
        <f>(getDistance(coord!$C12,coord!$D12,coord!$C$10,coord!$D$10)*1000)/$K$20</f>
        <v>7.919932715662388E-2</v>
      </c>
      <c r="L14" s="74">
        <f>(getDistance(coord!$C12,coord!$D12,coord!$C$11,coord!$D$11)*1000)/$L$20</f>
        <v>8.4745254194830075E-2</v>
      </c>
      <c r="M14" s="75">
        <f>(getDistance(coord!$C12,coord!$D12,coord!$C$12,coord!$D$12)*1000)/$M$20</f>
        <v>0</v>
      </c>
      <c r="N14" s="74">
        <f>(getDistance(coord!$C12,coord!$D12,coord!$C$13,coord!$D$13)*1000)/$N$20</f>
        <v>0.10320279985749732</v>
      </c>
      <c r="O14" s="74">
        <f>(getDistance(coord!$C12,coord!$D12,coord!$C$14,coord!$D$14)*1000)/$O$20</f>
        <v>0.11958450576045555</v>
      </c>
      <c r="P14" s="74">
        <f>(getDistance(coord!$C12,coord!$D12,coord!$C$15,coord!$D$15)*1000)/$P$20</f>
        <v>0.10028480156895668</v>
      </c>
      <c r="Q14" s="74">
        <f>(getDistance(coord!$C12,coord!$D12,coord!$C$16,coord!$D$16)*1000)/$Q$20</f>
        <v>9.4494373602843837E-2</v>
      </c>
      <c r="R14" s="74">
        <f>(getDistance(coord!$C12,coord!$D12,coord!$C$17,coord!$D$17)*1000)/$R$20</f>
        <v>0.10336144240353058</v>
      </c>
      <c r="S14" s="58" t="s">
        <v>25</v>
      </c>
      <c r="T14" s="59">
        <v>19</v>
      </c>
      <c r="U14" s="63">
        <v>8.2758620689655171E-2</v>
      </c>
      <c r="V14" s="63">
        <v>9.8039215686274508E-2</v>
      </c>
      <c r="W14" s="61">
        <v>6.0606060606060608E-2</v>
      </c>
      <c r="X14" s="61">
        <v>9.5238095238095233E-2</v>
      </c>
      <c r="Y14" s="61">
        <v>7.0175438596491224E-2</v>
      </c>
      <c r="Z14" s="61">
        <v>7.9155672823219003E-2</v>
      </c>
      <c r="AA14" s="61">
        <v>6.5217391304347824E-2</v>
      </c>
      <c r="AB14" s="61">
        <v>7.2727272727272724E-2</v>
      </c>
      <c r="AC14" s="61">
        <v>9.6000000000000002E-2</v>
      </c>
      <c r="AD14" s="61">
        <v>6.3380281690140844E-2</v>
      </c>
      <c r="AE14" s="61">
        <v>7.2289156626506021E-2</v>
      </c>
      <c r="AF14" s="61">
        <v>8.2352941176470587E-2</v>
      </c>
      <c r="AG14" s="61">
        <v>6.1728395061728392E-2</v>
      </c>
      <c r="AH14" s="61">
        <v>5.2631578947368418E-2</v>
      </c>
      <c r="AI14" s="61">
        <v>5.4054054054054057E-2</v>
      </c>
      <c r="AJ14" s="61">
        <v>8.5365853658536592E-2</v>
      </c>
      <c r="AK14" s="62">
        <v>5.5045871559633031E-2</v>
      </c>
      <c r="AL14" s="82">
        <f t="shared" si="0"/>
        <v>7.3339170614462018E-2</v>
      </c>
    </row>
    <row r="15" spans="1:38" ht="15">
      <c r="A15" s="59">
        <v>13</v>
      </c>
      <c r="B15" s="74">
        <f>(getDistance(coord!C13,coord!D13,coord!$C$1,coord!$D$1)*1000)/$B$20</f>
        <v>4.3406939779412235E-2</v>
      </c>
      <c r="C15" s="74">
        <f>(getDistance(coord!C13,coord!D13,coord!$C$2,coord!$D$2)*1000)/$C$20</f>
        <v>5.5092401920754E-2</v>
      </c>
      <c r="D15" s="74">
        <f>(getDistance(coord!$C13,coord!$D13,coord!$C$3,coord!$D$3)*1000)/$D$20</f>
        <v>6.8007338920972327E-2</v>
      </c>
      <c r="E15" s="74">
        <f>(getDistance(coord!$C13,coord!$D13,coord!$C$4,coord!$D$4)*1000)/$E$20</f>
        <v>1.4438397823923838E-2</v>
      </c>
      <c r="F15" s="74">
        <f>(getDistance(coord!$C13,coord!$D13,coord!$C$5,coord!$D$5)*1000)/$F$20</f>
        <v>0.1240891523847116</v>
      </c>
      <c r="G15" s="74">
        <f>(getDistance(coord!$C13,coord!$D13,coord!$C$6,coord!$D$6)*1000)/$G$20</f>
        <v>0.11076152027668346</v>
      </c>
      <c r="H15" s="74">
        <f>(getDistance(coord!$C13,coord!$D13,coord!$C$7,coord!$D$7)*1000)/$H$20</f>
        <v>0.10772280686510681</v>
      </c>
      <c r="I15" s="74">
        <f>(getDistance(coord!$C13,coord!$D13,coord!$C$8,coord!$D$8)*1000)/$I$20</f>
        <v>0.12239524124525568</v>
      </c>
      <c r="J15" s="74">
        <f>(getDistance(coord!$C13,coord!$D13,coord!$C$9,coord!$D$9)*1000)/$J$20</f>
        <v>0.12378913316752277</v>
      </c>
      <c r="K15" s="74">
        <f>(getDistance(coord!$C13,coord!$D13,coord!$C$10,coord!$D$10)*1000)/$K$20</f>
        <v>0.11377027287175775</v>
      </c>
      <c r="L15" s="74">
        <f>(getDistance(coord!$C13,coord!$D13,coord!$C$11,coord!$D$11)*1000)/$L$20</f>
        <v>6.2662536812475564E-2</v>
      </c>
      <c r="M15" s="74">
        <f>(getDistance(coord!$C13,coord!$D13,coord!$C$12,coord!$D$12)*1000)/$M$20</f>
        <v>9.6929257430178856E-2</v>
      </c>
      <c r="N15" s="75">
        <f>(getDistance(coord!$C13,coord!$D13,coord!$C$13,coord!$D$13)*1000)/$N$20</f>
        <v>0</v>
      </c>
      <c r="O15" s="74">
        <f>(getDistance(coord!$C13,coord!$D13,coord!$C$14,coord!$D$14)*1000)/$O$20</f>
        <v>3.0320827121779963E-2</v>
      </c>
      <c r="P15" s="74">
        <f>(getDistance(coord!$C13,coord!$D13,coord!$C$15,coord!$D$15)*1000)/$P$20</f>
        <v>0.11247572642383664</v>
      </c>
      <c r="Q15" s="74">
        <f>(getDistance(coord!$C13,coord!$D13,coord!$C$16,coord!$D$16)*1000)/$Q$20</f>
        <v>9.6992800532127305E-2</v>
      </c>
      <c r="R15" s="74">
        <f>(getDistance(coord!$C13,coord!$D13,coord!$C$17,coord!$D$17)*1000)/$R$20</f>
        <v>0.10656888739771539</v>
      </c>
      <c r="S15" s="58" t="s">
        <v>26</v>
      </c>
      <c r="T15" s="59">
        <v>20</v>
      </c>
      <c r="U15" s="63">
        <v>6.2068965517241378E-2</v>
      </c>
      <c r="V15" s="63">
        <v>5.8823529411764705E-2</v>
      </c>
      <c r="W15" s="61">
        <v>6.0606060606060608E-2</v>
      </c>
      <c r="X15" s="61">
        <v>6.6666666666666666E-2</v>
      </c>
      <c r="Y15" s="61">
        <v>6.1403508771929821E-2</v>
      </c>
      <c r="Z15" s="61">
        <v>7.9155672823219003E-2</v>
      </c>
      <c r="AA15" s="61">
        <v>4.3478260869565216E-2</v>
      </c>
      <c r="AB15" s="61">
        <v>0.16363636363636364</v>
      </c>
      <c r="AC15" s="61">
        <v>7.1999999999999995E-2</v>
      </c>
      <c r="AD15" s="61">
        <v>6.3380281690140844E-2</v>
      </c>
      <c r="AE15" s="61">
        <v>6.0240963855421686E-2</v>
      </c>
      <c r="AF15" s="61">
        <v>7.0588235294117646E-2</v>
      </c>
      <c r="AG15" s="61">
        <v>4.9382716049382713E-2</v>
      </c>
      <c r="AH15" s="61">
        <v>3.9473684210526314E-2</v>
      </c>
      <c r="AI15" s="61">
        <v>5.4054054054054057E-2</v>
      </c>
      <c r="AJ15" s="61">
        <v>7.926829268292683E-2</v>
      </c>
      <c r="AK15" s="62">
        <v>4.5871559633027525E-2</v>
      </c>
      <c r="AL15" s="82">
        <f t="shared" si="0"/>
        <v>6.647640092778874E-2</v>
      </c>
    </row>
    <row r="16" spans="1:38" ht="15">
      <c r="A16" s="59">
        <v>14</v>
      </c>
      <c r="B16" s="74">
        <f>(getDistance(coord!C14,coord!D14,coord!$C$1,coord!$D$1)*1000)/$B$20</f>
        <v>1.1391037810811092E-2</v>
      </c>
      <c r="C16" s="74">
        <f>(getDistance(coord!C14,coord!D14,coord!$C$2,coord!$D$2)*1000)/$C$20</f>
        <v>2.1857505644037514E-2</v>
      </c>
      <c r="D16" s="74">
        <f>(getDistance(coord!$C14,coord!$D14,coord!$C$3,coord!$D$3)*1000)/$D$20</f>
        <v>3.5317455666289209E-2</v>
      </c>
      <c r="E16" s="74">
        <f>(getDistance(coord!$C14,coord!$D14,coord!$C$4,coord!$D$4)*1000)/$E$20</f>
        <v>3.5308611522660197E-2</v>
      </c>
      <c r="F16" s="74">
        <f>(getDistance(coord!$C14,coord!$D14,coord!$C$5,coord!$D$5)*1000)/$F$20</f>
        <v>0.10115541709631623</v>
      </c>
      <c r="G16" s="74">
        <f>(getDistance(coord!$C14,coord!$D14,coord!$C$6,coord!$D$6)*1000)/$G$20</f>
        <v>9.5442598560997072E-2</v>
      </c>
      <c r="H16" s="74">
        <f>(getDistance(coord!$C14,coord!$D14,coord!$C$7,coord!$D$7)*1000)/$H$20</f>
        <v>9.6695571475339706E-2</v>
      </c>
      <c r="I16" s="74">
        <f>(getDistance(coord!$C14,coord!$D14,coord!$C$8,coord!$D$8)*1000)/$I$20</f>
        <v>0.10192976553023066</v>
      </c>
      <c r="J16" s="74">
        <f>(getDistance(coord!$C14,coord!$D14,coord!$C$9,coord!$D$9)*1000)/$J$20</f>
        <v>9.8747671612708338E-2</v>
      </c>
      <c r="K16" s="74">
        <f>(getDistance(coord!$C14,coord!$D14,coord!$C$10,coord!$D$10)*1000)/$K$20</f>
        <v>9.1879449125607152E-2</v>
      </c>
      <c r="L16" s="74">
        <f>(getDistance(coord!$C14,coord!$D14,coord!$C$11,coord!$D$11)*1000)/$L$20</f>
        <v>5.8862551050327262E-2</v>
      </c>
      <c r="M16" s="74">
        <f>(getDistance(coord!$C14,coord!$D14,coord!$C$12,coord!$D$12)*1000)/$M$20</f>
        <v>9.0607388008584963E-2</v>
      </c>
      <c r="N16" s="74">
        <f>(getDistance(coord!$C14,coord!$D14,coord!$C$13,coord!$D$13)*1000)/$N$20</f>
        <v>2.4460556662748552E-2</v>
      </c>
      <c r="O16" s="75">
        <f>(getDistance(coord!$C14,coord!$D14,coord!$C$14,coord!$D$14)*1000)/$O$20</f>
        <v>0</v>
      </c>
      <c r="P16" s="74">
        <f>(getDistance(coord!$C14,coord!$D14,coord!$C$15,coord!$D$15)*1000)/$P$20</f>
        <v>8.1435855710390165E-2</v>
      </c>
      <c r="Q16" s="74">
        <f>(getDistance(coord!$C14,coord!$D14,coord!$C$16,coord!$D$16)*1000)/$Q$20</f>
        <v>7.0823158857472049E-2</v>
      </c>
      <c r="R16" s="74">
        <f>(getDistance(coord!$C14,coord!$D14,coord!$C$17,coord!$D$17)*1000)/$R$20</f>
        <v>7.5540162362182181E-2</v>
      </c>
      <c r="S16" s="58" t="s">
        <v>27</v>
      </c>
      <c r="T16" s="59">
        <v>21</v>
      </c>
      <c r="U16" s="63">
        <v>5.5172413793103448E-2</v>
      </c>
      <c r="V16" s="63">
        <v>3.9215686274509803E-2</v>
      </c>
      <c r="W16" s="61">
        <v>6.0606060606060608E-2</v>
      </c>
      <c r="X16" s="61">
        <v>4.7619047619047616E-2</v>
      </c>
      <c r="Y16" s="61">
        <v>5.2631578947368418E-2</v>
      </c>
      <c r="Z16" s="61">
        <v>6.5963060686015831E-2</v>
      </c>
      <c r="AA16" s="61">
        <v>4.3478260869565216E-2</v>
      </c>
      <c r="AB16" s="61">
        <v>5.4545454545454543E-2</v>
      </c>
      <c r="AC16" s="61">
        <v>5.6000000000000001E-2</v>
      </c>
      <c r="AD16" s="61">
        <v>5.6338028169014086E-2</v>
      </c>
      <c r="AE16" s="61">
        <v>4.8192771084337352E-2</v>
      </c>
      <c r="AF16" s="61">
        <v>5.8823529411764705E-2</v>
      </c>
      <c r="AG16" s="61">
        <v>3.7037037037037035E-2</v>
      </c>
      <c r="AH16" s="61">
        <v>2.6315789473684209E-2</v>
      </c>
      <c r="AI16" s="61">
        <v>4.0540540540540543E-2</v>
      </c>
      <c r="AJ16" s="61">
        <v>7.3170731707317069E-2</v>
      </c>
      <c r="AK16" s="62">
        <v>3.669724770642202E-2</v>
      </c>
      <c r="AL16" s="82">
        <f t="shared" si="0"/>
        <v>5.0138072851249556E-2</v>
      </c>
    </row>
    <row r="17" spans="1:38" ht="15">
      <c r="A17" s="59">
        <v>15</v>
      </c>
      <c r="B17" s="74">
        <f>(getDistance(coord!C15,coord!D15,coord!$C$1,coord!$D$1)*1000)/$B$20</f>
        <v>6.159839731125575E-2</v>
      </c>
      <c r="C17" s="74">
        <f>(getDistance(coord!C15,coord!D15,coord!$C$2,coord!$D$2)*1000)/$C$20</f>
        <v>5.5626049614270444E-2</v>
      </c>
      <c r="D17" s="74">
        <f>(getDistance(coord!$C15,coord!$D15,coord!$C$3,coord!$D$3)*1000)/$D$20</f>
        <v>4.9195690408532458E-2</v>
      </c>
      <c r="E17" s="74">
        <f>(getDistance(coord!$C15,coord!$D15,coord!$C$4,coord!$D$4)*1000)/$E$20</f>
        <v>7.4892785326375819E-2</v>
      </c>
      <c r="F17" s="74">
        <f>(getDistance(coord!$C15,coord!$D15,coord!$C$5,coord!$D$5)*1000)/$F$20</f>
        <v>4.088898791800083E-2</v>
      </c>
      <c r="G17" s="74">
        <f>(getDistance(coord!$C15,coord!$D15,coord!$C$6,coord!$D$6)*1000)/$G$20</f>
        <v>5.6571080039354259E-2</v>
      </c>
      <c r="H17" s="74">
        <f>(getDistance(coord!$C15,coord!$D15,coord!$C$7,coord!$D$7)*1000)/$H$20</f>
        <v>5.6781722241748413E-2</v>
      </c>
      <c r="I17" s="74">
        <f>(getDistance(coord!$C15,coord!$D15,coord!$C$8,coord!$D$8)*1000)/$I$20</f>
        <v>4.6372213769185183E-2</v>
      </c>
      <c r="J17" s="74">
        <f>(getDistance(coord!$C15,coord!$D15,coord!$C$9,coord!$D$9)*1000)/$J$20</f>
        <v>2.9732430251815069E-2</v>
      </c>
      <c r="K17" s="74">
        <f>(getDistance(coord!$C15,coord!$D15,coord!$C$10,coord!$D$10)*1000)/$K$20</f>
        <v>4.6519507142997685E-2</v>
      </c>
      <c r="L17" s="74">
        <f>(getDistance(coord!$C15,coord!$D15,coord!$C$11,coord!$D$11)*1000)/$L$20</f>
        <v>6.931954347696262E-2</v>
      </c>
      <c r="M17" s="74">
        <f>(getDistance(coord!$C15,coord!$D15,coord!$C$12,coord!$D$12)*1000)/$M$20</f>
        <v>6.1704393451557905E-2</v>
      </c>
      <c r="N17" s="74">
        <f>(getDistance(coord!$C15,coord!$D15,coord!$C$13,coord!$D$13)*1000)/$N$20</f>
        <v>7.3684538685649656E-2</v>
      </c>
      <c r="O17" s="74">
        <f>(getDistance(coord!$C15,coord!$D15,coord!$C$14,coord!$D$14)*1000)/$O$20</f>
        <v>6.6131433119642771E-2</v>
      </c>
      <c r="P17" s="75">
        <f>(getDistance(coord!$C15,coord!$D15,coord!$C$15,coord!$D$15)*1000)/$P$20</f>
        <v>0</v>
      </c>
      <c r="Q17" s="74">
        <f>(getDistance(coord!$C15,coord!$D15,coord!$C$16,coord!$D$16)*1000)/$Q$20</f>
        <v>2.3576226428328278E-2</v>
      </c>
      <c r="R17" s="74">
        <f>(getDistance(coord!$C15,coord!$D15,coord!$C$17,coord!$D$17)*1000)/$R$20</f>
        <v>9.0411429457393569E-3</v>
      </c>
      <c r="S17" s="58" t="s">
        <v>28</v>
      </c>
      <c r="T17" s="59">
        <v>22</v>
      </c>
      <c r="U17" s="63">
        <v>4.8275862068965517E-2</v>
      </c>
      <c r="V17" s="63">
        <v>1.9607843137254902E-2</v>
      </c>
      <c r="W17" s="61">
        <v>6.0606060606060608E-2</v>
      </c>
      <c r="X17" s="61">
        <v>2.8571428571428571E-2</v>
      </c>
      <c r="Y17" s="61">
        <v>5.2631578947368418E-2</v>
      </c>
      <c r="Z17" s="61">
        <v>6.5963060686015831E-2</v>
      </c>
      <c r="AA17" s="61">
        <v>4.3478260869565216E-2</v>
      </c>
      <c r="AB17" s="61">
        <v>5.4545454545454543E-2</v>
      </c>
      <c r="AC17" s="61">
        <v>4.8000000000000001E-2</v>
      </c>
      <c r="AD17" s="61">
        <v>5.6338028169014086E-2</v>
      </c>
      <c r="AE17" s="61">
        <v>3.614457831325301E-2</v>
      </c>
      <c r="AF17" s="61">
        <v>4.7058823529411764E-2</v>
      </c>
      <c r="AG17" s="61">
        <v>3.7037037037037035E-2</v>
      </c>
      <c r="AH17" s="61">
        <v>2.6315789473684209E-2</v>
      </c>
      <c r="AI17" s="61">
        <v>4.0540540540540543E-2</v>
      </c>
      <c r="AJ17" s="61">
        <v>4.2682926829268296E-2</v>
      </c>
      <c r="AK17" s="62">
        <v>3.669724770642202E-2</v>
      </c>
      <c r="AL17" s="82">
        <f t="shared" si="0"/>
        <v>4.3793795354749684E-2</v>
      </c>
    </row>
    <row r="18" spans="1:38" ht="15">
      <c r="A18" s="59">
        <v>16</v>
      </c>
      <c r="B18" s="74">
        <f>(getDistance(coord!C16,coord!D16,coord!$C$1,coord!$D$1)*1000)/$B$20</f>
        <v>7.4539863090210934E-2</v>
      </c>
      <c r="C18" s="74">
        <f>(getDistance(coord!C16,coord!D16,coord!$C$2,coord!$D$2)*1000)/$C$20</f>
        <v>6.9380858823358496E-2</v>
      </c>
      <c r="D18" s="74">
        <f>(getDistance(coord!$C16,coord!$D16,coord!$C$3,coord!$D$3)*1000)/$D$20</f>
        <v>6.8379776783968532E-2</v>
      </c>
      <c r="E18" s="74">
        <f>(getDistance(coord!$C16,coord!$D16,coord!$C$4,coord!$D$4)*1000)/$E$20</f>
        <v>8.7499184224573673E-2</v>
      </c>
      <c r="F18" s="74">
        <f>(getDistance(coord!$C16,coord!$D16,coord!$C$5,coord!$D$5)*1000)/$F$20</f>
        <v>7.3597659179639202E-2</v>
      </c>
      <c r="G18" s="74">
        <f>(getDistance(coord!$C16,coord!$D16,coord!$C$6,coord!$D$6)*1000)/$G$20</f>
        <v>8.8874981726127858E-2</v>
      </c>
      <c r="H18" s="74">
        <f>(getDistance(coord!$C16,coord!$D16,coord!$C$7,coord!$D$7)*1000)/$H$20</f>
        <v>7.6116828848675294E-2</v>
      </c>
      <c r="I18" s="74">
        <f>(getDistance(coord!$C16,coord!$D16,coord!$C$8,coord!$D$8)*1000)/$I$20</f>
        <v>7.7957113685623414E-2</v>
      </c>
      <c r="J18" s="74">
        <f>(getDistance(coord!$C16,coord!$D16,coord!$C$9,coord!$D$9)*1000)/$J$20</f>
        <v>5.7972186799735002E-2</v>
      </c>
      <c r="K18" s="74">
        <f>(getDistance(coord!$C16,coord!$D16,coord!$C$10,coord!$D$10)*1000)/$K$20</f>
        <v>8.2721052024025188E-2</v>
      </c>
      <c r="L18" s="74">
        <f>(getDistance(coord!$C16,coord!$D16,coord!$C$11,coord!$D$11)*1000)/$L$20</f>
        <v>9.708410399984746E-2</v>
      </c>
      <c r="M18" s="74">
        <f>(getDistance(coord!$C16,coord!$D16,coord!$C$12,coord!$D$12)*1000)/$M$20</f>
        <v>7.8603436061609189E-2</v>
      </c>
      <c r="N18" s="74">
        <f>(getDistance(coord!$C16,coord!$D16,coord!$C$13,coord!$D$13)*1000)/$N$20</f>
        <v>8.5903661228574124E-2</v>
      </c>
      <c r="O18" s="74">
        <f>(getDistance(coord!$C16,coord!$D16,coord!$C$14,coord!$D$14)*1000)/$O$20</f>
        <v>7.7753898977035094E-2</v>
      </c>
      <c r="P18" s="74">
        <f>(getDistance(coord!$C16,coord!$D16,coord!$C$15,coord!$D$15)*1000)/$P$20</f>
        <v>3.1873437683884037E-2</v>
      </c>
      <c r="Q18" s="75">
        <f>(getDistance(coord!$C16,coord!$D16,coord!$C$16,coord!$D$16)*1000)/$Q$20</f>
        <v>0</v>
      </c>
      <c r="R18" s="74">
        <f>(getDistance(coord!$C16,coord!$D16,coord!$C$17,coord!$D$17)*1000)/$R$20</f>
        <v>2.2366467553544888E-2</v>
      </c>
      <c r="S18" s="58" t="s">
        <v>29</v>
      </c>
      <c r="T18" s="59">
        <v>23</v>
      </c>
      <c r="U18" s="61">
        <v>2.7586206896551724E-2</v>
      </c>
      <c r="V18" s="61">
        <v>1.9607843137254902E-2</v>
      </c>
      <c r="W18" s="61">
        <v>6.0606060606060608E-2</v>
      </c>
      <c r="X18" s="61">
        <v>1.9047619047619049E-2</v>
      </c>
      <c r="Y18" s="61">
        <v>3.5087719298245612E-2</v>
      </c>
      <c r="Z18" s="61">
        <v>3.9577836411609502E-2</v>
      </c>
      <c r="AA18" s="61">
        <v>4.3478260869565216E-2</v>
      </c>
      <c r="AB18" s="61">
        <v>3.6363636363636362E-2</v>
      </c>
      <c r="AC18" s="61">
        <v>4.8000000000000001E-2</v>
      </c>
      <c r="AD18" s="61">
        <v>4.9295774647887321E-2</v>
      </c>
      <c r="AE18" s="61">
        <v>3.614457831325301E-2</v>
      </c>
      <c r="AF18" s="61">
        <v>2.3529411764705882E-2</v>
      </c>
      <c r="AG18" s="61">
        <v>2.4691358024691357E-2</v>
      </c>
      <c r="AH18" s="61">
        <v>2.6315789473684209E-2</v>
      </c>
      <c r="AI18" s="61">
        <v>2.7027027027027029E-2</v>
      </c>
      <c r="AJ18" s="61">
        <v>4.2682926829268296E-2</v>
      </c>
      <c r="AK18" s="62">
        <v>3.669724770642202E-2</v>
      </c>
      <c r="AL18" s="82">
        <f t="shared" si="0"/>
        <v>3.504348802455777E-2</v>
      </c>
    </row>
    <row r="19" spans="1:38" ht="15.75" thickBot="1">
      <c r="A19" s="60">
        <v>17</v>
      </c>
      <c r="B19" s="76">
        <f>(getDistance(coord!C17,coord!D17,coord!$C$1,coord!$D$1)*1000)/$B$20</f>
        <v>6.0432531522365308E-2</v>
      </c>
      <c r="C19" s="76">
        <f>(getDistance(coord!C17,coord!D17,coord!$C$2,coord!$D$2)*1000)/$C$20</f>
        <v>5.4221091431074626E-2</v>
      </c>
      <c r="D19" s="76">
        <f>(getDistance(coord!$C17,coord!$D17,coord!$C$3,coord!$D$3)*1000)/$D$20</f>
        <v>4.9108610527564232E-2</v>
      </c>
      <c r="E19" s="76">
        <f>(getDistance(coord!$C17,coord!$D17,coord!$C$4,coord!$D$4)*1000)/$E$20</f>
        <v>7.6124360699406909E-2</v>
      </c>
      <c r="F19" s="76">
        <f>(getDistance(coord!$C17,coord!$D17,coord!$C$5,coord!$D$5)*1000)/$F$20</f>
        <v>5.1221079450713469E-2</v>
      </c>
      <c r="G19" s="76">
        <f>(getDistance(coord!$C17,coord!$D17,coord!$C$6,coord!$D$6)*1000)/$G$20</f>
        <v>6.6054212362709239E-2</v>
      </c>
      <c r="H19" s="76">
        <f>(getDistance(coord!$C17,coord!$D17,coord!$C$7,coord!$D$7)*1000)/$H$20</f>
        <v>6.3641605632909978E-2</v>
      </c>
      <c r="I19" s="76">
        <f>(getDistance(coord!$C17,coord!$D17,coord!$C$8,coord!$D$8)*1000)/$I$20</f>
        <v>5.6399985146804513E-2</v>
      </c>
      <c r="J19" s="76">
        <f>(getDistance(coord!$C17,coord!$D17,coord!$C$9,coord!$D$9)*1000)/$J$20</f>
        <v>3.9240100764582453E-2</v>
      </c>
      <c r="K19" s="76">
        <f>(getDistance(coord!$C17,coord!$D17,coord!$C$10,coord!$D$10)*1000)/$K$20</f>
        <v>5.6545865245065975E-2</v>
      </c>
      <c r="L19" s="76">
        <f>(getDistance(coord!$C17,coord!$D17,coord!$C$11,coord!$D$11)*1000)/$L$20</f>
        <v>7.5075206325497953E-2</v>
      </c>
      <c r="M19" s="76">
        <f>(getDistance(coord!$C17,coord!$D17,coord!$C$12,coord!$D$12)*1000)/$M$20</f>
        <v>6.7569810514766349E-2</v>
      </c>
      <c r="N19" s="76">
        <f>(getDistance(coord!$C17,coord!$D17,coord!$C$13,coord!$D$13)*1000)/$N$20</f>
        <v>7.4175616662935109E-2</v>
      </c>
      <c r="O19" s="76">
        <f>(getDistance(coord!$C17,coord!$D17,coord!$C$14,coord!$D$14)*1000)/$O$20</f>
        <v>6.5175347551160764E-2</v>
      </c>
      <c r="P19" s="76">
        <f>(getDistance(coord!$C17,coord!$D17,coord!$C$15,coord!$D$15)*1000)/$P$20</f>
        <v>9.6058656335458042E-3</v>
      </c>
      <c r="Q19" s="76">
        <f>(getDistance(coord!$C17,coord!$D17,coord!$C$16,coord!$D$16)*1000)/$Q$20</f>
        <v>1.757745352532147E-2</v>
      </c>
      <c r="R19" s="77">
        <f>(getDistance(coord!$C17,coord!$D17,coord!$C$17,coord!$D$17)*1000)/$R$20</f>
        <v>0</v>
      </c>
      <c r="S19" s="58" t="s">
        <v>30</v>
      </c>
      <c r="T19" s="60">
        <v>24</v>
      </c>
      <c r="U19" s="64">
        <v>2.7586206896551724E-2</v>
      </c>
      <c r="V19" s="64">
        <v>1.9607843137254902E-2</v>
      </c>
      <c r="W19" s="64">
        <v>3.0303030303030304E-2</v>
      </c>
      <c r="X19" s="64">
        <v>1.9047619047619049E-2</v>
      </c>
      <c r="Y19" s="64">
        <v>3.5087719298245612E-2</v>
      </c>
      <c r="Z19" s="64">
        <v>3.9577836411609502E-2</v>
      </c>
      <c r="AA19" s="64">
        <v>4.3478260869565216E-2</v>
      </c>
      <c r="AB19" s="64">
        <v>3.6363636363636362E-2</v>
      </c>
      <c r="AC19" s="64">
        <v>4.8000000000000001E-2</v>
      </c>
      <c r="AD19" s="64">
        <v>4.9295774647887321E-2</v>
      </c>
      <c r="AE19" s="64">
        <v>3.614457831325301E-2</v>
      </c>
      <c r="AF19" s="64">
        <v>1.1764705882352941E-2</v>
      </c>
      <c r="AG19" s="64">
        <v>1.2345679012345678E-2</v>
      </c>
      <c r="AH19" s="64">
        <v>2.6315789473684209E-2</v>
      </c>
      <c r="AI19" s="64">
        <v>2.7027027027027029E-2</v>
      </c>
      <c r="AJ19" s="64">
        <v>3.6585365853658534E-2</v>
      </c>
      <c r="AK19" s="65">
        <v>2.7522935779816515E-2</v>
      </c>
      <c r="AL19" s="82">
        <f t="shared" si="0"/>
        <v>3.0944353430443401E-2</v>
      </c>
    </row>
    <row r="20" spans="1:38" ht="15" thickBot="1">
      <c r="A20" s="4"/>
      <c r="B20" s="68">
        <v>3829.978895979646</v>
      </c>
      <c r="C20" s="68">
        <v>3616.0678119784002</v>
      </c>
      <c r="D20" s="68">
        <v>3314.493706896405</v>
      </c>
      <c r="E20" s="68">
        <v>5923.847449148986</v>
      </c>
      <c r="F20" s="68">
        <v>3181.8203817365966</v>
      </c>
      <c r="G20" s="68">
        <v>3344.9676701526337</v>
      </c>
      <c r="H20" s="68">
        <v>4701.4158231582978</v>
      </c>
      <c r="I20" s="68">
        <v>3279.0662518609661</v>
      </c>
      <c r="J20" s="68">
        <v>3381.4512311458216</v>
      </c>
      <c r="K20" s="68">
        <v>3016.9392764720842</v>
      </c>
      <c r="L20" s="68">
        <v>3662.8594091928085</v>
      </c>
      <c r="M20" s="68">
        <v>5570.3920268510847</v>
      </c>
      <c r="N20" s="68">
        <v>5231.7763035809749</v>
      </c>
      <c r="O20" s="68">
        <v>4220.6025649162793</v>
      </c>
      <c r="P20" s="68">
        <v>3427.4152805487406</v>
      </c>
      <c r="Q20" s="68">
        <v>4633.6298853195376</v>
      </c>
      <c r="R20" s="68">
        <v>3641.4965290232485</v>
      </c>
      <c r="U20" s="66">
        <v>725</v>
      </c>
      <c r="V20" s="66">
        <v>255</v>
      </c>
      <c r="W20" s="66">
        <v>165</v>
      </c>
      <c r="X20" s="66">
        <v>525</v>
      </c>
      <c r="Y20" s="66">
        <v>570</v>
      </c>
      <c r="Z20" s="66">
        <v>379</v>
      </c>
      <c r="AA20" s="66">
        <v>230</v>
      </c>
      <c r="AB20" s="66">
        <v>275</v>
      </c>
      <c r="AC20" s="66">
        <v>625</v>
      </c>
      <c r="AD20" s="66">
        <v>710</v>
      </c>
      <c r="AE20" s="66">
        <v>415</v>
      </c>
      <c r="AF20" s="66">
        <v>425</v>
      </c>
      <c r="AG20" s="66">
        <v>405</v>
      </c>
      <c r="AH20" s="66">
        <v>380</v>
      </c>
      <c r="AI20" s="66">
        <v>370</v>
      </c>
      <c r="AJ20" s="66">
        <v>820</v>
      </c>
      <c r="AK20" s="66">
        <v>545</v>
      </c>
    </row>
    <row r="21" spans="1:38" ht="15" thickBot="1">
      <c r="A21" s="69" t="s">
        <v>4</v>
      </c>
      <c r="B21" s="70" t="s">
        <v>7</v>
      </c>
      <c r="C21" s="70" t="s">
        <v>9</v>
      </c>
      <c r="D21" s="70" t="s">
        <v>61</v>
      </c>
      <c r="E21" s="70" t="s">
        <v>62</v>
      </c>
      <c r="F21" s="70" t="s">
        <v>63</v>
      </c>
      <c r="G21" s="42" t="s">
        <v>59</v>
      </c>
      <c r="H21" s="43" t="s">
        <v>60</v>
      </c>
      <c r="I21" s="135" t="s">
        <v>33</v>
      </c>
      <c r="J21" s="135" t="s">
        <v>34</v>
      </c>
      <c r="K21" s="135" t="s">
        <v>35</v>
      </c>
      <c r="L21" s="160" t="s">
        <v>37</v>
      </c>
      <c r="M21" s="161" t="s">
        <v>38</v>
      </c>
      <c r="T21" s="56" t="s">
        <v>12</v>
      </c>
      <c r="U21" s="54">
        <v>1</v>
      </c>
      <c r="V21" s="54">
        <v>2</v>
      </c>
      <c r="W21" s="54">
        <v>3</v>
      </c>
      <c r="X21" s="54">
        <v>4</v>
      </c>
      <c r="Y21" s="54">
        <v>5</v>
      </c>
      <c r="Z21" s="54">
        <v>6</v>
      </c>
      <c r="AA21" s="54">
        <v>7</v>
      </c>
      <c r="AB21" s="54">
        <v>8</v>
      </c>
      <c r="AC21" s="54">
        <v>9</v>
      </c>
      <c r="AD21" s="54">
        <v>10</v>
      </c>
      <c r="AE21" s="54">
        <v>11</v>
      </c>
      <c r="AF21" s="54">
        <v>12</v>
      </c>
      <c r="AG21" s="54">
        <v>13</v>
      </c>
      <c r="AH21" s="54">
        <v>14</v>
      </c>
      <c r="AI21" s="54">
        <v>15</v>
      </c>
      <c r="AJ21" s="54">
        <v>16</v>
      </c>
      <c r="AK21" s="55">
        <v>17</v>
      </c>
    </row>
    <row r="22" spans="1:38">
      <c r="A22" s="59">
        <v>8</v>
      </c>
      <c r="B22" s="59">
        <v>16</v>
      </c>
      <c r="C22" s="89" t="str">
        <f t="shared" ref="C22:C38" si="1">VLOOKUP(B22,$A$3:$S$19,19,1)</f>
        <v>Space Mtn</v>
      </c>
      <c r="D22" s="94">
        <f>ABS(E22)</f>
        <v>0</v>
      </c>
      <c r="E22" s="8"/>
      <c r="F22" s="78">
        <f t="shared" ref="F22:F38" si="2">INDEX($T$2:$AK$19,MATCH(A22,$T$2:$T$19,0),MATCH(B22,$T$2:$AK$2,0))</f>
        <v>1.8292682926829267E-2</v>
      </c>
      <c r="G22" s="8"/>
      <c r="H22" s="79">
        <f t="shared" ref="H22:H38" si="3">INDEX($T$21:$AK$38,MATCH(A22,$T$21:$T$38,0),MATCH(B22,$T$21:$AK$21,0))</f>
        <v>14.999999999999998</v>
      </c>
      <c r="I22" s="136">
        <v>1</v>
      </c>
      <c r="J22" s="137">
        <v>1</v>
      </c>
      <c r="K22" s="138">
        <v>8</v>
      </c>
      <c r="L22" s="154">
        <f>VLOOKUP(C22,coord!B:D,2,0)</f>
        <v>33.811390000000003</v>
      </c>
      <c r="M22" s="162">
        <f>VLOOKUP(C22,coord!B:D,3,0)</f>
        <v>-117.91726800000001</v>
      </c>
      <c r="O22" s="66" t="s">
        <v>17</v>
      </c>
      <c r="T22" s="59">
        <v>8</v>
      </c>
      <c r="U22" s="82">
        <f t="shared" ref="U22:AK22" si="4">U3*U$20</f>
        <v>10</v>
      </c>
      <c r="V22" s="82">
        <f t="shared" si="4"/>
        <v>5</v>
      </c>
      <c r="W22" s="82">
        <f t="shared" si="4"/>
        <v>10</v>
      </c>
      <c r="X22" s="82">
        <f t="shared" si="4"/>
        <v>5.0000000000000009</v>
      </c>
      <c r="Y22" s="82">
        <f t="shared" si="4"/>
        <v>15</v>
      </c>
      <c r="Z22" s="82">
        <f t="shared" si="4"/>
        <v>5</v>
      </c>
      <c r="AA22" s="82">
        <f t="shared" si="4"/>
        <v>5</v>
      </c>
      <c r="AB22" s="82">
        <f t="shared" si="4"/>
        <v>5</v>
      </c>
      <c r="AC22" s="82">
        <f t="shared" si="4"/>
        <v>5</v>
      </c>
      <c r="AD22" s="82">
        <f t="shared" si="4"/>
        <v>35</v>
      </c>
      <c r="AE22" s="82">
        <f t="shared" si="4"/>
        <v>5</v>
      </c>
      <c r="AF22" s="82">
        <f t="shared" si="4"/>
        <v>5</v>
      </c>
      <c r="AG22" s="82">
        <f t="shared" si="4"/>
        <v>5</v>
      </c>
      <c r="AH22" s="82">
        <f t="shared" si="4"/>
        <v>5</v>
      </c>
      <c r="AI22" s="82">
        <f t="shared" si="4"/>
        <v>5</v>
      </c>
      <c r="AJ22" s="82">
        <f t="shared" si="4"/>
        <v>14.999999999999998</v>
      </c>
      <c r="AK22" s="82">
        <f t="shared" si="4"/>
        <v>5</v>
      </c>
    </row>
    <row r="23" spans="1:38">
      <c r="A23" s="59">
        <v>9</v>
      </c>
      <c r="B23" s="59">
        <v>17</v>
      </c>
      <c r="C23" s="89" t="str">
        <f t="shared" si="1"/>
        <v>Star Tours</v>
      </c>
      <c r="D23" s="94">
        <f t="shared" ref="D23:D38" si="5">ABS(E23)</f>
        <v>2.2366467553544888E-2</v>
      </c>
      <c r="E23" s="83">
        <f t="shared" ref="E23:E38" si="6">INDEX($A$2:$R$19,MATCH(B22,$A$2:$A$19,0),MATCH(B23,$A$2:$R$2,0))</f>
        <v>2.2366467553544888E-2</v>
      </c>
      <c r="F23" s="78">
        <f t="shared" si="2"/>
        <v>3.669724770642202E-2</v>
      </c>
      <c r="G23" s="83">
        <f t="shared" ref="G23:G38" si="7">INDEX($T$39:$AK$56,MATCH(B22,$T$39:$T$56,0),MATCH(B23,$T$39:$AK$39,0))</f>
        <v>81.447413962744818</v>
      </c>
      <c r="H23" s="79">
        <f t="shared" si="3"/>
        <v>20</v>
      </c>
      <c r="I23" s="139">
        <v>1</v>
      </c>
      <c r="J23" s="8">
        <v>1</v>
      </c>
      <c r="K23" s="39">
        <v>9</v>
      </c>
      <c r="L23" s="154">
        <f>VLOOKUP(C23,coord!B:D,2,0)</f>
        <v>33.811883000000002</v>
      </c>
      <c r="M23" s="162">
        <f>VLOOKUP(C23,coord!B:D,3,0)</f>
        <v>-117.91792</v>
      </c>
      <c r="O23" s="66" t="s">
        <v>14</v>
      </c>
      <c r="T23" s="59">
        <v>9</v>
      </c>
      <c r="U23" s="82">
        <f t="shared" ref="U23:AK23" si="8">U4*U$20</f>
        <v>25</v>
      </c>
      <c r="V23" s="82">
        <f t="shared" si="8"/>
        <v>5</v>
      </c>
      <c r="W23" s="82">
        <f t="shared" si="8"/>
        <v>10</v>
      </c>
      <c r="X23" s="82">
        <f t="shared" si="8"/>
        <v>5.0000000000000009</v>
      </c>
      <c r="Y23" s="82">
        <f t="shared" si="8"/>
        <v>25</v>
      </c>
      <c r="Z23" s="82">
        <f t="shared" si="8"/>
        <v>5</v>
      </c>
      <c r="AA23" s="82">
        <f t="shared" si="8"/>
        <v>5</v>
      </c>
      <c r="AB23" s="82">
        <f t="shared" si="8"/>
        <v>5</v>
      </c>
      <c r="AC23" s="82">
        <f t="shared" si="8"/>
        <v>10</v>
      </c>
      <c r="AD23" s="82">
        <f t="shared" si="8"/>
        <v>40</v>
      </c>
      <c r="AE23" s="82">
        <f t="shared" si="8"/>
        <v>10</v>
      </c>
      <c r="AF23" s="82">
        <f t="shared" si="8"/>
        <v>10</v>
      </c>
      <c r="AG23" s="82">
        <f t="shared" si="8"/>
        <v>10</v>
      </c>
      <c r="AH23" s="82">
        <f t="shared" si="8"/>
        <v>15</v>
      </c>
      <c r="AI23" s="82">
        <f t="shared" si="8"/>
        <v>15</v>
      </c>
      <c r="AJ23" s="82">
        <f t="shared" si="8"/>
        <v>20</v>
      </c>
      <c r="AK23" s="82">
        <f t="shared" si="8"/>
        <v>20</v>
      </c>
    </row>
    <row r="24" spans="1:38">
      <c r="A24" s="59">
        <v>10</v>
      </c>
      <c r="B24" s="59">
        <v>15</v>
      </c>
      <c r="C24" s="89" t="str">
        <f t="shared" si="1"/>
        <v>Buzz Lightyear</v>
      </c>
      <c r="D24" s="94">
        <f t="shared" si="5"/>
        <v>9.6058656335458042E-3</v>
      </c>
      <c r="E24" s="83">
        <f t="shared" si="6"/>
        <v>9.6058656335458042E-3</v>
      </c>
      <c r="F24" s="78">
        <f t="shared" si="2"/>
        <v>6.7567567567567571E-2</v>
      </c>
      <c r="G24" s="83">
        <f t="shared" si="7"/>
        <v>32.923290655312897</v>
      </c>
      <c r="H24" s="79">
        <f t="shared" si="3"/>
        <v>25</v>
      </c>
      <c r="I24" s="139">
        <v>1</v>
      </c>
      <c r="J24" s="8">
        <v>1</v>
      </c>
      <c r="K24" s="39">
        <v>10</v>
      </c>
      <c r="L24" s="154">
        <f>VLOOKUP(C24,coord!B:D,2,0)</f>
        <v>33.812175000000003</v>
      </c>
      <c r="M24" s="162">
        <f>VLOOKUP(C24,coord!B:D,3,0)</f>
        <v>-117.917979</v>
      </c>
      <c r="O24" s="66" t="s">
        <v>25</v>
      </c>
      <c r="T24" s="59">
        <v>10</v>
      </c>
      <c r="U24" s="82">
        <f t="shared" ref="U24:AK24" si="9">U5*U$20</f>
        <v>35</v>
      </c>
      <c r="V24" s="82">
        <f t="shared" si="9"/>
        <v>10</v>
      </c>
      <c r="W24" s="82">
        <f t="shared" si="9"/>
        <v>10</v>
      </c>
      <c r="X24" s="82">
        <f t="shared" si="9"/>
        <v>10.000000000000002</v>
      </c>
      <c r="Y24" s="82">
        <f t="shared" si="9"/>
        <v>35</v>
      </c>
      <c r="Z24" s="82">
        <f t="shared" si="9"/>
        <v>10</v>
      </c>
      <c r="AA24" s="82">
        <f t="shared" si="9"/>
        <v>10</v>
      </c>
      <c r="AB24" s="82">
        <f t="shared" si="9"/>
        <v>10</v>
      </c>
      <c r="AC24" s="82">
        <f t="shared" si="9"/>
        <v>15</v>
      </c>
      <c r="AD24" s="82">
        <f t="shared" si="9"/>
        <v>45</v>
      </c>
      <c r="AE24" s="82">
        <f t="shared" si="9"/>
        <v>15</v>
      </c>
      <c r="AF24" s="82">
        <f t="shared" si="9"/>
        <v>15</v>
      </c>
      <c r="AG24" s="82">
        <f t="shared" si="9"/>
        <v>15</v>
      </c>
      <c r="AH24" s="82">
        <f t="shared" si="9"/>
        <v>25</v>
      </c>
      <c r="AI24" s="82">
        <f t="shared" si="9"/>
        <v>25</v>
      </c>
      <c r="AJ24" s="82">
        <f t="shared" si="9"/>
        <v>25</v>
      </c>
      <c r="AK24" s="82">
        <f t="shared" si="9"/>
        <v>35</v>
      </c>
    </row>
    <row r="25" spans="1:38">
      <c r="A25" s="59">
        <v>11</v>
      </c>
      <c r="B25" s="59">
        <v>9</v>
      </c>
      <c r="C25" s="89" t="str">
        <f t="shared" si="1"/>
        <v>Matterhorn</v>
      </c>
      <c r="D25" s="94">
        <f t="shared" si="5"/>
        <v>2.9732430251815069E-2</v>
      </c>
      <c r="E25" s="83">
        <f t="shared" si="6"/>
        <v>2.9732430251815069E-2</v>
      </c>
      <c r="F25" s="78">
        <f t="shared" si="2"/>
        <v>3.2000000000000001E-2</v>
      </c>
      <c r="G25" s="83">
        <f t="shared" si="7"/>
        <v>100.53876287995733</v>
      </c>
      <c r="H25" s="79">
        <f t="shared" si="3"/>
        <v>20</v>
      </c>
      <c r="I25" s="139">
        <v>1</v>
      </c>
      <c r="J25" s="8">
        <v>1</v>
      </c>
      <c r="K25" s="39">
        <v>11</v>
      </c>
      <c r="L25" s="154">
        <f>VLOOKUP(C25,coord!B:D,2,0)</f>
        <v>33.813076000000002</v>
      </c>
      <c r="M25" s="162">
        <f>VLOOKUP(C25,coord!B:D,3,0)</f>
        <v>-117.917888</v>
      </c>
      <c r="O25" s="66" t="s">
        <v>29</v>
      </c>
      <c r="T25" s="59">
        <v>11</v>
      </c>
      <c r="U25" s="82">
        <f t="shared" ref="U25:AK25" si="10">U6*U$20</f>
        <v>40</v>
      </c>
      <c r="V25" s="82">
        <f t="shared" si="10"/>
        <v>15</v>
      </c>
      <c r="W25" s="82">
        <f t="shared" si="10"/>
        <v>10</v>
      </c>
      <c r="X25" s="82">
        <f t="shared" si="10"/>
        <v>15</v>
      </c>
      <c r="Y25" s="82">
        <f t="shared" si="10"/>
        <v>40</v>
      </c>
      <c r="Z25" s="82">
        <f t="shared" si="10"/>
        <v>15.000000000000002</v>
      </c>
      <c r="AA25" s="82">
        <f t="shared" si="10"/>
        <v>15</v>
      </c>
      <c r="AB25" s="82">
        <f t="shared" si="10"/>
        <v>10</v>
      </c>
      <c r="AC25" s="82">
        <f t="shared" si="10"/>
        <v>20</v>
      </c>
      <c r="AD25" s="82">
        <f t="shared" si="10"/>
        <v>45</v>
      </c>
      <c r="AE25" s="82">
        <f t="shared" si="10"/>
        <v>20</v>
      </c>
      <c r="AF25" s="82">
        <f t="shared" si="10"/>
        <v>20</v>
      </c>
      <c r="AG25" s="82">
        <f t="shared" si="10"/>
        <v>25</v>
      </c>
      <c r="AH25" s="82">
        <f t="shared" si="10"/>
        <v>30</v>
      </c>
      <c r="AI25" s="82">
        <f t="shared" si="10"/>
        <v>30</v>
      </c>
      <c r="AJ25" s="82">
        <f t="shared" si="10"/>
        <v>29.999999999999996</v>
      </c>
      <c r="AK25" s="82">
        <f t="shared" si="10"/>
        <v>50</v>
      </c>
    </row>
    <row r="26" spans="1:38">
      <c r="A26" s="59">
        <v>12</v>
      </c>
      <c r="B26" s="59">
        <v>5</v>
      </c>
      <c r="C26" s="89" t="str">
        <f t="shared" si="1"/>
        <v>Alice in Wonderland</v>
      </c>
      <c r="D26" s="94">
        <f t="shared" si="5"/>
        <v>1.4494974915072205E-2</v>
      </c>
      <c r="E26" s="83">
        <f t="shared" si="6"/>
        <v>1.4494974915072205E-2</v>
      </c>
      <c r="F26" s="78">
        <f t="shared" si="2"/>
        <v>7.0175438596491224E-2</v>
      </c>
      <c r="G26" s="83">
        <f t="shared" si="7"/>
        <v>46.120406617537434</v>
      </c>
      <c r="H26" s="79">
        <f t="shared" si="3"/>
        <v>40</v>
      </c>
      <c r="I26" s="139">
        <v>1</v>
      </c>
      <c r="J26" s="8">
        <v>1</v>
      </c>
      <c r="K26" s="39">
        <v>12</v>
      </c>
      <c r="L26" s="154">
        <f>VLOOKUP(C26,coord!B:D,2,0)</f>
        <v>33.813315000000003</v>
      </c>
      <c r="M26" s="162">
        <f>VLOOKUP(C26,coord!B:D,3,0)</f>
        <v>-117.918296</v>
      </c>
      <c r="O26" s="66" t="s">
        <v>28</v>
      </c>
      <c r="T26" s="59">
        <v>12</v>
      </c>
      <c r="U26" s="82">
        <f t="shared" ref="U26:AK26" si="11">U7*U$20</f>
        <v>45</v>
      </c>
      <c r="V26" s="82">
        <f t="shared" si="11"/>
        <v>15</v>
      </c>
      <c r="W26" s="82">
        <f t="shared" si="11"/>
        <v>10</v>
      </c>
      <c r="X26" s="82">
        <f t="shared" si="11"/>
        <v>25</v>
      </c>
      <c r="Y26" s="82">
        <f t="shared" si="11"/>
        <v>40</v>
      </c>
      <c r="Z26" s="82">
        <f t="shared" si="11"/>
        <v>24</v>
      </c>
      <c r="AA26" s="82">
        <f t="shared" si="11"/>
        <v>15</v>
      </c>
      <c r="AB26" s="82">
        <f t="shared" si="11"/>
        <v>15</v>
      </c>
      <c r="AC26" s="82">
        <f t="shared" si="11"/>
        <v>25</v>
      </c>
      <c r="AD26" s="82">
        <f t="shared" si="11"/>
        <v>45</v>
      </c>
      <c r="AE26" s="82">
        <f t="shared" si="11"/>
        <v>25</v>
      </c>
      <c r="AF26" s="82">
        <f t="shared" si="11"/>
        <v>25</v>
      </c>
      <c r="AG26" s="82">
        <f t="shared" si="11"/>
        <v>35</v>
      </c>
      <c r="AH26" s="82">
        <f t="shared" si="11"/>
        <v>35</v>
      </c>
      <c r="AI26" s="82">
        <f t="shared" si="11"/>
        <v>30</v>
      </c>
      <c r="AJ26" s="82">
        <f t="shared" si="11"/>
        <v>35</v>
      </c>
      <c r="AK26" s="82">
        <f t="shared" si="11"/>
        <v>50</v>
      </c>
    </row>
    <row r="27" spans="1:38">
      <c r="A27" s="59">
        <v>13</v>
      </c>
      <c r="B27" s="59">
        <v>8</v>
      </c>
      <c r="C27" s="89" t="str">
        <f t="shared" si="1"/>
        <v>Mad Tea</v>
      </c>
      <c r="D27" s="94">
        <f t="shared" si="5"/>
        <v>6.6997057360049812E-3</v>
      </c>
      <c r="E27" s="83">
        <f t="shared" si="6"/>
        <v>6.6997057360049812E-3</v>
      </c>
      <c r="F27" s="78">
        <f t="shared" si="2"/>
        <v>5.4545454545454543E-2</v>
      </c>
      <c r="G27" s="83">
        <f t="shared" si="7"/>
        <v>21.968778976333269</v>
      </c>
      <c r="H27" s="79">
        <f t="shared" si="3"/>
        <v>15</v>
      </c>
      <c r="I27" s="139">
        <v>1</v>
      </c>
      <c r="J27" s="8">
        <v>1</v>
      </c>
      <c r="K27" s="39">
        <v>13</v>
      </c>
      <c r="L27" s="154">
        <f>VLOOKUP(C27,coord!B:D,2,0)</f>
        <v>33.813509000000003</v>
      </c>
      <c r="M27" s="162">
        <f>VLOOKUP(C27,coord!B:D,3,0)</f>
        <v>-117.918341</v>
      </c>
      <c r="O27" s="66" t="s">
        <v>30</v>
      </c>
      <c r="T27" s="59">
        <v>13</v>
      </c>
      <c r="U27" s="82">
        <f t="shared" ref="U27:AK27" si="12">U8*U$20</f>
        <v>55</v>
      </c>
      <c r="V27" s="82">
        <f t="shared" si="12"/>
        <v>20</v>
      </c>
      <c r="W27" s="82">
        <f t="shared" si="12"/>
        <v>10</v>
      </c>
      <c r="X27" s="82">
        <f t="shared" si="12"/>
        <v>35</v>
      </c>
      <c r="Y27" s="82">
        <f t="shared" si="12"/>
        <v>40</v>
      </c>
      <c r="Z27" s="82">
        <f t="shared" si="12"/>
        <v>30.000000000000004</v>
      </c>
      <c r="AA27" s="82">
        <f t="shared" si="12"/>
        <v>20</v>
      </c>
      <c r="AB27" s="82">
        <f t="shared" si="12"/>
        <v>15</v>
      </c>
      <c r="AC27" s="82">
        <f t="shared" si="12"/>
        <v>35</v>
      </c>
      <c r="AD27" s="82">
        <f t="shared" si="12"/>
        <v>45</v>
      </c>
      <c r="AE27" s="82">
        <f t="shared" si="12"/>
        <v>30</v>
      </c>
      <c r="AF27" s="82">
        <f t="shared" si="12"/>
        <v>30</v>
      </c>
      <c r="AG27" s="82">
        <f t="shared" si="12"/>
        <v>40</v>
      </c>
      <c r="AH27" s="82">
        <f t="shared" si="12"/>
        <v>35</v>
      </c>
      <c r="AI27" s="82">
        <f t="shared" si="12"/>
        <v>30</v>
      </c>
      <c r="AJ27" s="82">
        <f t="shared" si="12"/>
        <v>45</v>
      </c>
      <c r="AK27" s="82">
        <f t="shared" si="12"/>
        <v>50</v>
      </c>
    </row>
    <row r="28" spans="1:38">
      <c r="A28" s="59">
        <v>14</v>
      </c>
      <c r="B28" s="59">
        <v>12</v>
      </c>
      <c r="C28" s="89" t="str">
        <f t="shared" si="1"/>
        <v>Toon Spin</v>
      </c>
      <c r="D28" s="94">
        <f t="shared" si="5"/>
        <v>3.5229351517956919E-2</v>
      </c>
      <c r="E28" s="83">
        <f t="shared" si="6"/>
        <v>3.5229351517956919E-2</v>
      </c>
      <c r="F28" s="78">
        <f t="shared" si="2"/>
        <v>8.2352941176470587E-2</v>
      </c>
      <c r="G28" s="83">
        <f t="shared" si="7"/>
        <v>196.24129880676139</v>
      </c>
      <c r="H28" s="79">
        <f t="shared" si="3"/>
        <v>35</v>
      </c>
      <c r="I28" s="139">
        <v>1</v>
      </c>
      <c r="J28" s="8">
        <v>1</v>
      </c>
      <c r="K28" s="39">
        <v>14</v>
      </c>
      <c r="L28" s="154">
        <f>VLOOKUP(C28,coord!B:D,2,0)</f>
        <v>33.815263999999999</v>
      </c>
      <c r="M28" s="162">
        <f>VLOOKUP(C28,coord!B:D,3,0)</f>
        <v>-117.918117</v>
      </c>
      <c r="O28" s="66" t="s">
        <v>24</v>
      </c>
      <c r="T28" s="59">
        <v>14</v>
      </c>
      <c r="U28" s="82">
        <f t="shared" ref="U28:AK28" si="13">U9*U$20</f>
        <v>55</v>
      </c>
      <c r="V28" s="82">
        <f t="shared" si="13"/>
        <v>20</v>
      </c>
      <c r="W28" s="82">
        <f t="shared" si="13"/>
        <v>10</v>
      </c>
      <c r="X28" s="82">
        <f t="shared" si="13"/>
        <v>45</v>
      </c>
      <c r="Y28" s="82">
        <f t="shared" si="13"/>
        <v>40</v>
      </c>
      <c r="Z28" s="82">
        <f t="shared" si="13"/>
        <v>30.000000000000004</v>
      </c>
      <c r="AA28" s="82">
        <f t="shared" si="13"/>
        <v>20</v>
      </c>
      <c r="AB28" s="82">
        <f t="shared" si="13"/>
        <v>20</v>
      </c>
      <c r="AC28" s="82">
        <f t="shared" si="13"/>
        <v>45</v>
      </c>
      <c r="AD28" s="82">
        <f t="shared" si="13"/>
        <v>45</v>
      </c>
      <c r="AE28" s="82">
        <f t="shared" si="13"/>
        <v>35</v>
      </c>
      <c r="AF28" s="82">
        <f t="shared" si="13"/>
        <v>35</v>
      </c>
      <c r="AG28" s="82">
        <f t="shared" si="13"/>
        <v>40</v>
      </c>
      <c r="AH28" s="82">
        <f t="shared" si="13"/>
        <v>35</v>
      </c>
      <c r="AI28" s="82">
        <f t="shared" si="13"/>
        <v>30</v>
      </c>
      <c r="AJ28" s="82">
        <f t="shared" si="13"/>
        <v>55</v>
      </c>
      <c r="AK28" s="82">
        <f t="shared" si="13"/>
        <v>45</v>
      </c>
    </row>
    <row r="29" spans="1:38">
      <c r="A29" s="59">
        <v>15</v>
      </c>
      <c r="B29" s="59">
        <v>7</v>
      </c>
      <c r="C29" s="90" t="str">
        <f t="shared" si="1"/>
        <v>Small World</v>
      </c>
      <c r="D29" s="95">
        <f t="shared" si="5"/>
        <v>1.722571046413977E-2</v>
      </c>
      <c r="E29" s="92">
        <f t="shared" si="6"/>
        <v>1.722571046413977E-2</v>
      </c>
      <c r="F29" s="84">
        <f t="shared" si="2"/>
        <v>8.6956521739130432E-2</v>
      </c>
      <c r="G29" s="83">
        <f t="shared" si="7"/>
        <v>80.985227741250185</v>
      </c>
      <c r="H29" s="79">
        <f t="shared" si="3"/>
        <v>20</v>
      </c>
      <c r="I29" s="139">
        <v>1</v>
      </c>
      <c r="J29" s="8">
        <v>1</v>
      </c>
      <c r="K29" s="39">
        <v>15</v>
      </c>
      <c r="L29" s="154">
        <f>VLOOKUP(C29,coord!B:D,2,0)</f>
        <v>33.814573000000003</v>
      </c>
      <c r="M29" s="162">
        <f>VLOOKUP(C29,coord!B:D,3,0)</f>
        <v>-117.91784</v>
      </c>
      <c r="O29" s="66" t="s">
        <v>26</v>
      </c>
      <c r="T29" s="59">
        <v>15</v>
      </c>
      <c r="U29" s="82">
        <f t="shared" ref="U29:AK29" si="14">U10*U$20</f>
        <v>60</v>
      </c>
      <c r="V29" s="82">
        <f t="shared" si="14"/>
        <v>25</v>
      </c>
      <c r="W29" s="82">
        <f t="shared" si="14"/>
        <v>10</v>
      </c>
      <c r="X29" s="82">
        <f t="shared" si="14"/>
        <v>60</v>
      </c>
      <c r="Y29" s="82">
        <f t="shared" si="14"/>
        <v>40</v>
      </c>
      <c r="Z29" s="82">
        <f t="shared" si="14"/>
        <v>30.000000000000004</v>
      </c>
      <c r="AA29" s="82">
        <f t="shared" si="14"/>
        <v>20</v>
      </c>
      <c r="AB29" s="82">
        <f t="shared" si="14"/>
        <v>20</v>
      </c>
      <c r="AC29" s="82">
        <f t="shared" si="14"/>
        <v>60</v>
      </c>
      <c r="AD29" s="82">
        <f t="shared" si="14"/>
        <v>45</v>
      </c>
      <c r="AE29" s="82">
        <f t="shared" si="14"/>
        <v>40</v>
      </c>
      <c r="AF29" s="82">
        <f t="shared" si="14"/>
        <v>40</v>
      </c>
      <c r="AG29" s="82">
        <f t="shared" si="14"/>
        <v>40</v>
      </c>
      <c r="AH29" s="82">
        <f t="shared" si="14"/>
        <v>35</v>
      </c>
      <c r="AI29" s="82">
        <f t="shared" si="14"/>
        <v>30</v>
      </c>
      <c r="AJ29" s="82">
        <f t="shared" si="14"/>
        <v>65</v>
      </c>
      <c r="AK29" s="82">
        <f t="shared" si="14"/>
        <v>45</v>
      </c>
    </row>
    <row r="30" spans="1:38">
      <c r="A30" s="59">
        <v>16</v>
      </c>
      <c r="B30" s="59">
        <v>6</v>
      </c>
      <c r="C30" s="89" t="str">
        <f t="shared" si="1"/>
        <v>Dumbo</v>
      </c>
      <c r="D30" s="94">
        <f t="shared" si="5"/>
        <v>4.0988037398308211E-2</v>
      </c>
      <c r="E30" s="83">
        <f t="shared" si="6"/>
        <v>4.0988037398308211E-2</v>
      </c>
      <c r="F30" s="85">
        <f t="shared" si="2"/>
        <v>7.9155672823219003E-2</v>
      </c>
      <c r="G30" s="83">
        <f t="shared" si="7"/>
        <v>137.10365996034804</v>
      </c>
      <c r="H30" s="79">
        <f t="shared" si="3"/>
        <v>30.000000000000004</v>
      </c>
      <c r="I30" s="139">
        <v>1</v>
      </c>
      <c r="J30" s="8">
        <v>1</v>
      </c>
      <c r="K30" s="39">
        <v>16</v>
      </c>
      <c r="L30" s="154">
        <f>VLOOKUP(C30,coord!B:D,2,0)</f>
        <v>33.813699999999997</v>
      </c>
      <c r="M30" s="162">
        <f>VLOOKUP(C30,coord!B:D,3,0)</f>
        <v>-117.918888</v>
      </c>
      <c r="O30" s="66" t="s">
        <v>22</v>
      </c>
      <c r="T30" s="59">
        <v>16</v>
      </c>
      <c r="U30" s="82">
        <f t="shared" ref="U30:AK30" si="15">U11*U$20</f>
        <v>60</v>
      </c>
      <c r="V30" s="82">
        <f t="shared" si="15"/>
        <v>25</v>
      </c>
      <c r="W30" s="82">
        <f t="shared" si="15"/>
        <v>10</v>
      </c>
      <c r="X30" s="82">
        <f t="shared" si="15"/>
        <v>60</v>
      </c>
      <c r="Y30" s="82">
        <f t="shared" si="15"/>
        <v>40</v>
      </c>
      <c r="Z30" s="82">
        <f t="shared" si="15"/>
        <v>30.000000000000004</v>
      </c>
      <c r="AA30" s="82">
        <f t="shared" si="15"/>
        <v>20</v>
      </c>
      <c r="AB30" s="82">
        <f t="shared" si="15"/>
        <v>20</v>
      </c>
      <c r="AC30" s="82">
        <f t="shared" si="15"/>
        <v>60</v>
      </c>
      <c r="AD30" s="82">
        <f t="shared" si="15"/>
        <v>45</v>
      </c>
      <c r="AE30" s="82">
        <f t="shared" si="15"/>
        <v>40</v>
      </c>
      <c r="AF30" s="82">
        <f t="shared" si="15"/>
        <v>40</v>
      </c>
      <c r="AG30" s="82">
        <f t="shared" si="15"/>
        <v>40</v>
      </c>
      <c r="AH30" s="82">
        <f t="shared" si="15"/>
        <v>35</v>
      </c>
      <c r="AI30" s="82">
        <f t="shared" si="15"/>
        <v>30</v>
      </c>
      <c r="AJ30" s="82">
        <f t="shared" si="15"/>
        <v>75</v>
      </c>
      <c r="AK30" s="82">
        <f t="shared" si="15"/>
        <v>40</v>
      </c>
    </row>
    <row r="31" spans="1:38">
      <c r="A31" s="59">
        <v>17</v>
      </c>
      <c r="B31" s="59">
        <v>10</v>
      </c>
      <c r="C31" s="89" t="str">
        <f t="shared" si="1"/>
        <v>Peter Pan</v>
      </c>
      <c r="D31" s="94">
        <f t="shared" si="5"/>
        <v>1.8268829617316084E-2</v>
      </c>
      <c r="E31" s="83">
        <f t="shared" si="6"/>
        <v>1.8268829617316084E-2</v>
      </c>
      <c r="F31" s="85">
        <f t="shared" si="2"/>
        <v>5.6338028169014086E-2</v>
      </c>
      <c r="G31" s="83">
        <f t="shared" si="7"/>
        <v>55.11594960765737</v>
      </c>
      <c r="H31" s="79">
        <f t="shared" si="3"/>
        <v>40</v>
      </c>
      <c r="I31" s="139">
        <v>1</v>
      </c>
      <c r="J31" s="8">
        <v>1</v>
      </c>
      <c r="K31" s="39">
        <v>17</v>
      </c>
      <c r="L31" s="154">
        <f>VLOOKUP(C31,coord!B:D,2,0)</f>
        <v>33.813205000000004</v>
      </c>
      <c r="M31" s="162">
        <f>VLOOKUP(C31,coord!B:D,3,0)</f>
        <v>-117.918857</v>
      </c>
      <c r="T31" s="59">
        <v>17</v>
      </c>
      <c r="U31" s="82">
        <f t="shared" ref="U31:AK31" si="16">U12*U$20</f>
        <v>60</v>
      </c>
      <c r="V31" s="82">
        <f t="shared" si="16"/>
        <v>25</v>
      </c>
      <c r="W31" s="82">
        <f t="shared" si="16"/>
        <v>10</v>
      </c>
      <c r="X31" s="82">
        <f t="shared" si="16"/>
        <v>60</v>
      </c>
      <c r="Y31" s="82">
        <f t="shared" si="16"/>
        <v>40</v>
      </c>
      <c r="Z31" s="82">
        <f t="shared" si="16"/>
        <v>30.000000000000004</v>
      </c>
      <c r="AA31" s="82">
        <f t="shared" si="16"/>
        <v>20</v>
      </c>
      <c r="AB31" s="82">
        <f t="shared" si="16"/>
        <v>20</v>
      </c>
      <c r="AC31" s="82">
        <f t="shared" si="16"/>
        <v>60</v>
      </c>
      <c r="AD31" s="82">
        <f t="shared" si="16"/>
        <v>40</v>
      </c>
      <c r="AE31" s="82">
        <f t="shared" si="16"/>
        <v>40</v>
      </c>
      <c r="AF31" s="82">
        <f t="shared" si="16"/>
        <v>40</v>
      </c>
      <c r="AG31" s="82">
        <f t="shared" si="16"/>
        <v>35</v>
      </c>
      <c r="AH31" s="82">
        <f t="shared" si="16"/>
        <v>30</v>
      </c>
      <c r="AI31" s="82">
        <f t="shared" si="16"/>
        <v>30</v>
      </c>
      <c r="AJ31" s="82">
        <f t="shared" si="16"/>
        <v>80</v>
      </c>
      <c r="AK31" s="82">
        <f t="shared" si="16"/>
        <v>40</v>
      </c>
    </row>
    <row r="32" spans="1:38">
      <c r="A32" s="59">
        <v>18</v>
      </c>
      <c r="B32" s="59">
        <v>11</v>
      </c>
      <c r="C32" s="91" t="str">
        <f t="shared" si="1"/>
        <v>Thunder Mtn</v>
      </c>
      <c r="D32" s="96">
        <f t="shared" si="5"/>
        <v>3.9354063672278637E-2</v>
      </c>
      <c r="E32" s="93">
        <f t="shared" si="6"/>
        <v>3.9354063672278637E-2</v>
      </c>
      <c r="F32" s="86">
        <f t="shared" si="2"/>
        <v>8.4337349397590355E-2</v>
      </c>
      <c r="G32" s="83">
        <f t="shared" si="7"/>
        <v>144.14840241197871</v>
      </c>
      <c r="H32" s="79">
        <f t="shared" si="3"/>
        <v>35</v>
      </c>
      <c r="I32" s="139">
        <v>1</v>
      </c>
      <c r="J32" s="8">
        <v>1</v>
      </c>
      <c r="K32" s="39">
        <v>18</v>
      </c>
      <c r="L32" s="154">
        <f>VLOOKUP(C32,coord!B:D,2,0)</f>
        <v>33.813229</v>
      </c>
      <c r="M32" s="162">
        <f>VLOOKUP(C32,coord!B:D,3,0)</f>
        <v>-117.920417</v>
      </c>
      <c r="T32" s="59">
        <v>18</v>
      </c>
      <c r="U32" s="82">
        <f t="shared" ref="U32:AK32" si="17">U13*U$20</f>
        <v>60</v>
      </c>
      <c r="V32" s="82">
        <f t="shared" si="17"/>
        <v>25</v>
      </c>
      <c r="W32" s="82">
        <f t="shared" si="17"/>
        <v>10</v>
      </c>
      <c r="X32" s="82">
        <f t="shared" si="17"/>
        <v>60</v>
      </c>
      <c r="Y32" s="82">
        <f t="shared" si="17"/>
        <v>40</v>
      </c>
      <c r="Z32" s="82">
        <f t="shared" si="17"/>
        <v>30.000000000000004</v>
      </c>
      <c r="AA32" s="82">
        <f t="shared" si="17"/>
        <v>15</v>
      </c>
      <c r="AB32" s="82">
        <f t="shared" si="17"/>
        <v>20</v>
      </c>
      <c r="AC32" s="82">
        <f t="shared" si="17"/>
        <v>60</v>
      </c>
      <c r="AD32" s="82">
        <f t="shared" si="17"/>
        <v>40</v>
      </c>
      <c r="AE32" s="82">
        <f t="shared" si="17"/>
        <v>35</v>
      </c>
      <c r="AF32" s="82">
        <f t="shared" si="17"/>
        <v>40</v>
      </c>
      <c r="AG32" s="82">
        <f t="shared" si="17"/>
        <v>30</v>
      </c>
      <c r="AH32" s="82">
        <f t="shared" si="17"/>
        <v>25</v>
      </c>
      <c r="AI32" s="82">
        <f t="shared" si="17"/>
        <v>25</v>
      </c>
      <c r="AJ32" s="82">
        <f t="shared" si="17"/>
        <v>80</v>
      </c>
      <c r="AK32" s="82">
        <f t="shared" si="17"/>
        <v>35</v>
      </c>
    </row>
    <row r="33" spans="1:37">
      <c r="A33" s="59">
        <v>19</v>
      </c>
      <c r="B33" s="59">
        <v>4</v>
      </c>
      <c r="C33" s="89" t="str">
        <f t="shared" si="1"/>
        <v>Splash Mtn</v>
      </c>
      <c r="D33" s="94">
        <f t="shared" si="5"/>
        <v>4.1105496003302211E-2</v>
      </c>
      <c r="E33" s="83">
        <f t="shared" si="6"/>
        <v>4.1105496003302211E-2</v>
      </c>
      <c r="F33" s="78">
        <f t="shared" si="2"/>
        <v>9.5238095238095233E-2</v>
      </c>
      <c r="G33" s="83">
        <f t="shared" si="7"/>
        <v>243.50268764516565</v>
      </c>
      <c r="H33" s="79">
        <f t="shared" si="3"/>
        <v>50</v>
      </c>
      <c r="I33" s="139">
        <v>1</v>
      </c>
      <c r="J33" s="8">
        <v>1</v>
      </c>
      <c r="K33" s="39">
        <v>19</v>
      </c>
      <c r="L33" s="154">
        <f>VLOOKUP(C33,coord!B:D,2,0)</f>
        <v>33.812258999999997</v>
      </c>
      <c r="M33" s="162">
        <f>VLOOKUP(C33,coord!B:D,3,0)</f>
        <v>-117.92278</v>
      </c>
      <c r="T33" s="59">
        <v>19</v>
      </c>
      <c r="U33" s="82">
        <f t="shared" ref="U33:AK33" si="18">U14*U$20</f>
        <v>60</v>
      </c>
      <c r="V33" s="82">
        <f t="shared" si="18"/>
        <v>25</v>
      </c>
      <c r="W33" s="82">
        <f t="shared" si="18"/>
        <v>10</v>
      </c>
      <c r="X33" s="82">
        <f t="shared" si="18"/>
        <v>50</v>
      </c>
      <c r="Y33" s="82">
        <f t="shared" si="18"/>
        <v>40</v>
      </c>
      <c r="Z33" s="82">
        <f t="shared" si="18"/>
        <v>30.000000000000004</v>
      </c>
      <c r="AA33" s="82">
        <f t="shared" si="18"/>
        <v>15</v>
      </c>
      <c r="AB33" s="82">
        <f t="shared" si="18"/>
        <v>20</v>
      </c>
      <c r="AC33" s="82">
        <f t="shared" si="18"/>
        <v>60</v>
      </c>
      <c r="AD33" s="82">
        <f t="shared" si="18"/>
        <v>45</v>
      </c>
      <c r="AE33" s="82">
        <f t="shared" si="18"/>
        <v>30</v>
      </c>
      <c r="AF33" s="82">
        <f t="shared" si="18"/>
        <v>35</v>
      </c>
      <c r="AG33" s="82">
        <f t="shared" si="18"/>
        <v>25</v>
      </c>
      <c r="AH33" s="82">
        <f t="shared" si="18"/>
        <v>20</v>
      </c>
      <c r="AI33" s="82">
        <f t="shared" si="18"/>
        <v>20</v>
      </c>
      <c r="AJ33" s="82">
        <f t="shared" si="18"/>
        <v>70</v>
      </c>
      <c r="AK33" s="82">
        <f t="shared" si="18"/>
        <v>30</v>
      </c>
    </row>
    <row r="34" spans="1:37">
      <c r="A34" s="59">
        <v>20</v>
      </c>
      <c r="B34" s="59">
        <v>13</v>
      </c>
      <c r="C34" s="89" t="str">
        <f t="shared" si="1"/>
        <v>Haunted Mansion</v>
      </c>
      <c r="D34" s="94">
        <f t="shared" si="5"/>
        <v>1.6348341587255268E-2</v>
      </c>
      <c r="E34" s="83">
        <f t="shared" si="6"/>
        <v>1.6348341587255268E-2</v>
      </c>
      <c r="F34" s="78">
        <f t="shared" si="2"/>
        <v>4.9382716049382713E-2</v>
      </c>
      <c r="G34" s="83">
        <f t="shared" si="7"/>
        <v>85.530866119049492</v>
      </c>
      <c r="H34" s="79">
        <f t="shared" si="3"/>
        <v>20</v>
      </c>
      <c r="I34" s="139">
        <v>1</v>
      </c>
      <c r="J34" s="8">
        <v>1</v>
      </c>
      <c r="K34" s="39">
        <v>20</v>
      </c>
      <c r="L34" s="154">
        <f>VLOOKUP(C34,coord!B:D,2,0)</f>
        <v>33.811723000000001</v>
      </c>
      <c r="M34" s="162">
        <f>VLOOKUP(C34,coord!B:D,3,0)</f>
        <v>-117.922116</v>
      </c>
      <c r="T34" s="59">
        <v>20</v>
      </c>
      <c r="U34" s="82">
        <f t="shared" ref="U34:AK34" si="19">U15*U$20</f>
        <v>45</v>
      </c>
      <c r="V34" s="82">
        <f t="shared" si="19"/>
        <v>15</v>
      </c>
      <c r="W34" s="82">
        <f t="shared" si="19"/>
        <v>10</v>
      </c>
      <c r="X34" s="82">
        <f t="shared" si="19"/>
        <v>35</v>
      </c>
      <c r="Y34" s="82">
        <f t="shared" si="19"/>
        <v>35</v>
      </c>
      <c r="Z34" s="82">
        <f t="shared" si="19"/>
        <v>30.000000000000004</v>
      </c>
      <c r="AA34" s="82">
        <f t="shared" si="19"/>
        <v>10</v>
      </c>
      <c r="AB34" s="82">
        <f t="shared" si="19"/>
        <v>45</v>
      </c>
      <c r="AC34" s="82">
        <f t="shared" si="19"/>
        <v>45</v>
      </c>
      <c r="AD34" s="82">
        <f t="shared" si="19"/>
        <v>45</v>
      </c>
      <c r="AE34" s="82">
        <f t="shared" si="19"/>
        <v>25</v>
      </c>
      <c r="AF34" s="82">
        <f t="shared" si="19"/>
        <v>30</v>
      </c>
      <c r="AG34" s="82">
        <f t="shared" si="19"/>
        <v>20</v>
      </c>
      <c r="AH34" s="82">
        <f t="shared" si="19"/>
        <v>15</v>
      </c>
      <c r="AI34" s="82">
        <f t="shared" si="19"/>
        <v>20</v>
      </c>
      <c r="AJ34" s="82">
        <f t="shared" si="19"/>
        <v>65</v>
      </c>
      <c r="AK34" s="82">
        <f t="shared" si="19"/>
        <v>25</v>
      </c>
    </row>
    <row r="35" spans="1:37">
      <c r="A35" s="59">
        <v>21</v>
      </c>
      <c r="B35" s="59">
        <v>14</v>
      </c>
      <c r="C35" s="89" t="str">
        <f t="shared" si="1"/>
        <v>Pirates</v>
      </c>
      <c r="D35" s="94">
        <f t="shared" si="5"/>
        <v>3.0320827121779963E-2</v>
      </c>
      <c r="E35" s="83">
        <f t="shared" si="6"/>
        <v>3.0320827121779963E-2</v>
      </c>
      <c r="F35" s="78">
        <f t="shared" si="2"/>
        <v>2.6315789473684209E-2</v>
      </c>
      <c r="G35" s="83">
        <f t="shared" si="7"/>
        <v>127.9721607205676</v>
      </c>
      <c r="H35" s="79">
        <f t="shared" si="3"/>
        <v>10</v>
      </c>
      <c r="I35" s="139">
        <v>1</v>
      </c>
      <c r="J35" s="8">
        <v>1</v>
      </c>
      <c r="K35" s="39">
        <v>21</v>
      </c>
      <c r="L35" s="154">
        <f>VLOOKUP(C35,coord!B:D,2,0)</f>
        <v>33.811318999999997</v>
      </c>
      <c r="M35" s="162">
        <f>VLOOKUP(C35,coord!B:D,3,0)</f>
        <v>-117.92081899999999</v>
      </c>
      <c r="T35" s="59">
        <v>21</v>
      </c>
      <c r="U35" s="82">
        <f t="shared" ref="U35:AK35" si="20">U16*U$20</f>
        <v>40</v>
      </c>
      <c r="V35" s="82">
        <f t="shared" si="20"/>
        <v>10</v>
      </c>
      <c r="W35" s="82">
        <f t="shared" si="20"/>
        <v>10</v>
      </c>
      <c r="X35" s="82">
        <f t="shared" si="20"/>
        <v>25</v>
      </c>
      <c r="Y35" s="82">
        <f t="shared" si="20"/>
        <v>30</v>
      </c>
      <c r="Z35" s="82">
        <f t="shared" si="20"/>
        <v>25</v>
      </c>
      <c r="AA35" s="82">
        <f t="shared" si="20"/>
        <v>10</v>
      </c>
      <c r="AB35" s="82">
        <f t="shared" si="20"/>
        <v>15</v>
      </c>
      <c r="AC35" s="82">
        <f t="shared" si="20"/>
        <v>35</v>
      </c>
      <c r="AD35" s="82">
        <f t="shared" si="20"/>
        <v>40</v>
      </c>
      <c r="AE35" s="82">
        <f t="shared" si="20"/>
        <v>20</v>
      </c>
      <c r="AF35" s="82">
        <f t="shared" si="20"/>
        <v>25</v>
      </c>
      <c r="AG35" s="82">
        <f t="shared" si="20"/>
        <v>15</v>
      </c>
      <c r="AH35" s="82">
        <f t="shared" si="20"/>
        <v>10</v>
      </c>
      <c r="AI35" s="82">
        <f t="shared" si="20"/>
        <v>15</v>
      </c>
      <c r="AJ35" s="82">
        <f t="shared" si="20"/>
        <v>59.999999999999993</v>
      </c>
      <c r="AK35" s="82">
        <f t="shared" si="20"/>
        <v>20</v>
      </c>
    </row>
    <row r="36" spans="1:37">
      <c r="A36" s="59">
        <v>22</v>
      </c>
      <c r="B36" s="59">
        <v>1</v>
      </c>
      <c r="C36" s="89" t="str">
        <f t="shared" si="1"/>
        <v>Indiana Jones</v>
      </c>
      <c r="D36" s="94">
        <f t="shared" si="5"/>
        <v>1.1391037810811092E-2</v>
      </c>
      <c r="E36" s="83">
        <f t="shared" si="6"/>
        <v>1.1391037810811092E-2</v>
      </c>
      <c r="F36" s="78">
        <f t="shared" si="2"/>
        <v>4.8275862068965517E-2</v>
      </c>
      <c r="G36" s="83">
        <f t="shared" si="7"/>
        <v>43.627434418712667</v>
      </c>
      <c r="H36" s="79">
        <f t="shared" si="3"/>
        <v>35</v>
      </c>
      <c r="I36" s="139">
        <v>1</v>
      </c>
      <c r="J36" s="8">
        <v>1</v>
      </c>
      <c r="K36" s="39">
        <v>22</v>
      </c>
      <c r="L36" s="154">
        <f>VLOOKUP(C36,coord!B:D,2,0)</f>
        <v>33.811404000000003</v>
      </c>
      <c r="M36" s="162">
        <f>VLOOKUP(C36,coord!B:D,3,0)</f>
        <v>-117.92035799999999</v>
      </c>
      <c r="T36" s="59">
        <v>22</v>
      </c>
      <c r="U36" s="82">
        <f t="shared" ref="U36:AK36" si="21">U17*U$20</f>
        <v>35</v>
      </c>
      <c r="V36" s="82">
        <f t="shared" si="21"/>
        <v>5</v>
      </c>
      <c r="W36" s="82">
        <f t="shared" si="21"/>
        <v>10</v>
      </c>
      <c r="X36" s="82">
        <f t="shared" si="21"/>
        <v>15</v>
      </c>
      <c r="Y36" s="82">
        <f t="shared" si="21"/>
        <v>30</v>
      </c>
      <c r="Z36" s="82">
        <f t="shared" si="21"/>
        <v>25</v>
      </c>
      <c r="AA36" s="82">
        <f t="shared" si="21"/>
        <v>10</v>
      </c>
      <c r="AB36" s="82">
        <f t="shared" si="21"/>
        <v>15</v>
      </c>
      <c r="AC36" s="82">
        <f t="shared" si="21"/>
        <v>30</v>
      </c>
      <c r="AD36" s="82">
        <f t="shared" si="21"/>
        <v>40</v>
      </c>
      <c r="AE36" s="82">
        <f t="shared" si="21"/>
        <v>15</v>
      </c>
      <c r="AF36" s="82">
        <f t="shared" si="21"/>
        <v>20</v>
      </c>
      <c r="AG36" s="82">
        <f t="shared" si="21"/>
        <v>15</v>
      </c>
      <c r="AH36" s="82">
        <f t="shared" si="21"/>
        <v>10</v>
      </c>
      <c r="AI36" s="82">
        <f t="shared" si="21"/>
        <v>15</v>
      </c>
      <c r="AJ36" s="82">
        <f t="shared" si="21"/>
        <v>35</v>
      </c>
      <c r="AK36" s="82">
        <f t="shared" si="21"/>
        <v>20</v>
      </c>
    </row>
    <row r="37" spans="1:37">
      <c r="A37" s="59">
        <v>23</v>
      </c>
      <c r="B37" s="59">
        <v>2</v>
      </c>
      <c r="C37" s="89" t="str">
        <f t="shared" si="1"/>
        <v>Jungle Cruise</v>
      </c>
      <c r="D37" s="94">
        <f t="shared" si="5"/>
        <v>9.7939859857844019E-3</v>
      </c>
      <c r="E37" s="83">
        <f t="shared" si="6"/>
        <v>9.7939859857844019E-3</v>
      </c>
      <c r="F37" s="78">
        <f t="shared" si="2"/>
        <v>1.9607843137254902E-2</v>
      </c>
      <c r="G37" s="83">
        <f t="shared" si="7"/>
        <v>35.41571747416252</v>
      </c>
      <c r="H37" s="79">
        <f t="shared" si="3"/>
        <v>5</v>
      </c>
      <c r="I37" s="139">
        <v>1</v>
      </c>
      <c r="J37" s="8">
        <v>1</v>
      </c>
      <c r="K37" s="39">
        <v>23</v>
      </c>
      <c r="L37" s="154">
        <f>VLOOKUP(C37,coord!B:D,2,0)</f>
        <v>33.811466000000003</v>
      </c>
      <c r="M37" s="162">
        <f>VLOOKUP(C37,coord!B:D,3,0)</f>
        <v>-117.919982</v>
      </c>
      <c r="T37" s="59">
        <v>23</v>
      </c>
      <c r="U37" s="82">
        <f t="shared" ref="U37:AK38" si="22">U18*U$20</f>
        <v>20</v>
      </c>
      <c r="V37" s="82">
        <f t="shared" si="22"/>
        <v>5</v>
      </c>
      <c r="W37" s="82">
        <f t="shared" si="22"/>
        <v>10</v>
      </c>
      <c r="X37" s="82">
        <f t="shared" si="22"/>
        <v>10.000000000000002</v>
      </c>
      <c r="Y37" s="82">
        <f t="shared" si="22"/>
        <v>20</v>
      </c>
      <c r="Z37" s="82">
        <f t="shared" si="22"/>
        <v>15.000000000000002</v>
      </c>
      <c r="AA37" s="82">
        <f t="shared" si="22"/>
        <v>10</v>
      </c>
      <c r="AB37" s="82">
        <f t="shared" si="22"/>
        <v>10</v>
      </c>
      <c r="AC37" s="82">
        <f t="shared" si="22"/>
        <v>30</v>
      </c>
      <c r="AD37" s="82">
        <f t="shared" si="22"/>
        <v>35</v>
      </c>
      <c r="AE37" s="82">
        <f t="shared" si="22"/>
        <v>15</v>
      </c>
      <c r="AF37" s="82">
        <f t="shared" si="22"/>
        <v>10</v>
      </c>
      <c r="AG37" s="82">
        <f t="shared" si="22"/>
        <v>10</v>
      </c>
      <c r="AH37" s="82">
        <f t="shared" si="22"/>
        <v>10</v>
      </c>
      <c r="AI37" s="82">
        <f t="shared" si="22"/>
        <v>10</v>
      </c>
      <c r="AJ37" s="82">
        <f t="shared" si="22"/>
        <v>35</v>
      </c>
      <c r="AK37" s="82">
        <f t="shared" si="22"/>
        <v>20</v>
      </c>
    </row>
    <row r="38" spans="1:37" ht="15" thickBot="1">
      <c r="A38" s="60">
        <v>24</v>
      </c>
      <c r="B38" s="60">
        <v>3</v>
      </c>
      <c r="C38" s="156" t="str">
        <f t="shared" si="1"/>
        <v>Tiki room</v>
      </c>
      <c r="D38" s="97">
        <f t="shared" si="5"/>
        <v>1.3406673571440857E-2</v>
      </c>
      <c r="E38" s="105">
        <f t="shared" si="6"/>
        <v>1.3406673571440857E-2</v>
      </c>
      <c r="F38" s="80">
        <f t="shared" si="2"/>
        <v>3.0303030303030304E-2</v>
      </c>
      <c r="G38" s="105">
        <f t="shared" si="7"/>
        <v>44.436335182955069</v>
      </c>
      <c r="H38" s="81">
        <f t="shared" si="3"/>
        <v>5</v>
      </c>
      <c r="I38" s="157">
        <v>1</v>
      </c>
      <c r="J38" s="16">
        <v>1</v>
      </c>
      <c r="K38" s="147">
        <v>24</v>
      </c>
      <c r="L38" s="158">
        <f>VLOOKUP(C38,coord!B:D,2,0)</f>
        <v>33.811774999999997</v>
      </c>
      <c r="M38" s="163">
        <f>VLOOKUP(C38,coord!B:D,3,0)</f>
        <v>-117.91967699999999</v>
      </c>
      <c r="T38" s="60">
        <v>24</v>
      </c>
      <c r="U38" s="82">
        <f t="shared" si="22"/>
        <v>20</v>
      </c>
      <c r="V38" s="82">
        <f t="shared" si="22"/>
        <v>5</v>
      </c>
      <c r="W38" s="82">
        <f t="shared" si="22"/>
        <v>5</v>
      </c>
      <c r="X38" s="82">
        <f t="shared" si="22"/>
        <v>10.000000000000002</v>
      </c>
      <c r="Y38" s="82">
        <f t="shared" si="22"/>
        <v>20</v>
      </c>
      <c r="Z38" s="82">
        <f t="shared" si="22"/>
        <v>15.000000000000002</v>
      </c>
      <c r="AA38" s="82">
        <f t="shared" si="22"/>
        <v>10</v>
      </c>
      <c r="AB38" s="82">
        <f t="shared" si="22"/>
        <v>10</v>
      </c>
      <c r="AC38" s="82">
        <f t="shared" si="22"/>
        <v>30</v>
      </c>
      <c r="AD38" s="82">
        <f t="shared" si="22"/>
        <v>35</v>
      </c>
      <c r="AE38" s="82">
        <f t="shared" si="22"/>
        <v>15</v>
      </c>
      <c r="AF38" s="82">
        <f t="shared" si="22"/>
        <v>5</v>
      </c>
      <c r="AG38" s="82">
        <f t="shared" si="22"/>
        <v>5</v>
      </c>
      <c r="AH38" s="82">
        <f t="shared" si="22"/>
        <v>10</v>
      </c>
      <c r="AI38" s="82">
        <f t="shared" si="22"/>
        <v>10</v>
      </c>
      <c r="AJ38" s="82">
        <f t="shared" si="22"/>
        <v>29.999999999999996</v>
      </c>
      <c r="AK38" s="82">
        <f t="shared" si="22"/>
        <v>15</v>
      </c>
    </row>
    <row r="39" spans="1:37" ht="15">
      <c r="A39" s="12"/>
      <c r="B39" s="8"/>
      <c r="C39" s="8"/>
      <c r="D39" s="94">
        <f>SUM(D22:D38)</f>
        <v>0.35633179884035637</v>
      </c>
      <c r="E39" s="8"/>
      <c r="F39" s="78">
        <f>SUM(F22:F38)</f>
        <v>0.93754224091860205</v>
      </c>
      <c r="G39" s="87">
        <f>SUM(G23:G38)</f>
        <v>1477.0783931804945</v>
      </c>
      <c r="H39" s="88">
        <f>SUM(H22:H38)</f>
        <v>420</v>
      </c>
      <c r="K39" s="82"/>
      <c r="L39" s="66"/>
      <c r="U39" s="54">
        <v>1</v>
      </c>
      <c r="V39" s="54">
        <v>2</v>
      </c>
      <c r="W39" s="54">
        <v>3</v>
      </c>
      <c r="X39" s="54">
        <v>4</v>
      </c>
      <c r="Y39" s="54">
        <v>5</v>
      </c>
      <c r="Z39" s="54">
        <v>6</v>
      </c>
      <c r="AA39" s="54">
        <v>7</v>
      </c>
      <c r="AB39" s="54">
        <v>8</v>
      </c>
      <c r="AC39" s="54">
        <v>9</v>
      </c>
      <c r="AD39" s="54">
        <v>10</v>
      </c>
      <c r="AE39" s="54">
        <v>11</v>
      </c>
      <c r="AF39" s="54">
        <v>12</v>
      </c>
      <c r="AG39" s="54">
        <v>13</v>
      </c>
      <c r="AH39" s="54">
        <v>14</v>
      </c>
      <c r="AI39" s="54">
        <v>15</v>
      </c>
      <c r="AJ39" s="54">
        <v>16</v>
      </c>
      <c r="AK39" s="55">
        <v>17</v>
      </c>
    </row>
    <row r="40" spans="1:37">
      <c r="A40" s="12"/>
      <c r="B40" s="61" t="s">
        <v>3</v>
      </c>
      <c r="C40" s="8"/>
      <c r="D40" s="71">
        <v>1</v>
      </c>
      <c r="E40" s="8"/>
      <c r="F40" s="71">
        <v>0</v>
      </c>
      <c r="G40" s="8"/>
      <c r="H40" s="14"/>
      <c r="K40" s="82"/>
      <c r="L40" s="66"/>
      <c r="T40" s="59">
        <v>1</v>
      </c>
      <c r="U40" s="82">
        <f>B3*B$20</f>
        <v>0</v>
      </c>
      <c r="V40" s="82">
        <f t="shared" ref="V40:AK55" si="23">C3*C$20</f>
        <v>35.41571747416252</v>
      </c>
      <c r="W40" s="82">
        <f t="shared" si="23"/>
        <v>75.235308449802986</v>
      </c>
      <c r="X40" s="82">
        <f t="shared" si="23"/>
        <v>243.12415046854719</v>
      </c>
      <c r="Y40" s="82">
        <f t="shared" si="23"/>
        <v>285.38608101250298</v>
      </c>
      <c r="Z40" s="82">
        <f t="shared" si="23"/>
        <v>289.17855867575389</v>
      </c>
      <c r="AA40" s="82">
        <f t="shared" si="23"/>
        <v>422.239931684601</v>
      </c>
      <c r="AB40" s="82">
        <f t="shared" si="23"/>
        <v>299.18469658294089</v>
      </c>
      <c r="AC40" s="82">
        <f t="shared" si="23"/>
        <v>294.34674965435448</v>
      </c>
      <c r="AD40" s="82">
        <f t="shared" si="23"/>
        <v>243.58872607986009</v>
      </c>
      <c r="AE40" s="82">
        <f t="shared" si="23"/>
        <v>203.00393542072791</v>
      </c>
      <c r="AF40" s="82">
        <f t="shared" si="23"/>
        <v>476.53795812918798</v>
      </c>
      <c r="AG40" s="82">
        <f t="shared" si="23"/>
        <v>166.24766329420825</v>
      </c>
      <c r="AH40" s="82">
        <f t="shared" si="23"/>
        <v>43.627434418712667</v>
      </c>
      <c r="AI40" s="82">
        <f t="shared" si="23"/>
        <v>235.9205617282789</v>
      </c>
      <c r="AJ40" s="82">
        <f t="shared" si="23"/>
        <v>285.48610254472004</v>
      </c>
      <c r="AK40" s="82">
        <f t="shared" si="23"/>
        <v>231.45532036128384</v>
      </c>
    </row>
    <row r="41" spans="1:37">
      <c r="A41" s="12"/>
      <c r="B41" s="8"/>
      <c r="C41" s="8"/>
      <c r="D41" s="8"/>
      <c r="E41" s="8"/>
      <c r="F41" s="8"/>
      <c r="G41" s="8"/>
      <c r="H41" s="14"/>
      <c r="T41" s="59">
        <v>2</v>
      </c>
      <c r="U41" s="82">
        <f t="shared" ref="U41:AJ56" si="24">B4*B$20</f>
        <v>35.41571747416252</v>
      </c>
      <c r="V41" s="82">
        <f t="shared" si="23"/>
        <v>0</v>
      </c>
      <c r="W41" s="82">
        <f t="shared" si="23"/>
        <v>44.436335182955069</v>
      </c>
      <c r="X41" s="82">
        <f t="shared" si="23"/>
        <v>273.1282170184997</v>
      </c>
      <c r="Y41" s="82">
        <f t="shared" si="23"/>
        <v>257.94215654492939</v>
      </c>
      <c r="Z41" s="82">
        <f t="shared" si="23"/>
        <v>268.18432904191525</v>
      </c>
      <c r="AA41" s="82">
        <f t="shared" si="23"/>
        <v>398.14575455830294</v>
      </c>
      <c r="AB41" s="82">
        <f t="shared" si="23"/>
        <v>273.11509923526529</v>
      </c>
      <c r="AC41" s="82">
        <f t="shared" si="23"/>
        <v>263.58393767409399</v>
      </c>
      <c r="AD41" s="82">
        <f t="shared" si="23"/>
        <v>219.53121870866025</v>
      </c>
      <c r="AE41" s="82">
        <f t="shared" si="23"/>
        <v>200.11373184634655</v>
      </c>
      <c r="AF41" s="82">
        <f t="shared" si="23"/>
        <v>456.11462948302591</v>
      </c>
      <c r="AG41" s="82">
        <f t="shared" si="23"/>
        <v>199.21786127021554</v>
      </c>
      <c r="AH41" s="82">
        <f t="shared" si="23"/>
        <v>79.03822260954027</v>
      </c>
      <c r="AI41" s="82">
        <f t="shared" si="23"/>
        <v>201.14756751767686</v>
      </c>
      <c r="AJ41" s="82">
        <f t="shared" si="23"/>
        <v>250.88589035856424</v>
      </c>
      <c r="AK41" s="82">
        <f t="shared" si="23"/>
        <v>196.0671434542468</v>
      </c>
    </row>
    <row r="42" spans="1:37" ht="15" thickBot="1">
      <c r="A42" s="41"/>
      <c r="B42" s="16"/>
      <c r="C42" s="97">
        <f>D39*D40</f>
        <v>0.35633179884035637</v>
      </c>
      <c r="D42" s="16"/>
      <c r="E42" s="80">
        <f>F39*F40</f>
        <v>0</v>
      </c>
      <c r="F42" s="16"/>
      <c r="G42" s="64" t="s">
        <v>8</v>
      </c>
      <c r="H42" s="98">
        <f>E42+C42</f>
        <v>0.35633179884035637</v>
      </c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59">
        <v>3</v>
      </c>
      <c r="U42" s="82">
        <f t="shared" si="24"/>
        <v>75.235308449802986</v>
      </c>
      <c r="V42" s="82">
        <f t="shared" si="23"/>
        <v>44.436335182955069</v>
      </c>
      <c r="W42" s="82">
        <f t="shared" si="23"/>
        <v>0</v>
      </c>
      <c r="X42" s="82">
        <f t="shared" si="23"/>
        <v>291.68873208474383</v>
      </c>
      <c r="Y42" s="82">
        <f t="shared" si="23"/>
        <v>213.54567105456343</v>
      </c>
      <c r="Z42" s="82">
        <f t="shared" si="23"/>
        <v>226.12164826396045</v>
      </c>
      <c r="AA42" s="82">
        <f t="shared" si="23"/>
        <v>354.40223799523591</v>
      </c>
      <c r="AB42" s="82">
        <f t="shared" si="23"/>
        <v>228.93534948956807</v>
      </c>
      <c r="AC42" s="82">
        <f t="shared" si="23"/>
        <v>219.64957303895184</v>
      </c>
      <c r="AD42" s="82">
        <f t="shared" si="23"/>
        <v>176.13361760590169</v>
      </c>
      <c r="AE42" s="82">
        <f t="shared" si="23"/>
        <v>175.53810902631469</v>
      </c>
      <c r="AF42" s="82">
        <f t="shared" si="23"/>
        <v>413.86441663557724</v>
      </c>
      <c r="AG42" s="82">
        <f t="shared" si="23"/>
        <v>225.40989687633373</v>
      </c>
      <c r="AH42" s="82">
        <f t="shared" si="23"/>
        <v>117.05948454950837</v>
      </c>
      <c r="AI42" s="82">
        <f t="shared" si="23"/>
        <v>163.05880626550467</v>
      </c>
      <c r="AJ42" s="82">
        <f t="shared" si="23"/>
        <v>226.64433982944462</v>
      </c>
      <c r="AK42" s="82">
        <f t="shared" si="23"/>
        <v>162.77018054803818</v>
      </c>
    </row>
    <row r="43" spans="1:37">
      <c r="T43" s="59">
        <v>4</v>
      </c>
      <c r="U43" s="82">
        <f t="shared" si="24"/>
        <v>243.12415046854719</v>
      </c>
      <c r="V43" s="82">
        <f t="shared" si="23"/>
        <v>273.1282170184997</v>
      </c>
      <c r="W43" s="82">
        <f t="shared" si="23"/>
        <v>291.68873208474383</v>
      </c>
      <c r="X43" s="82">
        <f t="shared" si="23"/>
        <v>0</v>
      </c>
      <c r="Y43" s="82">
        <f t="shared" si="23"/>
        <v>430.58523917795372</v>
      </c>
      <c r="Z43" s="82">
        <f t="shared" si="23"/>
        <v>393.65678799828754</v>
      </c>
      <c r="AA43" s="82">
        <f t="shared" si="23"/>
        <v>523.92586826058493</v>
      </c>
      <c r="AB43" s="82">
        <f t="shared" si="23"/>
        <v>433.02117322658592</v>
      </c>
      <c r="AC43" s="82">
        <f t="shared" si="23"/>
        <v>460.99990848306385</v>
      </c>
      <c r="AD43" s="82">
        <f t="shared" si="23"/>
        <v>377.39239285121079</v>
      </c>
      <c r="AE43" s="82">
        <f t="shared" si="23"/>
        <v>243.50268764516562</v>
      </c>
      <c r="AF43" s="82">
        <f t="shared" si="23"/>
        <v>545.19424297983869</v>
      </c>
      <c r="AG43" s="82">
        <f t="shared" si="23"/>
        <v>85.530866119049492</v>
      </c>
      <c r="AH43" s="82">
        <f t="shared" si="23"/>
        <v>209.16282830150311</v>
      </c>
      <c r="AI43" s="82">
        <f t="shared" si="23"/>
        <v>443.65343531531391</v>
      </c>
      <c r="AJ43" s="82">
        <f t="shared" si="23"/>
        <v>518.33181927135797</v>
      </c>
      <c r="AK43" s="82">
        <f t="shared" si="23"/>
        <v>450.94909994727891</v>
      </c>
    </row>
    <row r="44" spans="1:37">
      <c r="T44" s="59">
        <v>5</v>
      </c>
      <c r="U44" s="82">
        <f t="shared" si="24"/>
        <v>285.38608101250298</v>
      </c>
      <c r="V44" s="82">
        <f t="shared" si="23"/>
        <v>257.94215654492939</v>
      </c>
      <c r="W44" s="82">
        <f t="shared" si="23"/>
        <v>213.54567105456346</v>
      </c>
      <c r="X44" s="82">
        <f t="shared" si="23"/>
        <v>430.58523917795367</v>
      </c>
      <c r="Y44" s="82">
        <f t="shared" si="23"/>
        <v>0</v>
      </c>
      <c r="Z44" s="82">
        <f t="shared" si="23"/>
        <v>69.455125502039664</v>
      </c>
      <c r="AA44" s="82">
        <f t="shared" si="23"/>
        <v>146.08932876096961</v>
      </c>
      <c r="AB44" s="82">
        <f t="shared" si="23"/>
        <v>21.968778976333269</v>
      </c>
      <c r="AC44" s="82">
        <f t="shared" si="23"/>
        <v>46.120406617537434</v>
      </c>
      <c r="AD44" s="82">
        <f t="shared" si="23"/>
        <v>53.25280228115453</v>
      </c>
      <c r="AE44" s="82">
        <f t="shared" si="23"/>
        <v>196.18586926043142</v>
      </c>
      <c r="AF44" s="82">
        <f t="shared" si="23"/>
        <v>217.34893875517614</v>
      </c>
      <c r="AG44" s="82">
        <f t="shared" si="23"/>
        <v>394.82939421009377</v>
      </c>
      <c r="AH44" s="82">
        <f t="shared" si="23"/>
        <v>321.85836784012554</v>
      </c>
      <c r="AI44" s="82">
        <f t="shared" si="23"/>
        <v>130.10141514607648</v>
      </c>
      <c r="AJ44" s="82">
        <f t="shared" si="23"/>
        <v>234.1745320258795</v>
      </c>
      <c r="AK44" s="82">
        <f t="shared" si="23"/>
        <v>162.97627457082967</v>
      </c>
    </row>
    <row r="45" spans="1:37">
      <c r="C45" s="66" t="s">
        <v>64</v>
      </c>
      <c r="G45" s="82">
        <f>G39*3</f>
        <v>4431.2351795414834</v>
      </c>
      <c r="T45" s="59">
        <v>6</v>
      </c>
      <c r="U45" s="82">
        <f t="shared" si="24"/>
        <v>289.17855867575389</v>
      </c>
      <c r="V45" s="82">
        <f t="shared" si="23"/>
        <v>268.18432904191525</v>
      </c>
      <c r="W45" s="82">
        <f t="shared" si="23"/>
        <v>226.1216482639604</v>
      </c>
      <c r="X45" s="82">
        <f t="shared" si="23"/>
        <v>393.65678799828754</v>
      </c>
      <c r="Y45" s="82">
        <f t="shared" si="23"/>
        <v>69.455125502039664</v>
      </c>
      <c r="Z45" s="82">
        <f t="shared" si="23"/>
        <v>0</v>
      </c>
      <c r="AA45" s="82">
        <f t="shared" si="23"/>
        <v>137.10365996034804</v>
      </c>
      <c r="AB45" s="82">
        <f t="shared" si="23"/>
        <v>54.816916820998749</v>
      </c>
      <c r="AC45" s="82">
        <f t="shared" si="23"/>
        <v>115.54084629340073</v>
      </c>
      <c r="AD45" s="82">
        <f t="shared" si="23"/>
        <v>55.11594960765737</v>
      </c>
      <c r="AE45" s="82">
        <f t="shared" si="23"/>
        <v>150.6555634966613</v>
      </c>
      <c r="AF45" s="82">
        <f t="shared" si="23"/>
        <v>187.93059434003794</v>
      </c>
      <c r="AG45" s="82">
        <f t="shared" si="23"/>
        <v>370.49370442246158</v>
      </c>
      <c r="AH45" s="82">
        <f t="shared" si="23"/>
        <v>319.2524065418915</v>
      </c>
      <c r="AI45" s="82">
        <f t="shared" si="23"/>
        <v>189.22843379725697</v>
      </c>
      <c r="AJ45" s="82">
        <f t="shared" si="23"/>
        <v>297.2839405593038</v>
      </c>
      <c r="AK45" s="82">
        <f t="shared" si="23"/>
        <v>220.94920483065883</v>
      </c>
    </row>
    <row r="46" spans="1:37">
      <c r="C46" s="66" t="s">
        <v>65</v>
      </c>
      <c r="G46" s="82">
        <f>G45/5280</f>
        <v>0.83924908703437184</v>
      </c>
      <c r="T46" s="59">
        <v>7</v>
      </c>
      <c r="U46" s="82">
        <f t="shared" si="24"/>
        <v>422.239931684601</v>
      </c>
      <c r="V46" s="82">
        <f t="shared" si="23"/>
        <v>398.14575455830294</v>
      </c>
      <c r="W46" s="82">
        <f t="shared" si="23"/>
        <v>354.40223799523591</v>
      </c>
      <c r="X46" s="82">
        <f t="shared" si="23"/>
        <v>523.92586826058493</v>
      </c>
      <c r="Y46" s="82">
        <f t="shared" si="23"/>
        <v>146.08932876096961</v>
      </c>
      <c r="Z46" s="82">
        <f t="shared" si="23"/>
        <v>137.10365996034804</v>
      </c>
      <c r="AA46" s="82">
        <f t="shared" si="23"/>
        <v>0</v>
      </c>
      <c r="AB46" s="82">
        <f t="shared" si="23"/>
        <v>127.04302098859858</v>
      </c>
      <c r="AC46" s="82">
        <f t="shared" si="23"/>
        <v>166.51786372548233</v>
      </c>
      <c r="AD46" s="82">
        <f t="shared" si="23"/>
        <v>178.79249083232051</v>
      </c>
      <c r="AE46" s="82">
        <f t="shared" si="23"/>
        <v>281.09763747137629</v>
      </c>
      <c r="AF46" s="82">
        <f t="shared" si="23"/>
        <v>80.985227741250185</v>
      </c>
      <c r="AG46" s="82">
        <f t="shared" si="23"/>
        <v>506.4497087106385</v>
      </c>
      <c r="AH46" s="82">
        <f t="shared" si="23"/>
        <v>454.60608976349624</v>
      </c>
      <c r="AI46" s="82">
        <f t="shared" si="23"/>
        <v>266.95448741353545</v>
      </c>
      <c r="AJ46" s="82">
        <f t="shared" si="23"/>
        <v>357.85686355779404</v>
      </c>
      <c r="AK46" s="82">
        <f t="shared" si="23"/>
        <v>299.2056517337632</v>
      </c>
    </row>
    <row r="47" spans="1:37">
      <c r="C47" s="66" t="s">
        <v>66</v>
      </c>
      <c r="G47" s="82">
        <f>H39/60</f>
        <v>7</v>
      </c>
      <c r="T47" s="59">
        <v>8</v>
      </c>
      <c r="U47" s="82">
        <f t="shared" si="24"/>
        <v>299.18469658294089</v>
      </c>
      <c r="V47" s="82">
        <f t="shared" si="23"/>
        <v>273.11509923526529</v>
      </c>
      <c r="W47" s="82">
        <f t="shared" si="23"/>
        <v>228.93534948956807</v>
      </c>
      <c r="X47" s="82">
        <f t="shared" si="23"/>
        <v>433.02117322658592</v>
      </c>
      <c r="Y47" s="82">
        <f t="shared" si="23"/>
        <v>21.968778976333269</v>
      </c>
      <c r="Z47" s="82">
        <f t="shared" si="23"/>
        <v>54.816916820998742</v>
      </c>
      <c r="AA47" s="82">
        <f t="shared" si="23"/>
        <v>127.04302098859857</v>
      </c>
      <c r="AB47" s="82">
        <f t="shared" si="23"/>
        <v>0</v>
      </c>
      <c r="AC47" s="82">
        <f t="shared" si="23"/>
        <v>63.794208341811625</v>
      </c>
      <c r="AD47" s="82">
        <f t="shared" si="23"/>
        <v>58.440074323805938</v>
      </c>
      <c r="AE47" s="82">
        <f t="shared" si="23"/>
        <v>194.30568622833704</v>
      </c>
      <c r="AF47" s="82">
        <f t="shared" si="23"/>
        <v>196.24129880676139</v>
      </c>
      <c r="AG47" s="82">
        <f t="shared" si="23"/>
        <v>401.34210495569926</v>
      </c>
      <c r="AH47" s="82">
        <f t="shared" si="23"/>
        <v>334.23445421028055</v>
      </c>
      <c r="AI47" s="82">
        <f t="shared" si="23"/>
        <v>152.05756119461753</v>
      </c>
      <c r="AJ47" s="82">
        <f t="shared" si="23"/>
        <v>255.62654057901639</v>
      </c>
      <c r="AK47" s="82">
        <f t="shared" si="23"/>
        <v>184.93928790034644</v>
      </c>
    </row>
    <row r="48" spans="1:37">
      <c r="C48" s="66" t="s">
        <v>67</v>
      </c>
      <c r="G48" s="82">
        <f>SUM(D29:D32)/D39</f>
        <v>0.32508084186991065</v>
      </c>
      <c r="T48" s="59">
        <v>9</v>
      </c>
      <c r="U48" s="82">
        <f t="shared" si="24"/>
        <v>294.34674965435448</v>
      </c>
      <c r="V48" s="82">
        <f t="shared" si="23"/>
        <v>263.58393767409399</v>
      </c>
      <c r="W48" s="82">
        <f t="shared" si="23"/>
        <v>219.64957303895184</v>
      </c>
      <c r="X48" s="82">
        <f t="shared" si="23"/>
        <v>460.99990848306379</v>
      </c>
      <c r="Y48" s="82">
        <f t="shared" si="23"/>
        <v>46.120406617537434</v>
      </c>
      <c r="Z48" s="82">
        <f t="shared" si="23"/>
        <v>115.54084629340075</v>
      </c>
      <c r="AA48" s="82">
        <f t="shared" si="23"/>
        <v>166.51786372548233</v>
      </c>
      <c r="AB48" s="82">
        <f t="shared" si="23"/>
        <v>63.794208341811625</v>
      </c>
      <c r="AC48" s="82">
        <f t="shared" si="23"/>
        <v>0</v>
      </c>
      <c r="AD48" s="82">
        <f t="shared" si="23"/>
        <v>90.664956666995778</v>
      </c>
      <c r="AE48" s="82">
        <f t="shared" si="23"/>
        <v>234.26543137137057</v>
      </c>
      <c r="AF48" s="82">
        <f t="shared" si="23"/>
        <v>244.21262443256944</v>
      </c>
      <c r="AG48" s="82">
        <f t="shared" si="23"/>
        <v>418.58691675179392</v>
      </c>
      <c r="AH48" s="82">
        <f t="shared" si="23"/>
        <v>333.91043574757589</v>
      </c>
      <c r="AI48" s="82">
        <f t="shared" si="23"/>
        <v>100.53876287995733</v>
      </c>
      <c r="AJ48" s="82">
        <f t="shared" si="23"/>
        <v>196.03012242617947</v>
      </c>
      <c r="AK48" s="82">
        <f t="shared" si="23"/>
        <v>132.68848704068344</v>
      </c>
    </row>
    <row r="49" spans="3:37">
      <c r="C49" s="66" t="s">
        <v>68</v>
      </c>
      <c r="G49" s="82">
        <f>SUM(F29:F32)/F39</f>
        <v>0.32722533315231112</v>
      </c>
      <c r="T49" s="59">
        <v>10</v>
      </c>
      <c r="U49" s="82">
        <f t="shared" si="24"/>
        <v>243.58872607986012</v>
      </c>
      <c r="V49" s="82">
        <f t="shared" si="23"/>
        <v>219.53121870866028</v>
      </c>
      <c r="W49" s="82">
        <f t="shared" si="23"/>
        <v>176.13361760590169</v>
      </c>
      <c r="X49" s="82">
        <f t="shared" si="23"/>
        <v>377.39239285121079</v>
      </c>
      <c r="Y49" s="82">
        <f t="shared" si="23"/>
        <v>53.252802281154523</v>
      </c>
      <c r="Z49" s="82">
        <f t="shared" si="23"/>
        <v>55.115949607657363</v>
      </c>
      <c r="AA49" s="82">
        <f t="shared" si="23"/>
        <v>178.79249083232051</v>
      </c>
      <c r="AB49" s="82">
        <f t="shared" si="23"/>
        <v>58.440074323805938</v>
      </c>
      <c r="AC49" s="82">
        <f t="shared" si="23"/>
        <v>90.664956666995778</v>
      </c>
      <c r="AD49" s="82">
        <f t="shared" si="23"/>
        <v>0</v>
      </c>
      <c r="AE49" s="82">
        <f t="shared" si="23"/>
        <v>144.14840241197871</v>
      </c>
      <c r="AF49" s="82">
        <f t="shared" si="23"/>
        <v>238.93956076898073</v>
      </c>
      <c r="AG49" s="82">
        <f t="shared" si="23"/>
        <v>343.23800472175236</v>
      </c>
      <c r="AH49" s="82">
        <f t="shared" si="23"/>
        <v>277.19471876766289</v>
      </c>
      <c r="AI49" s="82">
        <f t="shared" si="23"/>
        <v>140.34652822183338</v>
      </c>
      <c r="AJ49" s="82">
        <f t="shared" si="23"/>
        <v>249.56439084237218</v>
      </c>
      <c r="AK49" s="82">
        <f t="shared" si="23"/>
        <v>170.59544177993732</v>
      </c>
    </row>
    <row r="50" spans="3:37">
      <c r="T50" s="59">
        <v>11</v>
      </c>
      <c r="U50" s="82">
        <f t="shared" si="24"/>
        <v>203.00393542072791</v>
      </c>
      <c r="V50" s="82">
        <f t="shared" si="23"/>
        <v>200.11373184634655</v>
      </c>
      <c r="W50" s="82">
        <f t="shared" si="23"/>
        <v>175.53810902631469</v>
      </c>
      <c r="X50" s="82">
        <f t="shared" si="23"/>
        <v>243.50268764516565</v>
      </c>
      <c r="Y50" s="82">
        <f t="shared" si="23"/>
        <v>196.18586926043142</v>
      </c>
      <c r="Z50" s="82">
        <f t="shared" si="23"/>
        <v>150.6555634966613</v>
      </c>
      <c r="AA50" s="82">
        <f t="shared" si="23"/>
        <v>281.09763747137629</v>
      </c>
      <c r="AB50" s="82">
        <f t="shared" si="23"/>
        <v>194.30568622833704</v>
      </c>
      <c r="AC50" s="82">
        <f t="shared" si="23"/>
        <v>234.26543137137054</v>
      </c>
      <c r="AD50" s="82">
        <f t="shared" si="23"/>
        <v>144.14840241197871</v>
      </c>
      <c r="AE50" s="82">
        <f t="shared" si="23"/>
        <v>0</v>
      </c>
      <c r="AF50" s="82">
        <f t="shared" si="23"/>
        <v>310.40995171196965</v>
      </c>
      <c r="AG50" s="82">
        <f t="shared" si="23"/>
        <v>229.52406256746684</v>
      </c>
      <c r="AH50" s="82">
        <f t="shared" si="23"/>
        <v>215.60524896378325</v>
      </c>
      <c r="AI50" s="82">
        <f t="shared" si="23"/>
        <v>253.90774206554252</v>
      </c>
      <c r="AJ50" s="82">
        <f t="shared" si="23"/>
        <v>355.60542381889445</v>
      </c>
      <c r="AK50" s="82">
        <f t="shared" si="23"/>
        <v>274.98992588644165</v>
      </c>
    </row>
    <row r="51" spans="3:37">
      <c r="T51" s="59">
        <v>12</v>
      </c>
      <c r="U51" s="82">
        <f t="shared" si="24"/>
        <v>476.53795812918798</v>
      </c>
      <c r="V51" s="82">
        <f t="shared" si="23"/>
        <v>456.11462948302585</v>
      </c>
      <c r="W51" s="82">
        <f t="shared" si="23"/>
        <v>413.86441663557724</v>
      </c>
      <c r="X51" s="82">
        <f t="shared" si="23"/>
        <v>545.19424297983869</v>
      </c>
      <c r="Y51" s="82">
        <f t="shared" si="23"/>
        <v>217.34893875517614</v>
      </c>
      <c r="Z51" s="82">
        <f t="shared" si="23"/>
        <v>187.93059434003794</v>
      </c>
      <c r="AA51" s="82">
        <f t="shared" si="23"/>
        <v>80.985227741250185</v>
      </c>
      <c r="AB51" s="82">
        <f t="shared" si="23"/>
        <v>196.24129880676139</v>
      </c>
      <c r="AC51" s="82">
        <f t="shared" si="23"/>
        <v>244.21262443256944</v>
      </c>
      <c r="AD51" s="82">
        <f t="shared" si="23"/>
        <v>238.93956076898073</v>
      </c>
      <c r="AE51" s="82">
        <f t="shared" si="23"/>
        <v>310.40995171196965</v>
      </c>
      <c r="AF51" s="82">
        <f t="shared" si="23"/>
        <v>0</v>
      </c>
      <c r="AG51" s="82">
        <f t="shared" si="23"/>
        <v>539.93396275766452</v>
      </c>
      <c r="AH51" s="82">
        <f t="shared" si="23"/>
        <v>504.71867173682426</v>
      </c>
      <c r="AI51" s="82">
        <f t="shared" si="23"/>
        <v>343.71766130424044</v>
      </c>
      <c r="AJ51" s="82">
        <f t="shared" si="23"/>
        <v>437.85195352068683</v>
      </c>
      <c r="AK51" s="82">
        <f t="shared" si="23"/>
        <v>376.39033374729303</v>
      </c>
    </row>
    <row r="52" spans="3:37">
      <c r="T52" s="59">
        <v>13</v>
      </c>
      <c r="U52" s="82">
        <f t="shared" si="24"/>
        <v>166.24766329420825</v>
      </c>
      <c r="V52" s="82">
        <f t="shared" si="23"/>
        <v>199.21786127021554</v>
      </c>
      <c r="W52" s="82">
        <f t="shared" si="23"/>
        <v>225.40989687633373</v>
      </c>
      <c r="X52" s="82">
        <f t="shared" si="23"/>
        <v>85.530866119049492</v>
      </c>
      <c r="Y52" s="82">
        <f t="shared" si="23"/>
        <v>394.82939421009377</v>
      </c>
      <c r="Z52" s="82">
        <f t="shared" si="23"/>
        <v>370.49370442246158</v>
      </c>
      <c r="AA52" s="82">
        <f t="shared" si="23"/>
        <v>506.44970871063845</v>
      </c>
      <c r="AB52" s="82">
        <f t="shared" si="23"/>
        <v>401.34210495569926</v>
      </c>
      <c r="AC52" s="82">
        <f t="shared" si="23"/>
        <v>418.58691675179392</v>
      </c>
      <c r="AD52" s="82">
        <f t="shared" si="23"/>
        <v>343.23800472175242</v>
      </c>
      <c r="AE52" s="82">
        <f t="shared" si="23"/>
        <v>229.52406256746684</v>
      </c>
      <c r="AF52" s="82">
        <f t="shared" si="23"/>
        <v>539.93396275766452</v>
      </c>
      <c r="AG52" s="82">
        <f t="shared" si="23"/>
        <v>0</v>
      </c>
      <c r="AH52" s="82">
        <f t="shared" si="23"/>
        <v>127.9721607205676</v>
      </c>
      <c r="AI52" s="82">
        <f t="shared" si="23"/>
        <v>385.50102343587747</v>
      </c>
      <c r="AJ52" s="82">
        <f t="shared" si="23"/>
        <v>449.4287392065018</v>
      </c>
      <c r="AK52" s="82">
        <f t="shared" si="23"/>
        <v>388.07023356065002</v>
      </c>
    </row>
    <row r="53" spans="3:37">
      <c r="T53" s="59">
        <v>14</v>
      </c>
      <c r="U53" s="82">
        <f t="shared" si="24"/>
        <v>43.627434418712667</v>
      </c>
      <c r="V53" s="82">
        <f t="shared" si="23"/>
        <v>79.03822260954027</v>
      </c>
      <c r="W53" s="82">
        <f t="shared" si="23"/>
        <v>117.05948454950837</v>
      </c>
      <c r="X53" s="82">
        <f t="shared" si="23"/>
        <v>209.16282830150311</v>
      </c>
      <c r="Y53" s="82">
        <f t="shared" si="23"/>
        <v>321.85836784012554</v>
      </c>
      <c r="Z53" s="82">
        <f t="shared" si="23"/>
        <v>319.2524065418915</v>
      </c>
      <c r="AA53" s="82">
        <f t="shared" si="23"/>
        <v>454.60608976349624</v>
      </c>
      <c r="AB53" s="82">
        <f t="shared" si="23"/>
        <v>334.23445421028055</v>
      </c>
      <c r="AC53" s="82">
        <f t="shared" si="23"/>
        <v>333.91043574757589</v>
      </c>
      <c r="AD53" s="82">
        <f t="shared" si="23"/>
        <v>277.19471876766289</v>
      </c>
      <c r="AE53" s="82">
        <f t="shared" si="23"/>
        <v>215.60524896378325</v>
      </c>
      <c r="AF53" s="82">
        <f t="shared" si="23"/>
        <v>504.71867173682426</v>
      </c>
      <c r="AG53" s="82">
        <f t="shared" si="23"/>
        <v>127.9721607205676</v>
      </c>
      <c r="AH53" s="82">
        <f t="shared" si="23"/>
        <v>0</v>
      </c>
      <c r="AI53" s="82">
        <f t="shared" si="23"/>
        <v>279.11449624635367</v>
      </c>
      <c r="AJ53" s="82">
        <f t="shared" si="23"/>
        <v>328.16830545471561</v>
      </c>
      <c r="AK53" s="82">
        <f t="shared" si="23"/>
        <v>275.07923904373905</v>
      </c>
    </row>
    <row r="54" spans="3:37">
      <c r="T54" s="59">
        <v>15</v>
      </c>
      <c r="U54" s="82">
        <f t="shared" si="24"/>
        <v>235.9205617282789</v>
      </c>
      <c r="V54" s="82">
        <f t="shared" si="23"/>
        <v>201.14756751767686</v>
      </c>
      <c r="W54" s="82">
        <f t="shared" si="23"/>
        <v>163.05880626550467</v>
      </c>
      <c r="X54" s="82">
        <f t="shared" si="23"/>
        <v>443.65343531531403</v>
      </c>
      <c r="Y54" s="82">
        <f t="shared" si="23"/>
        <v>130.10141514607648</v>
      </c>
      <c r="Z54" s="82">
        <f t="shared" si="23"/>
        <v>189.22843379725697</v>
      </c>
      <c r="AA54" s="82">
        <f t="shared" si="23"/>
        <v>266.95448741353545</v>
      </c>
      <c r="AB54" s="82">
        <f t="shared" si="23"/>
        <v>152.05756119461753</v>
      </c>
      <c r="AC54" s="82">
        <f t="shared" si="23"/>
        <v>100.53876287995733</v>
      </c>
      <c r="AD54" s="82">
        <f t="shared" si="23"/>
        <v>140.34652822183338</v>
      </c>
      <c r="AE54" s="82">
        <f t="shared" si="23"/>
        <v>253.90774206554249</v>
      </c>
      <c r="AF54" s="82">
        <f t="shared" si="23"/>
        <v>343.71766130424044</v>
      </c>
      <c r="AG54" s="82">
        <f t="shared" si="23"/>
        <v>385.50102343587753</v>
      </c>
      <c r="AH54" s="82">
        <f t="shared" si="23"/>
        <v>279.11449624635367</v>
      </c>
      <c r="AI54" s="82">
        <f t="shared" si="23"/>
        <v>0</v>
      </c>
      <c r="AJ54" s="82">
        <f t="shared" si="23"/>
        <v>109.24350736136221</v>
      </c>
      <c r="AK54" s="82">
        <f t="shared" si="23"/>
        <v>32.923290655312897</v>
      </c>
    </row>
    <row r="55" spans="3:37">
      <c r="T55" s="59">
        <v>16</v>
      </c>
      <c r="U55" s="82">
        <f t="shared" si="24"/>
        <v>285.48610254472004</v>
      </c>
      <c r="V55" s="82">
        <f t="shared" si="23"/>
        <v>250.88589035856424</v>
      </c>
      <c r="W55" s="82">
        <f t="shared" si="23"/>
        <v>226.64433982944459</v>
      </c>
      <c r="X55" s="82">
        <f t="shared" si="23"/>
        <v>518.33181927135797</v>
      </c>
      <c r="Y55" s="82">
        <f t="shared" si="23"/>
        <v>234.17453202587953</v>
      </c>
      <c r="Z55" s="82">
        <f t="shared" si="23"/>
        <v>297.2839405593038</v>
      </c>
      <c r="AA55" s="82">
        <f t="shared" si="23"/>
        <v>357.85686355779404</v>
      </c>
      <c r="AB55" s="82">
        <f t="shared" si="23"/>
        <v>255.62654057901639</v>
      </c>
      <c r="AC55" s="82">
        <f t="shared" si="23"/>
        <v>196.03012242617947</v>
      </c>
      <c r="AD55" s="82">
        <f t="shared" si="23"/>
        <v>249.56439084237218</v>
      </c>
      <c r="AE55" s="82">
        <f t="shared" si="23"/>
        <v>355.60542381889445</v>
      </c>
      <c r="AF55" s="82">
        <f t="shared" si="23"/>
        <v>437.85195352068683</v>
      </c>
      <c r="AG55" s="82">
        <f t="shared" si="23"/>
        <v>449.42873920650186</v>
      </c>
      <c r="AH55" s="82">
        <f t="shared" si="23"/>
        <v>328.16830545471561</v>
      </c>
      <c r="AI55" s="82">
        <f t="shared" si="23"/>
        <v>109.24350736136221</v>
      </c>
      <c r="AJ55" s="82">
        <f t="shared" si="23"/>
        <v>0</v>
      </c>
      <c r="AK55" s="82">
        <f t="shared" ref="AK55:AK56" si="25">R18*R$20</f>
        <v>81.447413962744818</v>
      </c>
    </row>
    <row r="56" spans="3:37" ht="15" thickBot="1">
      <c r="T56" s="60">
        <v>17</v>
      </c>
      <c r="U56" s="82">
        <f t="shared" si="24"/>
        <v>231.45532036128384</v>
      </c>
      <c r="V56" s="82">
        <f t="shared" si="24"/>
        <v>196.0671434542468</v>
      </c>
      <c r="W56" s="82">
        <f t="shared" si="24"/>
        <v>162.77018054803818</v>
      </c>
      <c r="X56" s="82">
        <f t="shared" si="24"/>
        <v>450.94909994727897</v>
      </c>
      <c r="Y56" s="82">
        <f t="shared" si="24"/>
        <v>162.97627457082967</v>
      </c>
      <c r="Z56" s="82">
        <f t="shared" si="24"/>
        <v>220.9492048306588</v>
      </c>
      <c r="AA56" s="82">
        <f t="shared" si="24"/>
        <v>299.2056517337632</v>
      </c>
      <c r="AB56" s="82">
        <f t="shared" si="24"/>
        <v>184.93928790034644</v>
      </c>
      <c r="AC56" s="82">
        <f t="shared" si="24"/>
        <v>132.68848704068344</v>
      </c>
      <c r="AD56" s="82">
        <f t="shared" si="24"/>
        <v>170.59544177993732</v>
      </c>
      <c r="AE56" s="82">
        <f t="shared" si="24"/>
        <v>274.98992588644165</v>
      </c>
      <c r="AF56" s="82">
        <f t="shared" si="24"/>
        <v>376.39033374729303</v>
      </c>
      <c r="AG56" s="82">
        <f t="shared" si="24"/>
        <v>388.07023356065002</v>
      </c>
      <c r="AH56" s="82">
        <f t="shared" si="24"/>
        <v>275.07923904373905</v>
      </c>
      <c r="AI56" s="82">
        <f t="shared" si="24"/>
        <v>32.923290655312897</v>
      </c>
      <c r="AJ56" s="82">
        <f t="shared" si="24"/>
        <v>81.447413962744832</v>
      </c>
      <c r="AK56" s="82">
        <f t="shared" si="25"/>
        <v>0</v>
      </c>
    </row>
  </sheetData>
  <conditionalFormatting sqref="C22:C38">
    <cfRule type="expression" dxfId="2" priority="1">
      <formula>MATCH(C22,$O$22:$O$30,0)</formula>
    </cfRule>
  </conditionalFormatting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D5CEBA-ECEC-4206-AFE3-0871FD147AA1}">
  <dimension ref="A1:AL56"/>
  <sheetViews>
    <sheetView topLeftCell="A19" workbookViewId="0">
      <selection activeCell="M38" sqref="A21:M38"/>
    </sheetView>
  </sheetViews>
  <sheetFormatPr defaultRowHeight="14.25"/>
  <cols>
    <col min="1" max="1" width="9.5" bestFit="1" customWidth="1"/>
    <col min="2" max="2" width="11.5" customWidth="1"/>
    <col min="3" max="3" width="17.25" bestFit="1" customWidth="1"/>
    <col min="4" max="4" width="12.5" bestFit="1" customWidth="1"/>
    <col min="5" max="5" width="7.75" bestFit="1" customWidth="1"/>
    <col min="6" max="6" width="8.375" bestFit="1" customWidth="1"/>
    <col min="7" max="7" width="7.375" bestFit="1" customWidth="1"/>
    <col min="8" max="8" width="8" customWidth="1"/>
    <col min="9" max="18" width="6.75" customWidth="1"/>
    <col min="19" max="19" width="17.25" bestFit="1" customWidth="1"/>
    <col min="20" max="20" width="18.25" customWidth="1"/>
    <col min="21" max="21" width="12.75" bestFit="1" customWidth="1"/>
    <col min="22" max="38" width="5.5" customWidth="1"/>
    <col min="39" max="39" width="15.75" bestFit="1" customWidth="1"/>
  </cols>
  <sheetData>
    <row r="1" spans="1:38" ht="48.75" customHeight="1" thickBot="1">
      <c r="A1" s="67" t="s">
        <v>41</v>
      </c>
      <c r="B1" s="51" t="s">
        <v>5</v>
      </c>
      <c r="C1" s="25"/>
      <c r="D1" s="25"/>
      <c r="E1" s="25"/>
      <c r="F1" s="25"/>
      <c r="G1" s="25"/>
      <c r="H1" s="25"/>
      <c r="I1" s="25"/>
      <c r="J1" s="25"/>
      <c r="K1" s="25"/>
      <c r="L1" s="25"/>
      <c r="M1" s="25"/>
      <c r="N1" s="25"/>
      <c r="O1" s="25"/>
      <c r="P1" s="25"/>
      <c r="Q1" s="25"/>
      <c r="R1" s="26"/>
      <c r="S1" s="52" t="s">
        <v>40</v>
      </c>
      <c r="T1" s="52" t="s">
        <v>11</v>
      </c>
      <c r="U1" s="53" t="s">
        <v>6</v>
      </c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1"/>
    </row>
    <row r="2" spans="1:38" ht="15" thickBot="1">
      <c r="A2" s="100" t="s">
        <v>5</v>
      </c>
      <c r="B2" s="70">
        <v>1</v>
      </c>
      <c r="C2" s="70">
        <v>2</v>
      </c>
      <c r="D2" s="70">
        <v>3</v>
      </c>
      <c r="E2" s="70">
        <v>4</v>
      </c>
      <c r="F2" s="70">
        <v>5</v>
      </c>
      <c r="G2" s="70">
        <v>6</v>
      </c>
      <c r="H2" s="70">
        <v>7</v>
      </c>
      <c r="I2" s="70">
        <v>8</v>
      </c>
      <c r="J2" s="70">
        <v>9</v>
      </c>
      <c r="K2" s="70">
        <v>10</v>
      </c>
      <c r="L2" s="70">
        <v>11</v>
      </c>
      <c r="M2" s="70">
        <v>12</v>
      </c>
      <c r="N2" s="70">
        <v>13</v>
      </c>
      <c r="O2" s="70">
        <v>14</v>
      </c>
      <c r="P2" s="70">
        <v>15</v>
      </c>
      <c r="Q2" s="70">
        <v>16</v>
      </c>
      <c r="R2" s="99">
        <v>17</v>
      </c>
      <c r="T2" s="56" t="s">
        <v>12</v>
      </c>
      <c r="U2" s="54">
        <v>1</v>
      </c>
      <c r="V2" s="54">
        <v>2</v>
      </c>
      <c r="W2" s="54">
        <v>3</v>
      </c>
      <c r="X2" s="54">
        <v>4</v>
      </c>
      <c r="Y2" s="54">
        <v>5</v>
      </c>
      <c r="Z2" s="54">
        <v>6</v>
      </c>
      <c r="AA2" s="54">
        <v>7</v>
      </c>
      <c r="AB2" s="54">
        <v>8</v>
      </c>
      <c r="AC2" s="54">
        <v>9</v>
      </c>
      <c r="AD2" s="54">
        <v>10</v>
      </c>
      <c r="AE2" s="54">
        <v>11</v>
      </c>
      <c r="AF2" s="54">
        <v>12</v>
      </c>
      <c r="AG2" s="54">
        <v>13</v>
      </c>
      <c r="AH2" s="54">
        <v>14</v>
      </c>
      <c r="AI2" s="54">
        <v>15</v>
      </c>
      <c r="AJ2" s="54">
        <v>16</v>
      </c>
      <c r="AK2" s="55">
        <v>17</v>
      </c>
      <c r="AL2" s="57" t="s">
        <v>13</v>
      </c>
    </row>
    <row r="3" spans="1:38" ht="15">
      <c r="A3" s="59">
        <v>1</v>
      </c>
      <c r="B3" s="75">
        <f>(getDistance(coord!C1,coord!D1,coord!$C$1,coord!$D$1)*1000)/$B$20</f>
        <v>0</v>
      </c>
      <c r="C3" s="74">
        <f>(getDistance(coord!C1,coord!D1,coord!$C$2,coord!$D$2)*1000)/$C$20</f>
        <v>9.7939859857844019E-3</v>
      </c>
      <c r="D3" s="74">
        <f>(getDistance(coord!$C1,coord!$D1,coord!$C$3,coord!$D$3)*1000)/$D$20</f>
        <v>2.2698884083943889E-2</v>
      </c>
      <c r="E3" s="74">
        <f>(getDistance(coord!$C1,coord!$D1,coord!$C$4,coord!$D$4)*1000)/$E$20</f>
        <v>4.1041595442076105E-2</v>
      </c>
      <c r="F3" s="74">
        <f>(getDistance(coord!$C1,coord!$D1,coord!$C$5,coord!$D$5)*1000)/$F$20</f>
        <v>8.9692706304415254E-2</v>
      </c>
      <c r="G3" s="74">
        <f>(getDistance(coord!$C1,coord!$D1,coord!$C$6,coord!$D$6)*1000)/$G$20</f>
        <v>8.6451824708535505E-2</v>
      </c>
      <c r="H3" s="74">
        <f>(getDistance(coord!$C1,coord!$D1,coord!$C$7,coord!$D$7)*1000)/$H$20</f>
        <v>8.9811228695136011E-2</v>
      </c>
      <c r="I3" s="74">
        <f>(getDistance(coord!$C1,coord!$D1,coord!$C$8,coord!$D$8)*1000)/$I$20</f>
        <v>9.1240820893187149E-2</v>
      </c>
      <c r="J3" s="74">
        <f>(getDistance(coord!$C1,coord!$D1,coord!$C$9,coord!$D$9)*1000)/$J$20</f>
        <v>8.7047462622908689E-2</v>
      </c>
      <c r="K3" s="74">
        <f>(getDistance(coord!$C1,coord!$D1,coord!$C$10,coord!$D$10)*1000)/$K$20</f>
        <v>8.0740347669411905E-2</v>
      </c>
      <c r="L3" s="74">
        <f>(getDistance(coord!$C1,coord!$D1,coord!$C$11,coord!$D$11)*1000)/$L$20</f>
        <v>5.5422256969853041E-2</v>
      </c>
      <c r="M3" s="74">
        <f>(getDistance(coord!$C1,coord!$D1,coord!$C$12,coord!$D$12)*1000)/$M$20</f>
        <v>8.5548369994808526E-2</v>
      </c>
      <c r="N3" s="74">
        <f>(getDistance(coord!$C1,coord!$D1,coord!$C$13,coord!$D$13)*1000)/$N$20</f>
        <v>3.1776523621703266E-2</v>
      </c>
      <c r="O3" s="74">
        <f>(getDistance(coord!$C1,coord!$D1,coord!$C$14,coord!$D$14)*1000)/$O$20</f>
        <v>1.0336778634729865E-2</v>
      </c>
      <c r="P3" s="74">
        <f>(getDistance(coord!$C1,coord!$D1,coord!$C$15,coord!$D$15)*1000)/$P$20</f>
        <v>6.8833375128825133E-2</v>
      </c>
      <c r="Q3" s="74">
        <f>(getDistance(coord!$C1,coord!$D1,coord!$C$16,coord!$D$16)*1000)/$Q$20</f>
        <v>6.1611762184374974E-2</v>
      </c>
      <c r="R3" s="74">
        <f>(getDistance(coord!$C1,coord!$D1,coord!$C$17,coord!$D$17)*1000)/$R$20</f>
        <v>6.3560494570447018E-2</v>
      </c>
      <c r="S3" s="58" t="s">
        <v>39</v>
      </c>
      <c r="T3" s="59">
        <v>8</v>
      </c>
      <c r="U3" s="61">
        <v>1.3793103448275862E-2</v>
      </c>
      <c r="V3" s="61">
        <v>1.9607843137254902E-2</v>
      </c>
      <c r="W3" s="61">
        <v>6.0606060606060608E-2</v>
      </c>
      <c r="X3" s="61">
        <v>9.5238095238095247E-3</v>
      </c>
      <c r="Y3" s="61">
        <v>2.6315789473684209E-2</v>
      </c>
      <c r="Z3" s="61">
        <v>1.3192612137203167E-2</v>
      </c>
      <c r="AA3" s="61">
        <v>2.1739130434782608E-2</v>
      </c>
      <c r="AB3" s="61">
        <v>1.8181818181818181E-2</v>
      </c>
      <c r="AC3" s="61">
        <v>8.0000000000000002E-3</v>
      </c>
      <c r="AD3" s="61">
        <v>4.9295774647887321E-2</v>
      </c>
      <c r="AE3" s="61">
        <v>1.2048192771084338E-2</v>
      </c>
      <c r="AF3" s="61">
        <v>1.1764705882352941E-2</v>
      </c>
      <c r="AG3" s="61">
        <v>1.2345679012345678E-2</v>
      </c>
      <c r="AH3" s="61">
        <v>1.3157894736842105E-2</v>
      </c>
      <c r="AI3" s="61">
        <v>1.3513513513513514E-2</v>
      </c>
      <c r="AJ3" s="61">
        <v>1.8292682926829267E-2</v>
      </c>
      <c r="AK3" s="62">
        <v>9.1743119266055051E-3</v>
      </c>
      <c r="AL3" s="82">
        <f>AVERAGE(U3:AK3)</f>
        <v>1.9444289550608812E-2</v>
      </c>
    </row>
    <row r="4" spans="1:38" ht="15">
      <c r="A4" s="59">
        <v>2</v>
      </c>
      <c r="B4" s="74">
        <f>(getDistance(coord!C2,coord!D2,coord!$C$1,coord!$D$1)*1000)/$B$20</f>
        <v>9.2469745750658385E-3</v>
      </c>
      <c r="C4" s="75">
        <f>(getDistance(coord!C2,coord!D2,coord!$C$2,coord!$D$2)*1000)/$C$20</f>
        <v>0</v>
      </c>
      <c r="D4" s="74">
        <f>(getDistance(coord!$C2,coord!$D2,coord!$C$3,coord!$D$3)*1000)/$D$20</f>
        <v>1.3406673571440857E-2</v>
      </c>
      <c r="E4" s="74">
        <f>(getDistance(coord!$C2,coord!$D2,coord!$C$4,coord!$D$4)*1000)/$E$20</f>
        <v>4.6106558172381198E-2</v>
      </c>
      <c r="F4" s="74">
        <f>(getDistance(coord!$C2,coord!$D2,coord!$C$5,coord!$D$5)*1000)/$F$20</f>
        <v>8.1067478863828216E-2</v>
      </c>
      <c r="G4" s="74">
        <f>(getDistance(coord!$C2,coord!$D2,coord!$C$6,coord!$D$6)*1000)/$G$20</f>
        <v>8.0175462212965953E-2</v>
      </c>
      <c r="H4" s="74">
        <f>(getDistance(coord!$C2,coord!$D2,coord!$C$7,coord!$D$7)*1000)/$H$20</f>
        <v>8.468635184258988E-2</v>
      </c>
      <c r="I4" s="74">
        <f>(getDistance(coord!$C2,coord!$D2,coord!$C$8,coord!$D$8)*1000)/$I$20</f>
        <v>8.3290509632205356E-2</v>
      </c>
      <c r="J4" s="74">
        <f>(getDistance(coord!$C2,coord!$D2,coord!$C$9,coord!$D$9)*1000)/$J$20</f>
        <v>7.7949945055034039E-2</v>
      </c>
      <c r="K4" s="74">
        <f>(getDistance(coord!$C2,coord!$D2,coord!$C$10,coord!$D$10)*1000)/$K$20</f>
        <v>7.2766203954019684E-2</v>
      </c>
      <c r="L4" s="74">
        <f>(getDistance(coord!$C2,coord!$D2,coord!$C$11,coord!$D$11)*1000)/$L$20</f>
        <v>5.4633200319977884E-2</v>
      </c>
      <c r="M4" s="74">
        <f>(getDistance(coord!$C2,coord!$D2,coord!$C$12,coord!$D$12)*1000)/$M$20</f>
        <v>8.1881962218171789E-2</v>
      </c>
      <c r="N4" s="74">
        <f>(getDistance(coord!$C2,coord!$D2,coord!$C$13,coord!$D$13)*1000)/$N$20</f>
        <v>3.8078436406743466E-2</v>
      </c>
      <c r="O4" s="74">
        <f>(getDistance(coord!$C2,coord!$D2,coord!$C$14,coord!$D$14)*1000)/$O$20</f>
        <v>1.8726762682311E-2</v>
      </c>
      <c r="P4" s="74">
        <f>(getDistance(coord!$C2,coord!$D2,coord!$C$15,coord!$D$15)*1000)/$P$20</f>
        <v>5.8687830639966236E-2</v>
      </c>
      <c r="Q4" s="74">
        <f>(getDistance(coord!$C2,coord!$D2,coord!$C$16,coord!$D$16)*1000)/$Q$20</f>
        <v>5.4144568419983552E-2</v>
      </c>
      <c r="R4" s="74">
        <f>(getDistance(coord!$C2,coord!$D2,coord!$C$17,coord!$D$17)*1000)/$R$20</f>
        <v>5.3842463364049263E-2</v>
      </c>
      <c r="S4" s="58" t="s">
        <v>15</v>
      </c>
      <c r="T4" s="59">
        <v>9</v>
      </c>
      <c r="U4" s="61">
        <v>3.4482758620689655E-2</v>
      </c>
      <c r="V4" s="61">
        <v>1.9607843137254902E-2</v>
      </c>
      <c r="W4" s="61">
        <v>6.0606060606060608E-2</v>
      </c>
      <c r="X4" s="61">
        <v>9.5238095238095247E-3</v>
      </c>
      <c r="Y4" s="61">
        <v>4.3859649122807015E-2</v>
      </c>
      <c r="Z4" s="61">
        <v>1.3192612137203167E-2</v>
      </c>
      <c r="AA4" s="61">
        <v>2.1739130434782608E-2</v>
      </c>
      <c r="AB4" s="61">
        <v>1.8181818181818181E-2</v>
      </c>
      <c r="AC4" s="61">
        <v>1.6E-2</v>
      </c>
      <c r="AD4" s="61">
        <v>5.6338028169014086E-2</v>
      </c>
      <c r="AE4" s="61">
        <v>2.4096385542168676E-2</v>
      </c>
      <c r="AF4" s="61">
        <v>2.3529411764705882E-2</v>
      </c>
      <c r="AG4" s="61">
        <v>2.4691358024691357E-2</v>
      </c>
      <c r="AH4" s="61">
        <v>3.9473684210526314E-2</v>
      </c>
      <c r="AI4" s="61">
        <v>4.0540540540540543E-2</v>
      </c>
      <c r="AJ4" s="61">
        <v>2.4390243902439025E-2</v>
      </c>
      <c r="AK4" s="62">
        <v>3.669724770642202E-2</v>
      </c>
      <c r="AL4" s="82">
        <f t="shared" ref="AL4:AL19" si="0">AVERAGE(U4:AK4)</f>
        <v>2.982062244852551E-2</v>
      </c>
    </row>
    <row r="5" spans="1:38" ht="15">
      <c r="A5" s="59">
        <v>3</v>
      </c>
      <c r="B5" s="74">
        <f>(getDistance(coord!C3,coord!D3,coord!$C$1,coord!$D$1)*1000)/$B$20</f>
        <v>1.9643791909343934E-2</v>
      </c>
      <c r="C5" s="74">
        <f>(getDistance(coord!C3,coord!D3,coord!$C$2,coord!$D$2)*1000)/$C$20</f>
        <v>1.2288579056995987E-2</v>
      </c>
      <c r="D5" s="75">
        <f>(getDistance(coord!$C3,coord!$D3,coord!$C$3,coord!$D$3)*1000)/$D$20</f>
        <v>0</v>
      </c>
      <c r="E5" s="74">
        <f>(getDistance(coord!$C3,coord!$D3,coord!$C$4,coord!$D$4)*1000)/$E$20</f>
        <v>4.9239744032680575E-2</v>
      </c>
      <c r="F5" s="74">
        <f>(getDistance(coord!$C3,coord!$D3,coord!$C$5,coord!$D$5)*1000)/$F$20</f>
        <v>6.7114307356976877E-2</v>
      </c>
      <c r="G5" s="74">
        <f>(getDistance(coord!$C3,coord!$D3,coord!$C$6,coord!$D$6)*1000)/$G$20</f>
        <v>6.7600548215057135E-2</v>
      </c>
      <c r="H5" s="74">
        <f>(getDistance(coord!$C3,coord!$D3,coord!$C$7,coord!$D$7)*1000)/$H$20</f>
        <v>7.5382023485248112E-2</v>
      </c>
      <c r="I5" s="74">
        <f>(getDistance(coord!$C3,coord!$D3,coord!$C$8,coord!$D$8)*1000)/$I$20</f>
        <v>6.9817238172495161E-2</v>
      </c>
      <c r="J5" s="74">
        <f>(getDistance(coord!$C3,coord!$D3,coord!$C$9,coord!$D$9)*1000)/$J$20</f>
        <v>6.4957190869945655E-2</v>
      </c>
      <c r="K5" s="74">
        <f>(getDistance(coord!$C3,coord!$D3,coord!$C$10,coord!$D$10)*1000)/$K$20</f>
        <v>5.8381558747137567E-2</v>
      </c>
      <c r="L5" s="74">
        <f>(getDistance(coord!$C3,coord!$D3,coord!$C$11,coord!$D$11)*1000)/$L$20</f>
        <v>4.7923791064915143E-2</v>
      </c>
      <c r="M5" s="74">
        <f>(getDistance(coord!$C3,coord!$D3,coord!$C$12,coord!$D$12)*1000)/$M$20</f>
        <v>7.4297179559466797E-2</v>
      </c>
      <c r="N5" s="74">
        <f>(getDistance(coord!$C3,coord!$D3,coord!$C$13,coord!$D$13)*1000)/$N$20</f>
        <v>4.3084773468247912E-2</v>
      </c>
      <c r="O5" s="74">
        <f>(getDistance(coord!$C3,coord!$D3,coord!$C$14,coord!$D$14)*1000)/$O$20</f>
        <v>2.7735254089680056E-2</v>
      </c>
      <c r="P5" s="74">
        <f>(getDistance(coord!$C3,coord!$D3,coord!$C$15,coord!$D$15)*1000)/$P$20</f>
        <v>4.7574861205438287E-2</v>
      </c>
      <c r="Q5" s="74">
        <f>(getDistance(coord!$C3,coord!$D3,coord!$C$16,coord!$D$16)*1000)/$Q$20</f>
        <v>4.891291394410003E-2</v>
      </c>
      <c r="R5" s="74">
        <f>(getDistance(coord!$C3,coord!$D3,coord!$C$17,coord!$D$17)*1000)/$R$20</f>
        <v>4.4698705395085934E-2</v>
      </c>
      <c r="S5" s="58" t="s">
        <v>16</v>
      </c>
      <c r="T5" s="59">
        <v>10</v>
      </c>
      <c r="U5" s="61">
        <v>4.8275862068965517E-2</v>
      </c>
      <c r="V5" s="61">
        <v>3.9215686274509803E-2</v>
      </c>
      <c r="W5" s="61">
        <v>6.0606060606060608E-2</v>
      </c>
      <c r="X5" s="61">
        <v>1.9047619047619049E-2</v>
      </c>
      <c r="Y5" s="61">
        <v>6.1403508771929821E-2</v>
      </c>
      <c r="Z5" s="61">
        <v>2.6385224274406333E-2</v>
      </c>
      <c r="AA5" s="61">
        <v>4.3478260869565216E-2</v>
      </c>
      <c r="AB5" s="61">
        <v>3.6363636363636362E-2</v>
      </c>
      <c r="AC5" s="61">
        <v>2.4E-2</v>
      </c>
      <c r="AD5" s="61">
        <v>6.3380281690140844E-2</v>
      </c>
      <c r="AE5" s="61">
        <v>3.614457831325301E-2</v>
      </c>
      <c r="AF5" s="61">
        <v>3.5294117647058823E-2</v>
      </c>
      <c r="AG5" s="61">
        <v>3.7037037037037035E-2</v>
      </c>
      <c r="AH5" s="61">
        <v>6.5789473684210523E-2</v>
      </c>
      <c r="AI5" s="61">
        <v>6.7567567567567571E-2</v>
      </c>
      <c r="AJ5" s="61">
        <v>3.048780487804878E-2</v>
      </c>
      <c r="AK5" s="62">
        <v>6.4220183486238536E-2</v>
      </c>
      <c r="AL5" s="82">
        <f t="shared" si="0"/>
        <v>4.4629229563543996E-2</v>
      </c>
    </row>
    <row r="6" spans="1:38" ht="15">
      <c r="A6" s="59">
        <v>4</v>
      </c>
      <c r="B6" s="74">
        <f>(getDistance(coord!C4,coord!D4,coord!$C$1,coord!$D$1)*1000)/$B$20</f>
        <v>6.3479240244314714E-2</v>
      </c>
      <c r="C6" s="74">
        <f>(getDistance(coord!C4,coord!D4,coord!$C$2,coord!$D$2)*1000)/$C$20</f>
        <v>7.5531829384877472E-2</v>
      </c>
      <c r="D6" s="74">
        <f>(getDistance(coord!$C4,coord!$D4,coord!$C$3,coord!$D$3)*1000)/$D$20</f>
        <v>8.800400841849014E-2</v>
      </c>
      <c r="E6" s="75">
        <f>(getDistance(coord!$C4,coord!$D4,coord!$C$4,coord!$D$4)*1000)/$E$20</f>
        <v>0</v>
      </c>
      <c r="F6" s="74">
        <f>(getDistance(coord!$C4,coord!$D4,coord!$C$5,coord!$D$5)*1000)/$F$20</f>
        <v>0.13532669589065421</v>
      </c>
      <c r="G6" s="74">
        <f>(getDistance(coord!$C4,coord!$D4,coord!$C$6,coord!$D$6)*1000)/$G$20</f>
        <v>0.11768627586774991</v>
      </c>
      <c r="H6" s="74">
        <f>(getDistance(coord!$C4,coord!$D4,coord!$C$7,coord!$D$7)*1000)/$H$20</f>
        <v>0.11144001891511569</v>
      </c>
      <c r="I6" s="74">
        <f>(getDistance(coord!$C4,coord!$D4,coord!$C$8,coord!$D$8)*1000)/$I$20</f>
        <v>0.13205624405448768</v>
      </c>
      <c r="J6" s="74">
        <f>(getDistance(coord!$C4,coord!$D4,coord!$C$9,coord!$D$9)*1000)/$J$20</f>
        <v>0.13633197020169702</v>
      </c>
      <c r="K6" s="74">
        <f>(getDistance(coord!$C4,coord!$D4,coord!$C$10,coord!$D$10)*1000)/$K$20</f>
        <v>0.12509114644578523</v>
      </c>
      <c r="L6" s="74">
        <f>(getDistance(coord!$C4,coord!$D4,coord!$C$11,coord!$D$11)*1000)/$L$20</f>
        <v>6.6478851750094006E-2</v>
      </c>
      <c r="M6" s="74">
        <f>(getDistance(coord!$C4,coord!$D4,coord!$C$12,coord!$D$12)*1000)/$M$20</f>
        <v>9.7873585979555255E-2</v>
      </c>
      <c r="N6" s="74">
        <f>(getDistance(coord!$C4,coord!$D4,coord!$C$13,coord!$D$13)*1000)/$N$20</f>
        <v>1.6348341587255268E-2</v>
      </c>
      <c r="O6" s="74">
        <f>(getDistance(coord!$C4,coord!$D4,coord!$C$14,coord!$D$14)*1000)/$O$20</f>
        <v>4.9557575034467172E-2</v>
      </c>
      <c r="P6" s="74">
        <f>(getDistance(coord!$C4,coord!$D4,coord!$C$15,coord!$D$15)*1000)/$P$20</f>
        <v>0.1294425679412515</v>
      </c>
      <c r="Q6" s="74">
        <f>(getDistance(coord!$C4,coord!$D4,coord!$C$16,coord!$D$16)*1000)/$Q$20</f>
        <v>0.11186301713772151</v>
      </c>
      <c r="R6" s="74">
        <f>(getDistance(coord!$C4,coord!$D4,coord!$C$17,coord!$D$17)*1000)/$R$20</f>
        <v>0.12383620205405937</v>
      </c>
      <c r="S6" s="58" t="s">
        <v>17</v>
      </c>
      <c r="T6" s="59">
        <v>11</v>
      </c>
      <c r="U6" s="61">
        <v>5.5172413793103448E-2</v>
      </c>
      <c r="V6" s="61">
        <v>5.8823529411764705E-2</v>
      </c>
      <c r="W6" s="61">
        <v>6.0606060606060608E-2</v>
      </c>
      <c r="X6" s="61">
        <v>2.8571428571428571E-2</v>
      </c>
      <c r="Y6" s="61">
        <v>7.0175438596491224E-2</v>
      </c>
      <c r="Z6" s="61">
        <v>3.9577836411609502E-2</v>
      </c>
      <c r="AA6" s="61">
        <v>6.5217391304347824E-2</v>
      </c>
      <c r="AB6" s="61">
        <v>3.6363636363636362E-2</v>
      </c>
      <c r="AC6" s="61">
        <v>3.2000000000000001E-2</v>
      </c>
      <c r="AD6" s="61">
        <v>6.3380281690140844E-2</v>
      </c>
      <c r="AE6" s="61">
        <v>4.8192771084337352E-2</v>
      </c>
      <c r="AF6" s="61">
        <v>4.7058823529411764E-2</v>
      </c>
      <c r="AG6" s="61">
        <v>6.1728395061728392E-2</v>
      </c>
      <c r="AH6" s="61">
        <v>7.8947368421052627E-2</v>
      </c>
      <c r="AI6" s="61">
        <v>8.1081081081081086E-2</v>
      </c>
      <c r="AJ6" s="61">
        <v>3.6585365853658534E-2</v>
      </c>
      <c r="AK6" s="62">
        <v>9.1743119266055051E-2</v>
      </c>
      <c r="AL6" s="82">
        <f t="shared" si="0"/>
        <v>5.6189702414465192E-2</v>
      </c>
    </row>
    <row r="7" spans="1:38" ht="15">
      <c r="A7" s="59">
        <v>5</v>
      </c>
      <c r="B7" s="74">
        <f>(getDistance(coord!C5,coord!D5,coord!$C$1,coord!$D$1)*1000)/$B$20</f>
        <v>7.4513747663746827E-2</v>
      </c>
      <c r="C7" s="74">
        <f>(getDistance(coord!C5,coord!D5,coord!$C$2,coord!$D$2)*1000)/$C$20</f>
        <v>7.1332223275925158E-2</v>
      </c>
      <c r="D7" s="74">
        <f>(getDistance(coord!$C5,coord!$D5,coord!$C$3,coord!$D$3)*1000)/$D$20</f>
        <v>6.4427840249098367E-2</v>
      </c>
      <c r="E7" s="74">
        <f>(getDistance(coord!$C5,coord!$D5,coord!$C$4,coord!$D$4)*1000)/$E$20</f>
        <v>7.2686753478064511E-2</v>
      </c>
      <c r="F7" s="75">
        <f>(getDistance(coord!$C5,coord!$D5,coord!$C$5,coord!$D$5)*1000)/$F$20</f>
        <v>0</v>
      </c>
      <c r="G7" s="74">
        <f>(getDistance(coord!$C5,coord!$D5,coord!$C$6,coord!$D$6)*1000)/$G$20</f>
        <v>2.0764064813478561E-2</v>
      </c>
      <c r="H7" s="74">
        <f>(getDistance(coord!$C5,coord!$D5,coord!$C$7,coord!$D$7)*1000)/$H$20</f>
        <v>3.1073475364880684E-2</v>
      </c>
      <c r="I7" s="74">
        <f>(getDistance(coord!$C5,coord!$D5,coord!$C$8,coord!$D$8)*1000)/$I$20</f>
        <v>6.6997057360049812E-3</v>
      </c>
      <c r="J7" s="74">
        <f>(getDistance(coord!$C5,coord!$D5,coord!$C$9,coord!$D$9)*1000)/$J$20</f>
        <v>1.3639234596297669E-2</v>
      </c>
      <c r="K7" s="74">
        <f>(getDistance(coord!$C5,coord!$D5,coord!$C$10,coord!$D$10)*1000)/$K$20</f>
        <v>1.7651267526811714E-2</v>
      </c>
      <c r="L7" s="74">
        <f>(getDistance(coord!$C5,coord!$D5,coord!$C$11,coord!$D$11)*1000)/$L$20</f>
        <v>5.3560851603546879E-2</v>
      </c>
      <c r="M7" s="74">
        <f>(getDistance(coord!$C5,coord!$D5,coord!$C$12,coord!$D$12)*1000)/$M$20</f>
        <v>3.9018607255554762E-2</v>
      </c>
      <c r="N7" s="74">
        <f>(getDistance(coord!$C5,coord!$D5,coord!$C$13,coord!$D$13)*1000)/$N$20</f>
        <v>7.5467560403881626E-2</v>
      </c>
      <c r="O7" s="74">
        <f>(getDistance(coord!$C5,coord!$D5,coord!$C$14,coord!$D$14)*1000)/$O$20</f>
        <v>7.6258866569330716E-2</v>
      </c>
      <c r="P7" s="74">
        <f>(getDistance(coord!$C5,coord!$D5,coord!$C$15,coord!$D$15)*1000)/$P$20</f>
        <v>3.7959046248182332E-2</v>
      </c>
      <c r="Q7" s="74">
        <f>(getDistance(coord!$C5,coord!$D5,coord!$C$16,coord!$D$16)*1000)/$Q$20</f>
        <v>5.0538031267408988E-2</v>
      </c>
      <c r="R7" s="74">
        <f>(getDistance(coord!$C5,coord!$D5,coord!$C$17,coord!$D$17)*1000)/$R$20</f>
        <v>4.4755301363570019E-2</v>
      </c>
      <c r="S7" s="58" t="s">
        <v>18</v>
      </c>
      <c r="T7" s="59">
        <v>12</v>
      </c>
      <c r="U7" s="61">
        <v>6.2068965517241378E-2</v>
      </c>
      <c r="V7" s="61">
        <v>5.8823529411764705E-2</v>
      </c>
      <c r="W7" s="61">
        <v>6.0606060606060608E-2</v>
      </c>
      <c r="X7" s="61">
        <v>4.7619047619047616E-2</v>
      </c>
      <c r="Y7" s="61">
        <v>7.0175438596491224E-2</v>
      </c>
      <c r="Z7" s="61">
        <v>6.3324538258575203E-2</v>
      </c>
      <c r="AA7" s="61">
        <v>6.5217391304347824E-2</v>
      </c>
      <c r="AB7" s="61">
        <v>5.4545454545454543E-2</v>
      </c>
      <c r="AC7" s="61">
        <v>0.04</v>
      </c>
      <c r="AD7" s="61">
        <v>6.3380281690140844E-2</v>
      </c>
      <c r="AE7" s="61">
        <v>6.0240963855421686E-2</v>
      </c>
      <c r="AF7" s="61">
        <v>5.8823529411764705E-2</v>
      </c>
      <c r="AG7" s="61">
        <v>8.6419753086419748E-2</v>
      </c>
      <c r="AH7" s="61">
        <v>9.2105263157894732E-2</v>
      </c>
      <c r="AI7" s="61">
        <v>8.1081081081081086E-2</v>
      </c>
      <c r="AJ7" s="61">
        <v>4.2682926829268296E-2</v>
      </c>
      <c r="AK7" s="62">
        <v>9.1743119266055051E-2</v>
      </c>
      <c r="AL7" s="82">
        <f t="shared" si="0"/>
        <v>6.4638667308060546E-2</v>
      </c>
    </row>
    <row r="8" spans="1:38" ht="15">
      <c r="A8" s="59">
        <v>6</v>
      </c>
      <c r="B8" s="74">
        <f>(getDistance(coord!C6,coord!D6,coord!$C$1,coord!$D$1)*1000)/$B$20</f>
        <v>7.5503956165217129E-2</v>
      </c>
      <c r="C8" s="74">
        <f>(getDistance(coord!C6,coord!D6,coord!$C$2,coord!$D$2)*1000)/$C$20</f>
        <v>7.416462936716553E-2</v>
      </c>
      <c r="D8" s="74">
        <f>(getDistance(coord!$C6,coord!$D6,coord!$C$3,coord!$D$3)*1000)/$D$20</f>
        <v>6.8222078018574397E-2</v>
      </c>
      <c r="E8" s="74">
        <f>(getDistance(coord!$C6,coord!$D6,coord!$C$4,coord!$D$4)*1000)/$E$20</f>
        <v>6.6452890858092556E-2</v>
      </c>
      <c r="F8" s="74">
        <f>(getDistance(coord!$C6,coord!$D6,coord!$C$5,coord!$D$5)*1000)/$F$20</f>
        <v>2.1828738636758608E-2</v>
      </c>
      <c r="G8" s="75">
        <f>(getDistance(coord!$C6,coord!$D6,coord!$C$6,coord!$D$6)*1000)/$G$20</f>
        <v>0</v>
      </c>
      <c r="H8" s="74">
        <f>(getDistance(coord!$C6,coord!$D6,coord!$C$7,coord!$D$7)*1000)/$H$20</f>
        <v>2.9162206687823905E-2</v>
      </c>
      <c r="I8" s="74">
        <f>(getDistance(coord!$C6,coord!$D6,coord!$C$8,coord!$D$8)*1000)/$I$20</f>
        <v>1.6717233691112079E-2</v>
      </c>
      <c r="J8" s="74">
        <f>(getDistance(coord!$C6,coord!$D6,coord!$C$9,coord!$D$9)*1000)/$J$20</f>
        <v>3.4169011585670317E-2</v>
      </c>
      <c r="K8" s="74">
        <f>(getDistance(coord!$C6,coord!$D6,coord!$C$10,coord!$D$10)*1000)/$K$20</f>
        <v>1.8268829617316084E-2</v>
      </c>
      <c r="L8" s="74">
        <f>(getDistance(coord!$C6,coord!$D6,coord!$C$11,coord!$D$11)*1000)/$L$20</f>
        <v>4.1130588610241409E-2</v>
      </c>
      <c r="M8" s="74">
        <f>(getDistance(coord!$C6,coord!$D6,coord!$C$12,coord!$D$12)*1000)/$M$20</f>
        <v>3.3737409043053328E-2</v>
      </c>
      <c r="N8" s="74">
        <f>(getDistance(coord!$C6,coord!$D6,coord!$C$13,coord!$D$13)*1000)/$N$20</f>
        <v>7.0816044670883788E-2</v>
      </c>
      <c r="O8" s="74">
        <f>(getDistance(coord!$C6,coord!$D6,coord!$C$14,coord!$D$14)*1000)/$O$20</f>
        <v>7.5641428358044008E-2</v>
      </c>
      <c r="P8" s="74">
        <f>(getDistance(coord!$C6,coord!$D6,coord!$C$15,coord!$D$15)*1000)/$P$20</f>
        <v>5.5210243961729924E-2</v>
      </c>
      <c r="Q8" s="74">
        <f>(getDistance(coord!$C6,coord!$D6,coord!$C$16,coord!$D$16)*1000)/$Q$20</f>
        <v>6.4157895195982612E-2</v>
      </c>
      <c r="R8" s="74">
        <f>(getDistance(coord!$C6,coord!$D6,coord!$C$17,coord!$D$17)*1000)/$R$20</f>
        <v>6.067538526253205E-2</v>
      </c>
      <c r="S8" s="58" t="s">
        <v>19</v>
      </c>
      <c r="T8" s="59">
        <v>13</v>
      </c>
      <c r="U8" s="63">
        <v>7.586206896551724E-2</v>
      </c>
      <c r="V8" s="63">
        <v>7.8431372549019607E-2</v>
      </c>
      <c r="W8" s="61">
        <v>6.0606060606060608E-2</v>
      </c>
      <c r="X8" s="61">
        <v>6.6666666666666666E-2</v>
      </c>
      <c r="Y8" s="61">
        <v>7.0175438596491224E-2</v>
      </c>
      <c r="Z8" s="61">
        <v>7.9155672823219003E-2</v>
      </c>
      <c r="AA8" s="61">
        <v>8.6956521739130432E-2</v>
      </c>
      <c r="AB8" s="61">
        <v>5.4545454545454543E-2</v>
      </c>
      <c r="AC8" s="61">
        <v>5.6000000000000001E-2</v>
      </c>
      <c r="AD8" s="61">
        <v>6.3380281690140844E-2</v>
      </c>
      <c r="AE8" s="61">
        <v>7.2289156626506021E-2</v>
      </c>
      <c r="AF8" s="61">
        <v>7.0588235294117646E-2</v>
      </c>
      <c r="AG8" s="61">
        <v>9.8765432098765427E-2</v>
      </c>
      <c r="AH8" s="61">
        <v>9.2105263157894732E-2</v>
      </c>
      <c r="AI8" s="61">
        <v>8.1081081081081086E-2</v>
      </c>
      <c r="AJ8" s="61">
        <v>5.4878048780487805E-2</v>
      </c>
      <c r="AK8" s="62">
        <v>9.1743119266055051E-2</v>
      </c>
      <c r="AL8" s="82">
        <f t="shared" si="0"/>
        <v>7.3719404381565184E-2</v>
      </c>
    </row>
    <row r="9" spans="1:38" ht="15">
      <c r="A9" s="59">
        <v>7</v>
      </c>
      <c r="B9" s="74">
        <f>(getDistance(coord!C7,coord!D7,coord!$C$1,coord!$D$1)*1000)/$B$20</f>
        <v>0.11024602044878865</v>
      </c>
      <c r="C9" s="74">
        <f>(getDistance(coord!C7,coord!D7,coord!$C$2,coord!$D$2)*1000)/$C$20</f>
        <v>0.11010461508476854</v>
      </c>
      <c r="D9" s="74">
        <f>(getDistance(coord!$C7,coord!$D7,coord!$C$3,coord!$D$3)*1000)/$D$20</f>
        <v>0.10692499951284801</v>
      </c>
      <c r="E9" s="74">
        <f>(getDistance(coord!$C7,coord!$D7,coord!$C$4,coord!$D$4)*1000)/$E$20</f>
        <v>8.8443511207543263E-2</v>
      </c>
      <c r="F9" s="74">
        <f>(getDistance(coord!$C7,coord!$D7,coord!$C$5,coord!$D$5)*1000)/$F$20</f>
        <v>4.5913757294255543E-2</v>
      </c>
      <c r="G9" s="74">
        <f>(getDistance(coord!$C7,coord!$D7,coord!$C$6,coord!$D$6)*1000)/$G$20</f>
        <v>4.0988037398308211E-2</v>
      </c>
      <c r="H9" s="75">
        <f>(getDistance(coord!$C7,coord!$D7,coord!$C$7,coord!$D$7)*1000)/$H$20</f>
        <v>0</v>
      </c>
      <c r="I9" s="74">
        <f>(getDistance(coord!$C7,coord!$D7,coord!$C$8,coord!$D$8)*1000)/$I$20</f>
        <v>3.8743657867997619E-2</v>
      </c>
      <c r="J9" s="74">
        <f>(getDistance(coord!$C7,coord!$D7,coord!$C$9,coord!$D$9)*1000)/$J$20</f>
        <v>4.9244496620776908E-2</v>
      </c>
      <c r="K9" s="74">
        <f>(getDistance(coord!$C7,coord!$D7,coord!$C$10,coord!$D$10)*1000)/$K$20</f>
        <v>5.9262873544274626E-2</v>
      </c>
      <c r="L9" s="74">
        <f>(getDistance(coord!$C7,coord!$D7,coord!$C$11,coord!$D$11)*1000)/$L$20</f>
        <v>7.6742677255341979E-2</v>
      </c>
      <c r="M9" s="74">
        <f>(getDistance(coord!$C7,coord!$D7,coord!$C$12,coord!$D$12)*1000)/$M$20</f>
        <v>1.4538514946681543E-2</v>
      </c>
      <c r="N9" s="74">
        <f>(getDistance(coord!$C7,coord!$D7,coord!$C$13,coord!$D$13)*1000)/$N$20</f>
        <v>9.6802630564305797E-2</v>
      </c>
      <c r="O9" s="74">
        <f>(getDistance(coord!$C7,coord!$D7,coord!$C$14,coord!$D$14)*1000)/$O$20</f>
        <v>0.10771118170244345</v>
      </c>
      <c r="P9" s="74">
        <f>(getDistance(coord!$C7,coord!$D7,coord!$C$15,coord!$D$15)*1000)/$P$20</f>
        <v>7.7887990092287598E-2</v>
      </c>
      <c r="Q9" s="74">
        <f>(getDistance(coord!$C7,coord!$D7,coord!$C$16,coord!$D$16)*1000)/$Q$20</f>
        <v>7.7230351239655826E-2</v>
      </c>
      <c r="R9" s="74">
        <f>(getDistance(coord!$C7,coord!$D7,coord!$C$17,coord!$D$17)*1000)/$R$20</f>
        <v>8.2165573782386259E-2</v>
      </c>
      <c r="S9" s="58" t="s">
        <v>20</v>
      </c>
      <c r="T9" s="59">
        <v>14</v>
      </c>
      <c r="U9" s="63">
        <v>7.586206896551724E-2</v>
      </c>
      <c r="V9" s="63">
        <v>7.8431372549019607E-2</v>
      </c>
      <c r="W9" s="61">
        <v>6.0606060606060608E-2</v>
      </c>
      <c r="X9" s="61">
        <v>8.5714285714285715E-2</v>
      </c>
      <c r="Y9" s="61">
        <v>7.0175438596491224E-2</v>
      </c>
      <c r="Z9" s="61">
        <v>7.9155672823219003E-2</v>
      </c>
      <c r="AA9" s="61">
        <v>8.6956521739130432E-2</v>
      </c>
      <c r="AB9" s="61">
        <v>7.2727272727272724E-2</v>
      </c>
      <c r="AC9" s="61">
        <v>7.1999999999999995E-2</v>
      </c>
      <c r="AD9" s="61">
        <v>6.3380281690140844E-2</v>
      </c>
      <c r="AE9" s="61">
        <v>8.4337349397590355E-2</v>
      </c>
      <c r="AF9" s="61">
        <v>8.2352941176470587E-2</v>
      </c>
      <c r="AG9" s="61">
        <v>9.8765432098765427E-2</v>
      </c>
      <c r="AH9" s="61">
        <v>9.2105263157894732E-2</v>
      </c>
      <c r="AI9" s="61">
        <v>8.1081081081081086E-2</v>
      </c>
      <c r="AJ9" s="61">
        <v>6.7073170731707321E-2</v>
      </c>
      <c r="AK9" s="62">
        <v>8.2568807339449546E-2</v>
      </c>
      <c r="AL9" s="82">
        <f t="shared" si="0"/>
        <v>7.8429001199652737E-2</v>
      </c>
    </row>
    <row r="10" spans="1:38" ht="15">
      <c r="A10" s="59">
        <v>8</v>
      </c>
      <c r="B10" s="74">
        <f>(getDistance(coord!C8,coord!D8,coord!$C$1,coord!$D$1)*1000)/$B$20</f>
        <v>7.8116539205215205E-2</v>
      </c>
      <c r="C10" s="74">
        <f>(getDistance(coord!C8,coord!D8,coord!$C$2,coord!$D$2)*1000)/$C$20</f>
        <v>7.5528201747367199E-2</v>
      </c>
      <c r="D10" s="74">
        <f>(getDistance(coord!$C8,coord!$D8,coord!$C$3,coord!$D$3)*1000)/$D$20</f>
        <v>6.9070986320844893E-2</v>
      </c>
      <c r="E10" s="74">
        <f>(getDistance(coord!$C8,coord!$D8,coord!$C$4,coord!$D$4)*1000)/$E$20</f>
        <v>7.3097961577115442E-2</v>
      </c>
      <c r="F10" s="74">
        <f>(getDistance(coord!$C8,coord!$D8,coord!$C$5,coord!$D$5)*1000)/$F$20</f>
        <v>6.9044686187920493E-3</v>
      </c>
      <c r="G10" s="74">
        <f>(getDistance(coord!$C8,coord!$D8,coord!$C$6,coord!$D$6)*1000)/$G$20</f>
        <v>1.6387876424078383E-2</v>
      </c>
      <c r="H10" s="74">
        <f>(getDistance(coord!$C8,coord!$D8,coord!$C$7,coord!$D$7)*1000)/$H$20</f>
        <v>2.7022289830822523E-2</v>
      </c>
      <c r="I10" s="75">
        <f>(getDistance(coord!$C8,coord!$D8,coord!$C$8,coord!$D$8)*1000)/$I$20</f>
        <v>0</v>
      </c>
      <c r="J10" s="74">
        <f>(getDistance(coord!$C8,coord!$D8,coord!$C$9,coord!$D$9)*1000)/$J$20</f>
        <v>1.8865925894248264E-2</v>
      </c>
      <c r="K10" s="74">
        <f>(getDistance(coord!$C8,coord!$D8,coord!$C$10,coord!$D$10)*1000)/$K$20</f>
        <v>1.9370649843554015E-2</v>
      </c>
      <c r="L10" s="74">
        <f>(getDistance(coord!$C8,coord!$D8,coord!$C$11,coord!$D$11)*1000)/$L$20</f>
        <v>5.3047541420967771E-2</v>
      </c>
      <c r="M10" s="74">
        <f>(getDistance(coord!$C8,coord!$D8,coord!$C$12,coord!$D$12)*1000)/$M$20</f>
        <v>3.5229351517956919E-2</v>
      </c>
      <c r="N10" s="74">
        <f>(getDistance(coord!$C8,coord!$D8,coord!$C$13,coord!$D$13)*1000)/$N$20</f>
        <v>7.6712397791357037E-2</v>
      </c>
      <c r="O10" s="74">
        <f>(getDistance(coord!$C8,coord!$D8,coord!$C$14,coord!$D$14)*1000)/$O$20</f>
        <v>7.9191169760593288E-2</v>
      </c>
      <c r="P10" s="74">
        <f>(getDistance(coord!$C8,coord!$D8,coord!$C$15,coord!$D$15)*1000)/$P$20</f>
        <v>4.4365082357417922E-2</v>
      </c>
      <c r="Q10" s="74">
        <f>(getDistance(coord!$C8,coord!$D8,coord!$C$16,coord!$D$16)*1000)/$Q$20</f>
        <v>5.516766485577608E-2</v>
      </c>
      <c r="R10" s="74">
        <f>(getDistance(coord!$C8,coord!$D8,coord!$C$17,coord!$D$17)*1000)/$R$20</f>
        <v>5.0786616553483946E-2</v>
      </c>
      <c r="S10" s="58" t="s">
        <v>21</v>
      </c>
      <c r="T10" s="59">
        <v>15</v>
      </c>
      <c r="U10" s="63">
        <v>8.2758620689655171E-2</v>
      </c>
      <c r="V10" s="63">
        <v>9.8039215686274508E-2</v>
      </c>
      <c r="W10" s="61">
        <v>6.0606060606060608E-2</v>
      </c>
      <c r="X10" s="61">
        <v>0.11428571428571428</v>
      </c>
      <c r="Y10" s="61">
        <v>7.0175438596491224E-2</v>
      </c>
      <c r="Z10" s="61">
        <v>7.9155672823219003E-2</v>
      </c>
      <c r="AA10" s="61">
        <v>8.6956521739130432E-2</v>
      </c>
      <c r="AB10" s="61">
        <v>7.2727272727272724E-2</v>
      </c>
      <c r="AC10" s="61">
        <v>9.6000000000000002E-2</v>
      </c>
      <c r="AD10" s="61">
        <v>6.3380281690140844E-2</v>
      </c>
      <c r="AE10" s="61">
        <v>9.6385542168674704E-2</v>
      </c>
      <c r="AF10" s="61">
        <v>9.4117647058823528E-2</v>
      </c>
      <c r="AG10" s="61">
        <v>9.8765432098765427E-2</v>
      </c>
      <c r="AH10" s="61">
        <v>9.2105263157894732E-2</v>
      </c>
      <c r="AI10" s="61">
        <v>8.1081081081081086E-2</v>
      </c>
      <c r="AJ10" s="61">
        <v>7.926829268292683E-2</v>
      </c>
      <c r="AK10" s="62">
        <v>8.2568807339449546E-2</v>
      </c>
      <c r="AL10" s="82">
        <f t="shared" si="0"/>
        <v>8.519863908421027E-2</v>
      </c>
    </row>
    <row r="11" spans="1:38" ht="15">
      <c r="A11" s="59">
        <v>9</v>
      </c>
      <c r="B11" s="74">
        <f>(getDistance(coord!C9,coord!D9,coord!$C$1,coord!$D$1)*1000)/$B$20</f>
        <v>7.6853360723040068E-2</v>
      </c>
      <c r="C11" s="74">
        <f>(getDistance(coord!C9,coord!D9,coord!$C$2,coord!$D$2)*1000)/$C$20</f>
        <v>7.2892421099228111E-2</v>
      </c>
      <c r="D11" s="74">
        <f>(getDistance(coord!$C9,coord!$D9,coord!$C$3,coord!$D$3)*1000)/$D$20</f>
        <v>6.6269419242501834E-2</v>
      </c>
      <c r="E11" s="74">
        <f>(getDistance(coord!$C9,coord!$D9,coord!$C$4,coord!$D$4)*1000)/$E$20</f>
        <v>7.7821029734533517E-2</v>
      </c>
      <c r="F11" s="74">
        <f>(getDistance(coord!$C9,coord!$D9,coord!$C$5,coord!$D$5)*1000)/$F$20</f>
        <v>1.4494974915072205E-2</v>
      </c>
      <c r="G11" s="74">
        <f>(getDistance(coord!$C9,coord!$D9,coord!$C$6,coord!$D$6)*1000)/$G$20</f>
        <v>3.4541692980885677E-2</v>
      </c>
      <c r="H11" s="74">
        <f>(getDistance(coord!$C9,coord!$D9,coord!$C$7,coord!$D$7)*1000)/$H$20</f>
        <v>3.5418663225925767E-2</v>
      </c>
      <c r="I11" s="74">
        <f>(getDistance(coord!$C9,coord!$D9,coord!$C$8,coord!$D$8)*1000)/$I$20</f>
        <v>1.9454992196515256E-2</v>
      </c>
      <c r="J11" s="75">
        <f>(getDistance(coord!$C9,coord!$D9,coord!$C$9,coord!$D$9)*1000)/$J$20</f>
        <v>0</v>
      </c>
      <c r="K11" s="74">
        <f>(getDistance(coord!$C9,coord!$D9,coord!$C$10,coord!$D$10)*1000)/$K$20</f>
        <v>3.0051966035264915E-2</v>
      </c>
      <c r="L11" s="74">
        <f>(getDistance(coord!$C9,coord!$D9,coord!$C$11,coord!$D$11)*1000)/$L$20</f>
        <v>6.3956981472842303E-2</v>
      </c>
      <c r="M11" s="74">
        <f>(getDistance(coord!$C9,coord!$D9,coord!$C$12,coord!$D$12)*1000)/$M$20</f>
        <v>4.3841191653188123E-2</v>
      </c>
      <c r="N11" s="74">
        <f>(getDistance(coord!$C9,coord!$D9,coord!$C$13,coord!$D$13)*1000)/$N$20</f>
        <v>8.0008565439865093E-2</v>
      </c>
      <c r="O11" s="74">
        <f>(getDistance(coord!$C9,coord!$D9,coord!$C$14,coord!$D$14)*1000)/$O$20</f>
        <v>7.9114399096281499E-2</v>
      </c>
      <c r="P11" s="74">
        <f>(getDistance(coord!$C9,coord!$D9,coord!$C$15,coord!$D$15)*1000)/$P$20</f>
        <v>2.9333697451410307E-2</v>
      </c>
      <c r="Q11" s="74">
        <f>(getDistance(coord!$C9,coord!$D9,coord!$C$16,coord!$D$16)*1000)/$Q$20</f>
        <v>4.2305951765213359E-2</v>
      </c>
      <c r="R11" s="74">
        <f>(getDistance(coord!$C9,coord!$D9,coord!$C$17,coord!$D$17)*1000)/$R$20</f>
        <v>3.6437900182833403E-2</v>
      </c>
      <c r="S11" s="58" t="s">
        <v>22</v>
      </c>
      <c r="T11" s="59">
        <v>16</v>
      </c>
      <c r="U11" s="63">
        <v>8.2758620689655171E-2</v>
      </c>
      <c r="V11" s="63">
        <v>9.8039215686274508E-2</v>
      </c>
      <c r="W11" s="61">
        <v>6.0606060606060608E-2</v>
      </c>
      <c r="X11" s="61">
        <v>0.11428571428571428</v>
      </c>
      <c r="Y11" s="61">
        <v>7.0175438596491224E-2</v>
      </c>
      <c r="Z11" s="61">
        <v>7.9155672823219003E-2</v>
      </c>
      <c r="AA11" s="61">
        <v>8.6956521739130432E-2</v>
      </c>
      <c r="AB11" s="61">
        <v>7.2727272727272724E-2</v>
      </c>
      <c r="AC11" s="61">
        <v>9.6000000000000002E-2</v>
      </c>
      <c r="AD11" s="61">
        <v>6.3380281690140844E-2</v>
      </c>
      <c r="AE11" s="61">
        <v>9.6385542168674704E-2</v>
      </c>
      <c r="AF11" s="61">
        <v>9.4117647058823528E-2</v>
      </c>
      <c r="AG11" s="61">
        <v>9.8765432098765427E-2</v>
      </c>
      <c r="AH11" s="61">
        <v>9.2105263157894732E-2</v>
      </c>
      <c r="AI11" s="61">
        <v>8.1081081081081086E-2</v>
      </c>
      <c r="AJ11" s="61">
        <v>9.1463414634146339E-2</v>
      </c>
      <c r="AK11" s="62">
        <v>7.3394495412844041E-2</v>
      </c>
      <c r="AL11" s="82">
        <f t="shared" si="0"/>
        <v>8.5376333791540512E-2</v>
      </c>
    </row>
    <row r="12" spans="1:38" ht="15">
      <c r="A12" s="59">
        <v>10</v>
      </c>
      <c r="B12" s="74">
        <f>(getDistance(coord!C10,coord!D10,coord!$C$1,coord!$D$1)*1000)/$B$20</f>
        <v>6.3600540027924646E-2</v>
      </c>
      <c r="C12" s="74">
        <f>(getDistance(coord!C10,coord!D10,coord!$C$2,coord!$D$2)*1000)/$C$20</f>
        <v>6.0709928608488055E-2</v>
      </c>
      <c r="D12" s="74">
        <f>(getDistance(coord!$C10,coord!$D10,coord!$C$3,coord!$D$3)*1000)/$D$20</f>
        <v>5.3140429031264647E-2</v>
      </c>
      <c r="E12" s="74">
        <f>(getDistance(coord!$C10,coord!$D10,coord!$C$4,coord!$D$4)*1000)/$E$20</f>
        <v>6.3707311184292334E-2</v>
      </c>
      <c r="F12" s="74">
        <f>(getDistance(coord!$C10,coord!$D10,coord!$C$5,coord!$D$5)*1000)/$F$20</f>
        <v>1.6736583430925735E-2</v>
      </c>
      <c r="G12" s="74">
        <f>(getDistance(coord!$C10,coord!$D10,coord!$C$6,coord!$D$6)*1000)/$G$20</f>
        <v>1.6477274234803704E-2</v>
      </c>
      <c r="H12" s="74">
        <f>(getDistance(coord!$C10,coord!$D10,coord!$C$7,coord!$D$7)*1000)/$H$20</f>
        <v>3.8029499528976364E-2</v>
      </c>
      <c r="I12" s="74">
        <f>(getDistance(coord!$C10,coord!$D10,coord!$C$8,coord!$D$8)*1000)/$I$20</f>
        <v>1.7822169433337764E-2</v>
      </c>
      <c r="J12" s="74">
        <f>(getDistance(coord!$C10,coord!$D10,coord!$C$9,coord!$D$9)*1000)/$J$20</f>
        <v>2.6812439532441078E-2</v>
      </c>
      <c r="K12" s="75">
        <f>(getDistance(coord!$C10,coord!$D10,coord!$C$10,coord!$D$10)*1000)/$K$20</f>
        <v>0</v>
      </c>
      <c r="L12" s="74">
        <f>(getDistance(coord!$C10,coord!$D10,coord!$C$11,coord!$D$11)*1000)/$L$20</f>
        <v>3.9354063672278637E-2</v>
      </c>
      <c r="M12" s="74">
        <f>(getDistance(coord!$C10,coord!$D10,coord!$C$12,coord!$D$12)*1000)/$M$20</f>
        <v>4.2894568213011769E-2</v>
      </c>
      <c r="N12" s="74">
        <f>(getDistance(coord!$C10,coord!$D10,coord!$C$13,coord!$D$13)*1000)/$N$20</f>
        <v>6.5606399204571786E-2</v>
      </c>
      <c r="O12" s="74">
        <f>(getDistance(coord!$C10,coord!$D10,coord!$C$14,coord!$D$14)*1000)/$O$20</f>
        <v>6.5676574494798801E-2</v>
      </c>
      <c r="P12" s="74">
        <f>(getDistance(coord!$C10,coord!$D10,coord!$C$15,coord!$D$15)*1000)/$P$20</f>
        <v>4.0948212204785242E-2</v>
      </c>
      <c r="Q12" s="74">
        <f>(getDistance(coord!$C10,coord!$D10,coord!$C$16,coord!$D$16)*1000)/$Q$20</f>
        <v>5.3859370950850576E-2</v>
      </c>
      <c r="R12" s="74">
        <f>(getDistance(coord!$C10,coord!$D10,coord!$C$17,coord!$D$17)*1000)/$R$20</f>
        <v>4.684761894464741E-2</v>
      </c>
      <c r="S12" s="58" t="s">
        <v>23</v>
      </c>
      <c r="T12" s="59">
        <v>17</v>
      </c>
      <c r="U12" s="63">
        <v>8.2758620689655171E-2</v>
      </c>
      <c r="V12" s="63">
        <v>9.8039215686274508E-2</v>
      </c>
      <c r="W12" s="61">
        <v>6.0606060606060608E-2</v>
      </c>
      <c r="X12" s="61">
        <v>0.11428571428571428</v>
      </c>
      <c r="Y12" s="61">
        <v>7.0175438596491224E-2</v>
      </c>
      <c r="Z12" s="61">
        <v>7.9155672823219003E-2</v>
      </c>
      <c r="AA12" s="61">
        <v>8.6956521739130432E-2</v>
      </c>
      <c r="AB12" s="61">
        <v>7.2727272727272724E-2</v>
      </c>
      <c r="AC12" s="61">
        <v>9.6000000000000002E-2</v>
      </c>
      <c r="AD12" s="61">
        <v>5.6338028169014086E-2</v>
      </c>
      <c r="AE12" s="61">
        <v>9.6385542168674704E-2</v>
      </c>
      <c r="AF12" s="61">
        <v>9.4117647058823528E-2</v>
      </c>
      <c r="AG12" s="61">
        <v>8.6419753086419748E-2</v>
      </c>
      <c r="AH12" s="61">
        <v>7.8947368421052627E-2</v>
      </c>
      <c r="AI12" s="61">
        <v>8.1081081081081086E-2</v>
      </c>
      <c r="AJ12" s="61">
        <v>9.7560975609756101E-2</v>
      </c>
      <c r="AK12" s="62">
        <v>7.3394495412844041E-2</v>
      </c>
      <c r="AL12" s="82">
        <f t="shared" si="0"/>
        <v>8.3820553421263766E-2</v>
      </c>
    </row>
    <row r="13" spans="1:38" ht="15">
      <c r="A13" s="59">
        <v>11</v>
      </c>
      <c r="B13" s="74">
        <f>(getDistance(coord!C11,coord!D11,coord!$C$1,coord!$D$1)*1000)/$B$20</f>
        <v>5.3003930552678102E-2</v>
      </c>
      <c r="C13" s="74">
        <f>(getDistance(coord!C11,coord!D11,coord!$C$2,coord!$D$2)*1000)/$C$20</f>
        <v>5.5340149093294128E-2</v>
      </c>
      <c r="D13" s="74">
        <f>(getDistance(coord!$C11,coord!$D11,coord!$C$3,coord!$D$3)*1000)/$D$20</f>
        <v>5.2960760993775863E-2</v>
      </c>
      <c r="E13" s="74">
        <f>(getDistance(coord!$C11,coord!$D11,coord!$C$4,coord!$D$4)*1000)/$E$20</f>
        <v>4.1105496003302211E-2</v>
      </c>
      <c r="F13" s="74">
        <f>(getDistance(coord!$C11,coord!$D11,coord!$C$5,coord!$D$5)*1000)/$F$20</f>
        <v>6.1658373422498379E-2</v>
      </c>
      <c r="G13" s="74">
        <f>(getDistance(coord!$C11,coord!$D11,coord!$C$6,coord!$D$6)*1000)/$G$20</f>
        <v>4.5039467747617051E-2</v>
      </c>
      <c r="H13" s="74">
        <f>(getDistance(coord!$C11,coord!$D11,coord!$C$7,coord!$D$7)*1000)/$H$20</f>
        <v>5.9789996895561061E-2</v>
      </c>
      <c r="I13" s="74">
        <f>(getDistance(coord!$C11,coord!$D11,coord!$C$8,coord!$D$8)*1000)/$I$20</f>
        <v>5.9256407557506004E-2</v>
      </c>
      <c r="J13" s="74">
        <f>(getDistance(coord!$C11,coord!$D11,coord!$C$9,coord!$D$9)*1000)/$J$20</f>
        <v>6.9279553469114658E-2</v>
      </c>
      <c r="K13" s="74">
        <f>(getDistance(coord!$C11,coord!$D11,coord!$C$10,coord!$D$10)*1000)/$K$20</f>
        <v>4.7779683050346779E-2</v>
      </c>
      <c r="L13" s="75">
        <f>(getDistance(coord!$C11,coord!$D11,coord!$C$11,coord!$D$11)*1000)/$L$20</f>
        <v>0</v>
      </c>
      <c r="M13" s="74">
        <f>(getDistance(coord!$C11,coord!$D11,coord!$C$12,coord!$D$12)*1000)/$M$20</f>
        <v>5.572497415185388E-2</v>
      </c>
      <c r="N13" s="74">
        <f>(getDistance(coord!$C11,coord!$D11,coord!$C$13,coord!$D$13)*1000)/$N$20</f>
        <v>4.3871153743780165E-2</v>
      </c>
      <c r="O13" s="74">
        <f>(getDistance(coord!$C11,coord!$D11,coord!$C$14,coord!$D$14)*1000)/$O$20</f>
        <v>5.1083997047246268E-2</v>
      </c>
      <c r="P13" s="74">
        <f>(getDistance(coord!$C11,coord!$D11,coord!$C$15,coord!$D$15)*1000)/$P$20</f>
        <v>7.4081405748092202E-2</v>
      </c>
      <c r="Q13" s="74">
        <f>(getDistance(coord!$C11,coord!$D11,coord!$C$16,coord!$D$16)*1000)/$Q$20</f>
        <v>7.6744460092839653E-2</v>
      </c>
      <c r="R13" s="74">
        <f>(getDistance(coord!$C11,coord!$D11,coord!$C$17,coord!$D$17)*1000)/$R$20</f>
        <v>7.5515635864192812E-2</v>
      </c>
      <c r="S13" s="58" t="s">
        <v>24</v>
      </c>
      <c r="T13" s="59">
        <v>18</v>
      </c>
      <c r="U13" s="63">
        <v>8.2758620689655171E-2</v>
      </c>
      <c r="V13" s="63">
        <v>9.8039215686274508E-2</v>
      </c>
      <c r="W13" s="61">
        <v>6.0606060606060608E-2</v>
      </c>
      <c r="X13" s="61">
        <v>0.11428571428571428</v>
      </c>
      <c r="Y13" s="61">
        <v>7.0175438596491224E-2</v>
      </c>
      <c r="Z13" s="61">
        <v>7.9155672823219003E-2</v>
      </c>
      <c r="AA13" s="61">
        <v>6.5217391304347824E-2</v>
      </c>
      <c r="AB13" s="61">
        <v>7.2727272727272724E-2</v>
      </c>
      <c r="AC13" s="61">
        <v>9.6000000000000002E-2</v>
      </c>
      <c r="AD13" s="61">
        <v>5.6338028169014086E-2</v>
      </c>
      <c r="AE13" s="61">
        <v>8.4337349397590355E-2</v>
      </c>
      <c r="AF13" s="61">
        <v>9.4117647058823528E-2</v>
      </c>
      <c r="AG13" s="61">
        <v>7.407407407407407E-2</v>
      </c>
      <c r="AH13" s="61">
        <v>6.5789473684210523E-2</v>
      </c>
      <c r="AI13" s="61">
        <v>6.7567567567567571E-2</v>
      </c>
      <c r="AJ13" s="61">
        <v>9.7560975609756101E-2</v>
      </c>
      <c r="AK13" s="62">
        <v>6.4220183486238536E-2</v>
      </c>
      <c r="AL13" s="82">
        <f t="shared" si="0"/>
        <v>7.8998275633312381E-2</v>
      </c>
    </row>
    <row r="14" spans="1:38" ht="15">
      <c r="A14" s="59">
        <v>12</v>
      </c>
      <c r="B14" s="74">
        <f>(getDistance(coord!C12,coord!D12,coord!$C$1,coord!$D$1)*1000)/$B$20</f>
        <v>0.12442312897060948</v>
      </c>
      <c r="C14" s="74">
        <f>(getDistance(coord!C12,coord!D12,coord!$C$2,coord!$D$2)*1000)/$C$20</f>
        <v>0.12613552986261042</v>
      </c>
      <c r="D14" s="74">
        <f>(getDistance(coord!$C12,coord!$D12,coord!$C$3,coord!$D$3)*1000)/$D$20</f>
        <v>0.12486504824989027</v>
      </c>
      <c r="E14" s="74">
        <f>(getDistance(coord!$C12,coord!$D12,coord!$C$4,coord!$D$4)*1000)/$E$20</f>
        <v>9.2033808712977699E-2</v>
      </c>
      <c r="F14" s="74">
        <f>(getDistance(coord!$C12,coord!$D12,coord!$C$5,coord!$D$5)*1000)/$F$20</f>
        <v>6.8309619236441591E-2</v>
      </c>
      <c r="G14" s="74">
        <f>(getDistance(coord!$C12,coord!$D12,coord!$C$6,coord!$D$6)*1000)/$G$20</f>
        <v>5.6183082430647978E-2</v>
      </c>
      <c r="H14" s="74">
        <f>(getDistance(coord!$C12,coord!$D12,coord!$C$7,coord!$D$7)*1000)/$H$20</f>
        <v>1.722571046413977E-2</v>
      </c>
      <c r="I14" s="74">
        <f>(getDistance(coord!$C12,coord!$D12,coord!$C$8,coord!$D$8)*1000)/$I$20</f>
        <v>5.9846701388051766E-2</v>
      </c>
      <c r="J14" s="74">
        <f>(getDistance(coord!$C12,coord!$D12,coord!$C$9,coord!$D$9)*1000)/$J$20</f>
        <v>7.2221246955502236E-2</v>
      </c>
      <c r="K14" s="74">
        <f>(getDistance(coord!$C12,coord!$D12,coord!$C$10,coord!$D$10)*1000)/$K$20</f>
        <v>7.919932715662388E-2</v>
      </c>
      <c r="L14" s="74">
        <f>(getDistance(coord!$C12,coord!$D12,coord!$C$11,coord!$D$11)*1000)/$L$20</f>
        <v>8.4745254194830075E-2</v>
      </c>
      <c r="M14" s="75">
        <f>(getDistance(coord!$C12,coord!$D12,coord!$C$12,coord!$D$12)*1000)/$M$20</f>
        <v>0</v>
      </c>
      <c r="N14" s="74">
        <f>(getDistance(coord!$C12,coord!$D12,coord!$C$13,coord!$D$13)*1000)/$N$20</f>
        <v>0.10320279985749732</v>
      </c>
      <c r="O14" s="74">
        <f>(getDistance(coord!$C12,coord!$D12,coord!$C$14,coord!$D$14)*1000)/$O$20</f>
        <v>0.11958450576045555</v>
      </c>
      <c r="P14" s="74">
        <f>(getDistance(coord!$C12,coord!$D12,coord!$C$15,coord!$D$15)*1000)/$P$20</f>
        <v>0.10028480156895668</v>
      </c>
      <c r="Q14" s="74">
        <f>(getDistance(coord!$C12,coord!$D12,coord!$C$16,coord!$D$16)*1000)/$Q$20</f>
        <v>9.4494373602843837E-2</v>
      </c>
      <c r="R14" s="74">
        <f>(getDistance(coord!$C12,coord!$D12,coord!$C$17,coord!$D$17)*1000)/$R$20</f>
        <v>0.10336144240353058</v>
      </c>
      <c r="S14" s="58" t="s">
        <v>25</v>
      </c>
      <c r="T14" s="59">
        <v>19</v>
      </c>
      <c r="U14" s="63">
        <v>8.2758620689655171E-2</v>
      </c>
      <c r="V14" s="63">
        <v>9.8039215686274508E-2</v>
      </c>
      <c r="W14" s="61">
        <v>6.0606060606060608E-2</v>
      </c>
      <c r="X14" s="61">
        <v>9.5238095238095233E-2</v>
      </c>
      <c r="Y14" s="61">
        <v>7.0175438596491224E-2</v>
      </c>
      <c r="Z14" s="61">
        <v>7.9155672823219003E-2</v>
      </c>
      <c r="AA14" s="61">
        <v>6.5217391304347824E-2</v>
      </c>
      <c r="AB14" s="61">
        <v>7.2727272727272724E-2</v>
      </c>
      <c r="AC14" s="61">
        <v>9.6000000000000002E-2</v>
      </c>
      <c r="AD14" s="61">
        <v>6.3380281690140844E-2</v>
      </c>
      <c r="AE14" s="61">
        <v>7.2289156626506021E-2</v>
      </c>
      <c r="AF14" s="61">
        <v>8.2352941176470587E-2</v>
      </c>
      <c r="AG14" s="61">
        <v>6.1728395061728392E-2</v>
      </c>
      <c r="AH14" s="61">
        <v>5.2631578947368418E-2</v>
      </c>
      <c r="AI14" s="61">
        <v>5.4054054054054057E-2</v>
      </c>
      <c r="AJ14" s="61">
        <v>8.5365853658536592E-2</v>
      </c>
      <c r="AK14" s="62">
        <v>5.5045871559633031E-2</v>
      </c>
      <c r="AL14" s="82">
        <f t="shared" si="0"/>
        <v>7.3339170614462018E-2</v>
      </c>
    </row>
    <row r="15" spans="1:38" ht="15">
      <c r="A15" s="59">
        <v>13</v>
      </c>
      <c r="B15" s="74">
        <f>(getDistance(coord!C13,coord!D13,coord!$C$1,coord!$D$1)*1000)/$B$20</f>
        <v>4.3406939779412235E-2</v>
      </c>
      <c r="C15" s="74">
        <f>(getDistance(coord!C13,coord!D13,coord!$C$2,coord!$D$2)*1000)/$C$20</f>
        <v>5.5092401920754E-2</v>
      </c>
      <c r="D15" s="74">
        <f>(getDistance(coord!$C13,coord!$D13,coord!$C$3,coord!$D$3)*1000)/$D$20</f>
        <v>6.8007338920972327E-2</v>
      </c>
      <c r="E15" s="74">
        <f>(getDistance(coord!$C13,coord!$D13,coord!$C$4,coord!$D$4)*1000)/$E$20</f>
        <v>1.4438397823923838E-2</v>
      </c>
      <c r="F15" s="74">
        <f>(getDistance(coord!$C13,coord!$D13,coord!$C$5,coord!$D$5)*1000)/$F$20</f>
        <v>0.1240891523847116</v>
      </c>
      <c r="G15" s="74">
        <f>(getDistance(coord!$C13,coord!$D13,coord!$C$6,coord!$D$6)*1000)/$G$20</f>
        <v>0.11076152027668346</v>
      </c>
      <c r="H15" s="74">
        <f>(getDistance(coord!$C13,coord!$D13,coord!$C$7,coord!$D$7)*1000)/$H$20</f>
        <v>0.10772280686510681</v>
      </c>
      <c r="I15" s="74">
        <f>(getDistance(coord!$C13,coord!$D13,coord!$C$8,coord!$D$8)*1000)/$I$20</f>
        <v>0.12239524124525568</v>
      </c>
      <c r="J15" s="74">
        <f>(getDistance(coord!$C13,coord!$D13,coord!$C$9,coord!$D$9)*1000)/$J$20</f>
        <v>0.12378913316752277</v>
      </c>
      <c r="K15" s="74">
        <f>(getDistance(coord!$C13,coord!$D13,coord!$C$10,coord!$D$10)*1000)/$K$20</f>
        <v>0.11377027287175775</v>
      </c>
      <c r="L15" s="74">
        <f>(getDistance(coord!$C13,coord!$D13,coord!$C$11,coord!$D$11)*1000)/$L$20</f>
        <v>6.2662536812475564E-2</v>
      </c>
      <c r="M15" s="74">
        <f>(getDistance(coord!$C13,coord!$D13,coord!$C$12,coord!$D$12)*1000)/$M$20</f>
        <v>9.6929257430178856E-2</v>
      </c>
      <c r="N15" s="75">
        <f>(getDistance(coord!$C13,coord!$D13,coord!$C$13,coord!$D$13)*1000)/$N$20</f>
        <v>0</v>
      </c>
      <c r="O15" s="74">
        <f>(getDistance(coord!$C13,coord!$D13,coord!$C$14,coord!$D$14)*1000)/$O$20</f>
        <v>3.0320827121779963E-2</v>
      </c>
      <c r="P15" s="74">
        <f>(getDistance(coord!$C13,coord!$D13,coord!$C$15,coord!$D$15)*1000)/$P$20</f>
        <v>0.11247572642383664</v>
      </c>
      <c r="Q15" s="74">
        <f>(getDistance(coord!$C13,coord!$D13,coord!$C$16,coord!$D$16)*1000)/$Q$20</f>
        <v>9.6992800532127305E-2</v>
      </c>
      <c r="R15" s="74">
        <f>(getDistance(coord!$C13,coord!$D13,coord!$C$17,coord!$D$17)*1000)/$R$20</f>
        <v>0.10656888739771539</v>
      </c>
      <c r="S15" s="58" t="s">
        <v>26</v>
      </c>
      <c r="T15" s="59">
        <v>20</v>
      </c>
      <c r="U15" s="63">
        <v>6.2068965517241378E-2</v>
      </c>
      <c r="V15" s="63">
        <v>5.8823529411764705E-2</v>
      </c>
      <c r="W15" s="61">
        <v>6.0606060606060608E-2</v>
      </c>
      <c r="X15" s="61">
        <v>6.6666666666666666E-2</v>
      </c>
      <c r="Y15" s="61">
        <v>6.1403508771929821E-2</v>
      </c>
      <c r="Z15" s="61">
        <v>7.9155672823219003E-2</v>
      </c>
      <c r="AA15" s="61">
        <v>4.3478260869565216E-2</v>
      </c>
      <c r="AB15" s="61">
        <v>0.16363636363636364</v>
      </c>
      <c r="AC15" s="61">
        <v>7.1999999999999995E-2</v>
      </c>
      <c r="AD15" s="61">
        <v>6.3380281690140844E-2</v>
      </c>
      <c r="AE15" s="61">
        <v>6.0240963855421686E-2</v>
      </c>
      <c r="AF15" s="61">
        <v>7.0588235294117646E-2</v>
      </c>
      <c r="AG15" s="61">
        <v>4.9382716049382713E-2</v>
      </c>
      <c r="AH15" s="61">
        <v>3.9473684210526314E-2</v>
      </c>
      <c r="AI15" s="61">
        <v>5.4054054054054057E-2</v>
      </c>
      <c r="AJ15" s="61">
        <v>7.926829268292683E-2</v>
      </c>
      <c r="AK15" s="62">
        <v>4.5871559633027525E-2</v>
      </c>
      <c r="AL15" s="82">
        <f t="shared" si="0"/>
        <v>6.647640092778874E-2</v>
      </c>
    </row>
    <row r="16" spans="1:38" ht="15">
      <c r="A16" s="59">
        <v>14</v>
      </c>
      <c r="B16" s="74">
        <f>(getDistance(coord!C14,coord!D14,coord!$C$1,coord!$D$1)*1000)/$B$20</f>
        <v>1.1391037810811092E-2</v>
      </c>
      <c r="C16" s="74">
        <f>(getDistance(coord!C14,coord!D14,coord!$C$2,coord!$D$2)*1000)/$C$20</f>
        <v>2.1857505644037514E-2</v>
      </c>
      <c r="D16" s="74">
        <f>(getDistance(coord!$C14,coord!$D14,coord!$C$3,coord!$D$3)*1000)/$D$20</f>
        <v>3.5317455666289209E-2</v>
      </c>
      <c r="E16" s="74">
        <f>(getDistance(coord!$C14,coord!$D14,coord!$C$4,coord!$D$4)*1000)/$E$20</f>
        <v>3.5308611522660197E-2</v>
      </c>
      <c r="F16" s="74">
        <f>(getDistance(coord!$C14,coord!$D14,coord!$C$5,coord!$D$5)*1000)/$F$20</f>
        <v>0.10115541709631623</v>
      </c>
      <c r="G16" s="74">
        <f>(getDistance(coord!$C14,coord!$D14,coord!$C$6,coord!$D$6)*1000)/$G$20</f>
        <v>9.5442598560997072E-2</v>
      </c>
      <c r="H16" s="74">
        <f>(getDistance(coord!$C14,coord!$D14,coord!$C$7,coord!$D$7)*1000)/$H$20</f>
        <v>9.6695571475339706E-2</v>
      </c>
      <c r="I16" s="74">
        <f>(getDistance(coord!$C14,coord!$D14,coord!$C$8,coord!$D$8)*1000)/$I$20</f>
        <v>0.10192976553023066</v>
      </c>
      <c r="J16" s="74">
        <f>(getDistance(coord!$C14,coord!$D14,coord!$C$9,coord!$D$9)*1000)/$J$20</f>
        <v>9.8747671612708338E-2</v>
      </c>
      <c r="K16" s="74">
        <f>(getDistance(coord!$C14,coord!$D14,coord!$C$10,coord!$D$10)*1000)/$K$20</f>
        <v>9.1879449125607152E-2</v>
      </c>
      <c r="L16" s="74">
        <f>(getDistance(coord!$C14,coord!$D14,coord!$C$11,coord!$D$11)*1000)/$L$20</f>
        <v>5.8862551050327262E-2</v>
      </c>
      <c r="M16" s="74">
        <f>(getDistance(coord!$C14,coord!$D14,coord!$C$12,coord!$D$12)*1000)/$M$20</f>
        <v>9.0607388008584963E-2</v>
      </c>
      <c r="N16" s="74">
        <f>(getDistance(coord!$C14,coord!$D14,coord!$C$13,coord!$D$13)*1000)/$N$20</f>
        <v>2.4460556662748552E-2</v>
      </c>
      <c r="O16" s="75">
        <f>(getDistance(coord!$C14,coord!$D14,coord!$C$14,coord!$D$14)*1000)/$O$20</f>
        <v>0</v>
      </c>
      <c r="P16" s="74">
        <f>(getDistance(coord!$C14,coord!$D14,coord!$C$15,coord!$D$15)*1000)/$P$20</f>
        <v>8.1435855710390165E-2</v>
      </c>
      <c r="Q16" s="74">
        <f>(getDistance(coord!$C14,coord!$D14,coord!$C$16,coord!$D$16)*1000)/$Q$20</f>
        <v>7.0823158857472049E-2</v>
      </c>
      <c r="R16" s="74">
        <f>(getDistance(coord!$C14,coord!$D14,coord!$C$17,coord!$D$17)*1000)/$R$20</f>
        <v>7.5540162362182181E-2</v>
      </c>
      <c r="S16" s="58" t="s">
        <v>27</v>
      </c>
      <c r="T16" s="59">
        <v>21</v>
      </c>
      <c r="U16" s="63">
        <v>5.5172413793103448E-2</v>
      </c>
      <c r="V16" s="63">
        <v>3.9215686274509803E-2</v>
      </c>
      <c r="W16" s="61">
        <v>6.0606060606060608E-2</v>
      </c>
      <c r="X16" s="61">
        <v>4.7619047619047616E-2</v>
      </c>
      <c r="Y16" s="61">
        <v>5.2631578947368418E-2</v>
      </c>
      <c r="Z16" s="61">
        <v>6.5963060686015831E-2</v>
      </c>
      <c r="AA16" s="61">
        <v>4.3478260869565216E-2</v>
      </c>
      <c r="AB16" s="61">
        <v>5.4545454545454543E-2</v>
      </c>
      <c r="AC16" s="61">
        <v>5.6000000000000001E-2</v>
      </c>
      <c r="AD16" s="61">
        <v>5.6338028169014086E-2</v>
      </c>
      <c r="AE16" s="61">
        <v>4.8192771084337352E-2</v>
      </c>
      <c r="AF16" s="61">
        <v>5.8823529411764705E-2</v>
      </c>
      <c r="AG16" s="61">
        <v>3.7037037037037035E-2</v>
      </c>
      <c r="AH16" s="61">
        <v>2.6315789473684209E-2</v>
      </c>
      <c r="AI16" s="61">
        <v>4.0540540540540543E-2</v>
      </c>
      <c r="AJ16" s="61">
        <v>7.3170731707317069E-2</v>
      </c>
      <c r="AK16" s="62">
        <v>3.669724770642202E-2</v>
      </c>
      <c r="AL16" s="82">
        <f t="shared" si="0"/>
        <v>5.0138072851249556E-2</v>
      </c>
    </row>
    <row r="17" spans="1:38" ht="15">
      <c r="A17" s="59">
        <v>15</v>
      </c>
      <c r="B17" s="74">
        <f>(getDistance(coord!C15,coord!D15,coord!$C$1,coord!$D$1)*1000)/$B$20</f>
        <v>6.159839731125575E-2</v>
      </c>
      <c r="C17" s="74">
        <f>(getDistance(coord!C15,coord!D15,coord!$C$2,coord!$D$2)*1000)/$C$20</f>
        <v>5.5626049614270444E-2</v>
      </c>
      <c r="D17" s="74">
        <f>(getDistance(coord!$C15,coord!$D15,coord!$C$3,coord!$D$3)*1000)/$D$20</f>
        <v>4.9195690408532458E-2</v>
      </c>
      <c r="E17" s="74">
        <f>(getDistance(coord!$C15,coord!$D15,coord!$C$4,coord!$D$4)*1000)/$E$20</f>
        <v>7.4892785326375819E-2</v>
      </c>
      <c r="F17" s="74">
        <f>(getDistance(coord!$C15,coord!$D15,coord!$C$5,coord!$D$5)*1000)/$F$20</f>
        <v>4.088898791800083E-2</v>
      </c>
      <c r="G17" s="74">
        <f>(getDistance(coord!$C15,coord!$D15,coord!$C$6,coord!$D$6)*1000)/$G$20</f>
        <v>5.6571080039354259E-2</v>
      </c>
      <c r="H17" s="74">
        <f>(getDistance(coord!$C15,coord!$D15,coord!$C$7,coord!$D$7)*1000)/$H$20</f>
        <v>5.6781722241748413E-2</v>
      </c>
      <c r="I17" s="74">
        <f>(getDistance(coord!$C15,coord!$D15,coord!$C$8,coord!$D$8)*1000)/$I$20</f>
        <v>4.6372213769185183E-2</v>
      </c>
      <c r="J17" s="74">
        <f>(getDistance(coord!$C15,coord!$D15,coord!$C$9,coord!$D$9)*1000)/$J$20</f>
        <v>2.9732430251815069E-2</v>
      </c>
      <c r="K17" s="74">
        <f>(getDistance(coord!$C15,coord!$D15,coord!$C$10,coord!$D$10)*1000)/$K$20</f>
        <v>4.6519507142997685E-2</v>
      </c>
      <c r="L17" s="74">
        <f>(getDistance(coord!$C15,coord!$D15,coord!$C$11,coord!$D$11)*1000)/$L$20</f>
        <v>6.931954347696262E-2</v>
      </c>
      <c r="M17" s="74">
        <f>(getDistance(coord!$C15,coord!$D15,coord!$C$12,coord!$D$12)*1000)/$M$20</f>
        <v>6.1704393451557905E-2</v>
      </c>
      <c r="N17" s="74">
        <f>(getDistance(coord!$C15,coord!$D15,coord!$C$13,coord!$D$13)*1000)/$N$20</f>
        <v>7.3684538685649656E-2</v>
      </c>
      <c r="O17" s="74">
        <f>(getDistance(coord!$C15,coord!$D15,coord!$C$14,coord!$D$14)*1000)/$O$20</f>
        <v>6.6131433119642771E-2</v>
      </c>
      <c r="P17" s="75">
        <f>(getDistance(coord!$C15,coord!$D15,coord!$C$15,coord!$D$15)*1000)/$P$20</f>
        <v>0</v>
      </c>
      <c r="Q17" s="74">
        <f>(getDistance(coord!$C15,coord!$D15,coord!$C$16,coord!$D$16)*1000)/$Q$20</f>
        <v>2.3576226428328278E-2</v>
      </c>
      <c r="R17" s="74">
        <f>(getDistance(coord!$C15,coord!$D15,coord!$C$17,coord!$D$17)*1000)/$R$20</f>
        <v>9.0411429457393569E-3</v>
      </c>
      <c r="S17" s="58" t="s">
        <v>28</v>
      </c>
      <c r="T17" s="59">
        <v>22</v>
      </c>
      <c r="U17" s="63">
        <v>4.8275862068965517E-2</v>
      </c>
      <c r="V17" s="63">
        <v>1.9607843137254902E-2</v>
      </c>
      <c r="W17" s="61">
        <v>6.0606060606060608E-2</v>
      </c>
      <c r="X17" s="61">
        <v>2.8571428571428571E-2</v>
      </c>
      <c r="Y17" s="61">
        <v>5.2631578947368418E-2</v>
      </c>
      <c r="Z17" s="61">
        <v>6.5963060686015831E-2</v>
      </c>
      <c r="AA17" s="61">
        <v>4.3478260869565216E-2</v>
      </c>
      <c r="AB17" s="61">
        <v>5.4545454545454543E-2</v>
      </c>
      <c r="AC17" s="61">
        <v>4.8000000000000001E-2</v>
      </c>
      <c r="AD17" s="61">
        <v>5.6338028169014086E-2</v>
      </c>
      <c r="AE17" s="61">
        <v>3.614457831325301E-2</v>
      </c>
      <c r="AF17" s="61">
        <v>4.7058823529411764E-2</v>
      </c>
      <c r="AG17" s="61">
        <v>3.7037037037037035E-2</v>
      </c>
      <c r="AH17" s="61">
        <v>2.6315789473684209E-2</v>
      </c>
      <c r="AI17" s="61">
        <v>4.0540540540540543E-2</v>
      </c>
      <c r="AJ17" s="61">
        <v>4.2682926829268296E-2</v>
      </c>
      <c r="AK17" s="62">
        <v>3.669724770642202E-2</v>
      </c>
      <c r="AL17" s="82">
        <f t="shared" si="0"/>
        <v>4.3793795354749684E-2</v>
      </c>
    </row>
    <row r="18" spans="1:38" ht="15">
      <c r="A18" s="59">
        <v>16</v>
      </c>
      <c r="B18" s="74">
        <f>(getDistance(coord!C16,coord!D16,coord!$C$1,coord!$D$1)*1000)/$B$20</f>
        <v>7.4539863090210934E-2</v>
      </c>
      <c r="C18" s="74">
        <f>(getDistance(coord!C16,coord!D16,coord!$C$2,coord!$D$2)*1000)/$C$20</f>
        <v>6.9380858823358496E-2</v>
      </c>
      <c r="D18" s="74">
        <f>(getDistance(coord!$C16,coord!$D16,coord!$C$3,coord!$D$3)*1000)/$D$20</f>
        <v>6.8379776783968532E-2</v>
      </c>
      <c r="E18" s="74">
        <f>(getDistance(coord!$C16,coord!$D16,coord!$C$4,coord!$D$4)*1000)/$E$20</f>
        <v>8.7499184224573673E-2</v>
      </c>
      <c r="F18" s="74">
        <f>(getDistance(coord!$C16,coord!$D16,coord!$C$5,coord!$D$5)*1000)/$F$20</f>
        <v>7.3597659179639202E-2</v>
      </c>
      <c r="G18" s="74">
        <f>(getDistance(coord!$C16,coord!$D16,coord!$C$6,coord!$D$6)*1000)/$G$20</f>
        <v>8.8874981726127858E-2</v>
      </c>
      <c r="H18" s="74">
        <f>(getDistance(coord!$C16,coord!$D16,coord!$C$7,coord!$D$7)*1000)/$H$20</f>
        <v>7.6116828848675294E-2</v>
      </c>
      <c r="I18" s="74">
        <f>(getDistance(coord!$C16,coord!$D16,coord!$C$8,coord!$D$8)*1000)/$I$20</f>
        <v>7.7957113685623414E-2</v>
      </c>
      <c r="J18" s="74">
        <f>(getDistance(coord!$C16,coord!$D16,coord!$C$9,coord!$D$9)*1000)/$J$20</f>
        <v>5.7972186799735002E-2</v>
      </c>
      <c r="K18" s="74">
        <f>(getDistance(coord!$C16,coord!$D16,coord!$C$10,coord!$D$10)*1000)/$K$20</f>
        <v>8.2721052024025188E-2</v>
      </c>
      <c r="L18" s="74">
        <f>(getDistance(coord!$C16,coord!$D16,coord!$C$11,coord!$D$11)*1000)/$L$20</f>
        <v>9.708410399984746E-2</v>
      </c>
      <c r="M18" s="74">
        <f>(getDistance(coord!$C16,coord!$D16,coord!$C$12,coord!$D$12)*1000)/$M$20</f>
        <v>7.8603436061609189E-2</v>
      </c>
      <c r="N18" s="74">
        <f>(getDistance(coord!$C16,coord!$D16,coord!$C$13,coord!$D$13)*1000)/$N$20</f>
        <v>8.5903661228574124E-2</v>
      </c>
      <c r="O18" s="74">
        <f>(getDistance(coord!$C16,coord!$D16,coord!$C$14,coord!$D$14)*1000)/$O$20</f>
        <v>7.7753898977035094E-2</v>
      </c>
      <c r="P18" s="74">
        <f>(getDistance(coord!$C16,coord!$D16,coord!$C$15,coord!$D$15)*1000)/$P$20</f>
        <v>3.1873437683884037E-2</v>
      </c>
      <c r="Q18" s="75">
        <f>(getDistance(coord!$C16,coord!$D16,coord!$C$16,coord!$D$16)*1000)/$Q$20</f>
        <v>0</v>
      </c>
      <c r="R18" s="74">
        <f>(getDistance(coord!$C16,coord!$D16,coord!$C$17,coord!$D$17)*1000)/$R$20</f>
        <v>2.2366467553544888E-2</v>
      </c>
      <c r="S18" s="58" t="s">
        <v>29</v>
      </c>
      <c r="T18" s="59">
        <v>23</v>
      </c>
      <c r="U18" s="61">
        <v>2.7586206896551724E-2</v>
      </c>
      <c r="V18" s="61">
        <v>1.9607843137254902E-2</v>
      </c>
      <c r="W18" s="61">
        <v>6.0606060606060608E-2</v>
      </c>
      <c r="X18" s="61">
        <v>1.9047619047619049E-2</v>
      </c>
      <c r="Y18" s="61">
        <v>3.5087719298245612E-2</v>
      </c>
      <c r="Z18" s="61">
        <v>3.9577836411609502E-2</v>
      </c>
      <c r="AA18" s="61">
        <v>4.3478260869565216E-2</v>
      </c>
      <c r="AB18" s="61">
        <v>3.6363636363636362E-2</v>
      </c>
      <c r="AC18" s="61">
        <v>4.8000000000000001E-2</v>
      </c>
      <c r="AD18" s="61">
        <v>4.9295774647887321E-2</v>
      </c>
      <c r="AE18" s="61">
        <v>3.614457831325301E-2</v>
      </c>
      <c r="AF18" s="61">
        <v>2.3529411764705882E-2</v>
      </c>
      <c r="AG18" s="61">
        <v>2.4691358024691357E-2</v>
      </c>
      <c r="AH18" s="61">
        <v>2.6315789473684209E-2</v>
      </c>
      <c r="AI18" s="61">
        <v>2.7027027027027029E-2</v>
      </c>
      <c r="AJ18" s="61">
        <v>4.2682926829268296E-2</v>
      </c>
      <c r="AK18" s="62">
        <v>3.669724770642202E-2</v>
      </c>
      <c r="AL18" s="82">
        <f t="shared" si="0"/>
        <v>3.504348802455777E-2</v>
      </c>
    </row>
    <row r="19" spans="1:38" ht="15.75" thickBot="1">
      <c r="A19" s="60">
        <v>17</v>
      </c>
      <c r="B19" s="76">
        <f>(getDistance(coord!C17,coord!D17,coord!$C$1,coord!$D$1)*1000)/$B$20</f>
        <v>6.0432531522365308E-2</v>
      </c>
      <c r="C19" s="76">
        <f>(getDistance(coord!C17,coord!D17,coord!$C$2,coord!$D$2)*1000)/$C$20</f>
        <v>5.4221091431074626E-2</v>
      </c>
      <c r="D19" s="76">
        <f>(getDistance(coord!$C17,coord!$D17,coord!$C$3,coord!$D$3)*1000)/$D$20</f>
        <v>4.9108610527564232E-2</v>
      </c>
      <c r="E19" s="76">
        <f>(getDistance(coord!$C17,coord!$D17,coord!$C$4,coord!$D$4)*1000)/$E$20</f>
        <v>7.6124360699406909E-2</v>
      </c>
      <c r="F19" s="76">
        <f>(getDistance(coord!$C17,coord!$D17,coord!$C$5,coord!$D$5)*1000)/$F$20</f>
        <v>5.1221079450713469E-2</v>
      </c>
      <c r="G19" s="76">
        <f>(getDistance(coord!$C17,coord!$D17,coord!$C$6,coord!$D$6)*1000)/$G$20</f>
        <v>6.6054212362709239E-2</v>
      </c>
      <c r="H19" s="76">
        <f>(getDistance(coord!$C17,coord!$D17,coord!$C$7,coord!$D$7)*1000)/$H$20</f>
        <v>6.3641605632909978E-2</v>
      </c>
      <c r="I19" s="76">
        <f>(getDistance(coord!$C17,coord!$D17,coord!$C$8,coord!$D$8)*1000)/$I$20</f>
        <v>5.6399985146804513E-2</v>
      </c>
      <c r="J19" s="76">
        <f>(getDistance(coord!$C17,coord!$D17,coord!$C$9,coord!$D$9)*1000)/$J$20</f>
        <v>3.9240100764582453E-2</v>
      </c>
      <c r="K19" s="76">
        <f>(getDistance(coord!$C17,coord!$D17,coord!$C$10,coord!$D$10)*1000)/$K$20</f>
        <v>5.6545865245065975E-2</v>
      </c>
      <c r="L19" s="76">
        <f>(getDistance(coord!$C17,coord!$D17,coord!$C$11,coord!$D$11)*1000)/$L$20</f>
        <v>7.5075206325497953E-2</v>
      </c>
      <c r="M19" s="76">
        <f>(getDistance(coord!$C17,coord!$D17,coord!$C$12,coord!$D$12)*1000)/$M$20</f>
        <v>6.7569810514766349E-2</v>
      </c>
      <c r="N19" s="76">
        <f>(getDistance(coord!$C17,coord!$D17,coord!$C$13,coord!$D$13)*1000)/$N$20</f>
        <v>7.4175616662935109E-2</v>
      </c>
      <c r="O19" s="76">
        <f>(getDistance(coord!$C17,coord!$D17,coord!$C$14,coord!$D$14)*1000)/$O$20</f>
        <v>6.5175347551160764E-2</v>
      </c>
      <c r="P19" s="76">
        <f>(getDistance(coord!$C17,coord!$D17,coord!$C$15,coord!$D$15)*1000)/$P$20</f>
        <v>9.6058656335458042E-3</v>
      </c>
      <c r="Q19" s="76">
        <f>(getDistance(coord!$C17,coord!$D17,coord!$C$16,coord!$D$16)*1000)/$Q$20</f>
        <v>1.757745352532147E-2</v>
      </c>
      <c r="R19" s="77">
        <f>(getDistance(coord!$C17,coord!$D17,coord!$C$17,coord!$D$17)*1000)/$R$20</f>
        <v>0</v>
      </c>
      <c r="S19" s="58" t="s">
        <v>30</v>
      </c>
      <c r="T19" s="60">
        <v>24</v>
      </c>
      <c r="U19" s="64">
        <v>2.7586206896551724E-2</v>
      </c>
      <c r="V19" s="64">
        <v>1.9607843137254902E-2</v>
      </c>
      <c r="W19" s="64">
        <v>3.0303030303030304E-2</v>
      </c>
      <c r="X19" s="64">
        <v>1.9047619047619049E-2</v>
      </c>
      <c r="Y19" s="64">
        <v>3.5087719298245612E-2</v>
      </c>
      <c r="Z19" s="64">
        <v>3.9577836411609502E-2</v>
      </c>
      <c r="AA19" s="64">
        <v>4.3478260869565216E-2</v>
      </c>
      <c r="AB19" s="64">
        <v>3.6363636363636362E-2</v>
      </c>
      <c r="AC19" s="64">
        <v>4.8000000000000001E-2</v>
      </c>
      <c r="AD19" s="64">
        <v>4.9295774647887321E-2</v>
      </c>
      <c r="AE19" s="64">
        <v>3.614457831325301E-2</v>
      </c>
      <c r="AF19" s="64">
        <v>1.1764705882352941E-2</v>
      </c>
      <c r="AG19" s="64">
        <v>1.2345679012345678E-2</v>
      </c>
      <c r="AH19" s="64">
        <v>2.6315789473684209E-2</v>
      </c>
      <c r="AI19" s="64">
        <v>2.7027027027027029E-2</v>
      </c>
      <c r="AJ19" s="64">
        <v>3.6585365853658534E-2</v>
      </c>
      <c r="AK19" s="65">
        <v>2.7522935779816515E-2</v>
      </c>
      <c r="AL19" s="82">
        <f t="shared" si="0"/>
        <v>3.0944353430443401E-2</v>
      </c>
    </row>
    <row r="20" spans="1:38" ht="15" thickBot="1">
      <c r="A20" s="4"/>
      <c r="B20" s="68">
        <v>3829.978895979646</v>
      </c>
      <c r="C20" s="68">
        <v>3616.0678119784002</v>
      </c>
      <c r="D20" s="68">
        <v>3314.493706896405</v>
      </c>
      <c r="E20" s="68">
        <v>5923.847449148986</v>
      </c>
      <c r="F20" s="68">
        <v>3181.8203817365966</v>
      </c>
      <c r="G20" s="68">
        <v>3344.9676701526337</v>
      </c>
      <c r="H20" s="68">
        <v>4701.4158231582978</v>
      </c>
      <c r="I20" s="68">
        <v>3279.0662518609661</v>
      </c>
      <c r="J20" s="68">
        <v>3381.4512311458216</v>
      </c>
      <c r="K20" s="68">
        <v>3016.9392764720842</v>
      </c>
      <c r="L20" s="68">
        <v>3662.8594091928085</v>
      </c>
      <c r="M20" s="68">
        <v>5570.3920268510847</v>
      </c>
      <c r="N20" s="68">
        <v>5231.7763035809749</v>
      </c>
      <c r="O20" s="68">
        <v>4220.6025649162793</v>
      </c>
      <c r="P20" s="68">
        <v>3427.4152805487406</v>
      </c>
      <c r="Q20" s="68">
        <v>4633.6298853195376</v>
      </c>
      <c r="R20" s="68">
        <v>3641.4965290232485</v>
      </c>
      <c r="U20" s="66">
        <v>725</v>
      </c>
      <c r="V20" s="66">
        <v>255</v>
      </c>
      <c r="W20" s="66">
        <v>165</v>
      </c>
      <c r="X20" s="66">
        <v>525</v>
      </c>
      <c r="Y20" s="66">
        <v>570</v>
      </c>
      <c r="Z20" s="66">
        <v>379</v>
      </c>
      <c r="AA20" s="66">
        <v>230</v>
      </c>
      <c r="AB20" s="66">
        <v>275</v>
      </c>
      <c r="AC20" s="66">
        <v>625</v>
      </c>
      <c r="AD20" s="66">
        <v>710</v>
      </c>
      <c r="AE20" s="66">
        <v>415</v>
      </c>
      <c r="AF20" s="66">
        <v>425</v>
      </c>
      <c r="AG20" s="66">
        <v>405</v>
      </c>
      <c r="AH20" s="66">
        <v>380</v>
      </c>
      <c r="AI20" s="66">
        <v>370</v>
      </c>
      <c r="AJ20" s="66">
        <v>820</v>
      </c>
      <c r="AK20" s="66">
        <v>545</v>
      </c>
    </row>
    <row r="21" spans="1:38" ht="15" thickBot="1">
      <c r="A21" s="69" t="s">
        <v>4</v>
      </c>
      <c r="B21" s="70" t="s">
        <v>7</v>
      </c>
      <c r="C21" s="70" t="s">
        <v>9</v>
      </c>
      <c r="D21" s="70" t="s">
        <v>2</v>
      </c>
      <c r="E21" s="70" t="s">
        <v>1</v>
      </c>
      <c r="F21" s="70" t="s">
        <v>0</v>
      </c>
      <c r="G21" s="42"/>
      <c r="H21" s="43"/>
      <c r="I21" s="135" t="s">
        <v>33</v>
      </c>
      <c r="J21" s="135" t="s">
        <v>34</v>
      </c>
      <c r="K21" s="135" t="s">
        <v>35</v>
      </c>
      <c r="L21" s="160" t="s">
        <v>37</v>
      </c>
      <c r="M21" s="160" t="s">
        <v>38</v>
      </c>
      <c r="T21" s="56" t="s">
        <v>12</v>
      </c>
      <c r="U21" s="54">
        <v>1</v>
      </c>
      <c r="V21" s="54">
        <v>2</v>
      </c>
      <c r="W21" s="54">
        <v>3</v>
      </c>
      <c r="X21" s="54">
        <v>4</v>
      </c>
      <c r="Y21" s="54">
        <v>5</v>
      </c>
      <c r="Z21" s="54">
        <v>6</v>
      </c>
      <c r="AA21" s="54">
        <v>7</v>
      </c>
      <c r="AB21" s="54">
        <v>8</v>
      </c>
      <c r="AC21" s="54">
        <v>9</v>
      </c>
      <c r="AD21" s="54">
        <v>10</v>
      </c>
      <c r="AE21" s="54">
        <v>11</v>
      </c>
      <c r="AF21" s="54">
        <v>12</v>
      </c>
      <c r="AG21" s="54">
        <v>13</v>
      </c>
      <c r="AH21" s="54">
        <v>14</v>
      </c>
      <c r="AI21" s="54">
        <v>15</v>
      </c>
      <c r="AJ21" s="54">
        <v>16</v>
      </c>
      <c r="AK21" s="55">
        <v>17</v>
      </c>
    </row>
    <row r="22" spans="1:38">
      <c r="A22" s="59">
        <v>8</v>
      </c>
      <c r="B22" s="59">
        <v>11</v>
      </c>
      <c r="C22" s="89" t="str">
        <f t="shared" ref="C22:C38" si="1">VLOOKUP(B22,$A$3:$S$19,19,1)</f>
        <v>Thunder Mtn</v>
      </c>
      <c r="D22" s="94">
        <f>ABS(E22)</f>
        <v>0</v>
      </c>
      <c r="E22" s="8"/>
      <c r="F22" s="78">
        <f t="shared" ref="F22:F38" si="2">INDEX($T$2:$AK$19,MATCH(A22,$T$2:$T$19,0),MATCH(B22,$T$2:$AK$2,0))</f>
        <v>1.2048192771084338E-2</v>
      </c>
      <c r="G22" s="8"/>
      <c r="H22" s="79">
        <f t="shared" ref="H22:H38" si="3">INDEX($T$21:$AK$38,MATCH(A22,$T$21:$T$38,0),MATCH(B22,$T$21:$AK$21,0))</f>
        <v>5</v>
      </c>
      <c r="I22" s="136">
        <v>1</v>
      </c>
      <c r="J22" s="137">
        <v>1</v>
      </c>
      <c r="K22" s="138">
        <v>8</v>
      </c>
      <c r="L22" s="154">
        <f>VLOOKUP(C22,coord!B:D,2,0)</f>
        <v>33.813229</v>
      </c>
      <c r="M22" s="154">
        <f>VLOOKUP(C22,coord!B:D,3,0)</f>
        <v>-117.920417</v>
      </c>
      <c r="O22" s="66" t="s">
        <v>17</v>
      </c>
      <c r="T22" s="59">
        <v>8</v>
      </c>
      <c r="U22" s="82">
        <f t="shared" ref="U22:AK22" si="4">U3*U$20</f>
        <v>10</v>
      </c>
      <c r="V22" s="82">
        <f t="shared" si="4"/>
        <v>5</v>
      </c>
      <c r="W22" s="82">
        <f t="shared" si="4"/>
        <v>10</v>
      </c>
      <c r="X22" s="82">
        <f t="shared" si="4"/>
        <v>5.0000000000000009</v>
      </c>
      <c r="Y22" s="82">
        <f t="shared" si="4"/>
        <v>15</v>
      </c>
      <c r="Z22" s="82">
        <f t="shared" si="4"/>
        <v>5</v>
      </c>
      <c r="AA22" s="82">
        <f t="shared" si="4"/>
        <v>5</v>
      </c>
      <c r="AB22" s="82">
        <f t="shared" si="4"/>
        <v>5</v>
      </c>
      <c r="AC22" s="82">
        <f t="shared" si="4"/>
        <v>5</v>
      </c>
      <c r="AD22" s="82">
        <f t="shared" si="4"/>
        <v>35</v>
      </c>
      <c r="AE22" s="82">
        <f t="shared" si="4"/>
        <v>5</v>
      </c>
      <c r="AF22" s="82">
        <f t="shared" si="4"/>
        <v>5</v>
      </c>
      <c r="AG22" s="82">
        <f t="shared" si="4"/>
        <v>5</v>
      </c>
      <c r="AH22" s="82">
        <f t="shared" si="4"/>
        <v>5</v>
      </c>
      <c r="AI22" s="82">
        <f t="shared" si="4"/>
        <v>5</v>
      </c>
      <c r="AJ22" s="82">
        <f t="shared" si="4"/>
        <v>14.999999999999998</v>
      </c>
      <c r="AK22" s="82">
        <f t="shared" si="4"/>
        <v>5</v>
      </c>
    </row>
    <row r="23" spans="1:38">
      <c r="A23" s="59">
        <v>9</v>
      </c>
      <c r="B23" s="59">
        <v>6</v>
      </c>
      <c r="C23" s="89" t="str">
        <f t="shared" si="1"/>
        <v>Dumbo</v>
      </c>
      <c r="D23" s="94">
        <f t="shared" ref="D23:D38" si="5">ABS(E23)</f>
        <v>4.5039467747617051E-2</v>
      </c>
      <c r="E23" s="83">
        <f t="shared" ref="E23:E38" si="6">INDEX($A$2:$R$19,MATCH(B22,$A$2:$A$19,0),MATCH(B23,$A$2:$R$2,0))</f>
        <v>4.5039467747617051E-2</v>
      </c>
      <c r="F23" s="78">
        <f t="shared" si="2"/>
        <v>1.3192612137203167E-2</v>
      </c>
      <c r="G23" s="83">
        <f t="shared" ref="G23:G38" si="7">INDEX($T$39:$AK$56,MATCH(B22,$T$39:$T$56,0),MATCH(B23,$T$39:$AK$39,0))</f>
        <v>150.6555634966613</v>
      </c>
      <c r="H23" s="79">
        <f t="shared" si="3"/>
        <v>5</v>
      </c>
      <c r="I23" s="139">
        <v>1</v>
      </c>
      <c r="J23" s="8">
        <v>1</v>
      </c>
      <c r="K23" s="39">
        <v>9</v>
      </c>
      <c r="L23" s="154">
        <f>VLOOKUP(C23,coord!B:D,2,0)</f>
        <v>33.813699999999997</v>
      </c>
      <c r="M23" s="154">
        <f>VLOOKUP(C23,coord!B:D,3,0)</f>
        <v>-117.918888</v>
      </c>
      <c r="O23" s="66" t="s">
        <v>14</v>
      </c>
      <c r="T23" s="59">
        <v>9</v>
      </c>
      <c r="U23" s="82">
        <f t="shared" ref="U23:AK23" si="8">U4*U$20</f>
        <v>25</v>
      </c>
      <c r="V23" s="82">
        <f t="shared" si="8"/>
        <v>5</v>
      </c>
      <c r="W23" s="82">
        <f t="shared" si="8"/>
        <v>10</v>
      </c>
      <c r="X23" s="82">
        <f t="shared" si="8"/>
        <v>5.0000000000000009</v>
      </c>
      <c r="Y23" s="82">
        <f t="shared" si="8"/>
        <v>25</v>
      </c>
      <c r="Z23" s="82">
        <f t="shared" si="8"/>
        <v>5</v>
      </c>
      <c r="AA23" s="82">
        <f t="shared" si="8"/>
        <v>5</v>
      </c>
      <c r="AB23" s="82">
        <f t="shared" si="8"/>
        <v>5</v>
      </c>
      <c r="AC23" s="82">
        <f t="shared" si="8"/>
        <v>10</v>
      </c>
      <c r="AD23" s="82">
        <f t="shared" si="8"/>
        <v>40</v>
      </c>
      <c r="AE23" s="82">
        <f t="shared" si="8"/>
        <v>10</v>
      </c>
      <c r="AF23" s="82">
        <f t="shared" si="8"/>
        <v>10</v>
      </c>
      <c r="AG23" s="82">
        <f t="shared" si="8"/>
        <v>10</v>
      </c>
      <c r="AH23" s="82">
        <f t="shared" si="8"/>
        <v>15</v>
      </c>
      <c r="AI23" s="82">
        <f t="shared" si="8"/>
        <v>15</v>
      </c>
      <c r="AJ23" s="82">
        <f t="shared" si="8"/>
        <v>20</v>
      </c>
      <c r="AK23" s="82">
        <f t="shared" si="8"/>
        <v>20</v>
      </c>
    </row>
    <row r="24" spans="1:38">
      <c r="A24" s="59">
        <v>10</v>
      </c>
      <c r="B24" s="59">
        <v>4</v>
      </c>
      <c r="C24" s="89" t="str">
        <f t="shared" si="1"/>
        <v>Splash Mtn</v>
      </c>
      <c r="D24" s="94">
        <f t="shared" si="5"/>
        <v>6.6452890858092556E-2</v>
      </c>
      <c r="E24" s="83">
        <f t="shared" si="6"/>
        <v>6.6452890858092556E-2</v>
      </c>
      <c r="F24" s="78">
        <f t="shared" si="2"/>
        <v>1.9047619047619049E-2</v>
      </c>
      <c r="G24" s="83">
        <f t="shared" si="7"/>
        <v>393.65678799828754</v>
      </c>
      <c r="H24" s="79">
        <f t="shared" si="3"/>
        <v>10.000000000000002</v>
      </c>
      <c r="I24" s="139">
        <v>1</v>
      </c>
      <c r="J24" s="8">
        <v>1</v>
      </c>
      <c r="K24" s="39">
        <v>10</v>
      </c>
      <c r="L24" s="154">
        <f>VLOOKUP(C24,coord!B:D,2,0)</f>
        <v>33.812258999999997</v>
      </c>
      <c r="M24" s="154">
        <f>VLOOKUP(C24,coord!B:D,3,0)</f>
        <v>-117.92278</v>
      </c>
      <c r="O24" s="66" t="s">
        <v>25</v>
      </c>
      <c r="T24" s="59">
        <v>10</v>
      </c>
      <c r="U24" s="82">
        <f t="shared" ref="U24:AK24" si="9">U5*U$20</f>
        <v>35</v>
      </c>
      <c r="V24" s="82">
        <f t="shared" si="9"/>
        <v>10</v>
      </c>
      <c r="W24" s="82">
        <f t="shared" si="9"/>
        <v>10</v>
      </c>
      <c r="X24" s="82">
        <f t="shared" si="9"/>
        <v>10.000000000000002</v>
      </c>
      <c r="Y24" s="82">
        <f t="shared" si="9"/>
        <v>35</v>
      </c>
      <c r="Z24" s="82">
        <f t="shared" si="9"/>
        <v>10</v>
      </c>
      <c r="AA24" s="82">
        <f t="shared" si="9"/>
        <v>10</v>
      </c>
      <c r="AB24" s="82">
        <f t="shared" si="9"/>
        <v>10</v>
      </c>
      <c r="AC24" s="82">
        <f t="shared" si="9"/>
        <v>15</v>
      </c>
      <c r="AD24" s="82">
        <f t="shared" si="9"/>
        <v>45</v>
      </c>
      <c r="AE24" s="82">
        <f t="shared" si="9"/>
        <v>15</v>
      </c>
      <c r="AF24" s="82">
        <f t="shared" si="9"/>
        <v>15</v>
      </c>
      <c r="AG24" s="82">
        <f t="shared" si="9"/>
        <v>15</v>
      </c>
      <c r="AH24" s="82">
        <f t="shared" si="9"/>
        <v>25</v>
      </c>
      <c r="AI24" s="82">
        <f t="shared" si="9"/>
        <v>25</v>
      </c>
      <c r="AJ24" s="82">
        <f t="shared" si="9"/>
        <v>25</v>
      </c>
      <c r="AK24" s="82">
        <f t="shared" si="9"/>
        <v>35</v>
      </c>
    </row>
    <row r="25" spans="1:38">
      <c r="A25" s="59">
        <v>11</v>
      </c>
      <c r="B25" s="59">
        <v>9</v>
      </c>
      <c r="C25" s="89" t="str">
        <f t="shared" si="1"/>
        <v>Matterhorn</v>
      </c>
      <c r="D25" s="94">
        <f t="shared" si="5"/>
        <v>0.13633197020169702</v>
      </c>
      <c r="E25" s="83">
        <f t="shared" si="6"/>
        <v>0.13633197020169702</v>
      </c>
      <c r="F25" s="78">
        <f t="shared" si="2"/>
        <v>3.2000000000000001E-2</v>
      </c>
      <c r="G25" s="83">
        <f t="shared" si="7"/>
        <v>460.99990848306385</v>
      </c>
      <c r="H25" s="79">
        <f t="shared" si="3"/>
        <v>20</v>
      </c>
      <c r="I25" s="139">
        <v>1</v>
      </c>
      <c r="J25" s="8">
        <v>1</v>
      </c>
      <c r="K25" s="39">
        <v>11</v>
      </c>
      <c r="L25" s="154">
        <f>VLOOKUP(C25,coord!B:D,2,0)</f>
        <v>33.813076000000002</v>
      </c>
      <c r="M25" s="154">
        <f>VLOOKUP(C25,coord!B:D,3,0)</f>
        <v>-117.917888</v>
      </c>
      <c r="O25" s="66" t="s">
        <v>29</v>
      </c>
      <c r="T25" s="59">
        <v>11</v>
      </c>
      <c r="U25" s="82">
        <f t="shared" ref="U25:AK25" si="10">U6*U$20</f>
        <v>40</v>
      </c>
      <c r="V25" s="82">
        <f t="shared" si="10"/>
        <v>15</v>
      </c>
      <c r="W25" s="82">
        <f t="shared" si="10"/>
        <v>10</v>
      </c>
      <c r="X25" s="82">
        <f t="shared" si="10"/>
        <v>15</v>
      </c>
      <c r="Y25" s="82">
        <f t="shared" si="10"/>
        <v>40</v>
      </c>
      <c r="Z25" s="82">
        <f t="shared" si="10"/>
        <v>15.000000000000002</v>
      </c>
      <c r="AA25" s="82">
        <f t="shared" si="10"/>
        <v>15</v>
      </c>
      <c r="AB25" s="82">
        <f t="shared" si="10"/>
        <v>10</v>
      </c>
      <c r="AC25" s="82">
        <f t="shared" si="10"/>
        <v>20</v>
      </c>
      <c r="AD25" s="82">
        <f t="shared" si="10"/>
        <v>45</v>
      </c>
      <c r="AE25" s="82">
        <f t="shared" si="10"/>
        <v>20</v>
      </c>
      <c r="AF25" s="82">
        <f t="shared" si="10"/>
        <v>20</v>
      </c>
      <c r="AG25" s="82">
        <f t="shared" si="10"/>
        <v>25</v>
      </c>
      <c r="AH25" s="82">
        <f t="shared" si="10"/>
        <v>30</v>
      </c>
      <c r="AI25" s="82">
        <f t="shared" si="10"/>
        <v>30</v>
      </c>
      <c r="AJ25" s="82">
        <f t="shared" si="10"/>
        <v>29.999999999999996</v>
      </c>
      <c r="AK25" s="82">
        <f t="shared" si="10"/>
        <v>50</v>
      </c>
    </row>
    <row r="26" spans="1:38">
      <c r="A26" s="59">
        <v>12</v>
      </c>
      <c r="B26" s="59">
        <v>16</v>
      </c>
      <c r="C26" s="89" t="str">
        <f t="shared" si="1"/>
        <v>Space Mtn</v>
      </c>
      <c r="D26" s="94">
        <f t="shared" si="5"/>
        <v>4.2305951765213359E-2</v>
      </c>
      <c r="E26" s="83">
        <f t="shared" si="6"/>
        <v>4.2305951765213359E-2</v>
      </c>
      <c r="F26" s="78">
        <f t="shared" si="2"/>
        <v>4.2682926829268296E-2</v>
      </c>
      <c r="G26" s="83">
        <f t="shared" si="7"/>
        <v>196.03012242617947</v>
      </c>
      <c r="H26" s="79">
        <f t="shared" si="3"/>
        <v>35</v>
      </c>
      <c r="I26" s="139">
        <v>1</v>
      </c>
      <c r="J26" s="8">
        <v>1</v>
      </c>
      <c r="K26" s="39">
        <v>12</v>
      </c>
      <c r="L26" s="154">
        <f>VLOOKUP(C26,coord!B:D,2,0)</f>
        <v>33.811390000000003</v>
      </c>
      <c r="M26" s="154">
        <f>VLOOKUP(C26,coord!B:D,3,0)</f>
        <v>-117.91726800000001</v>
      </c>
      <c r="O26" s="66" t="s">
        <v>28</v>
      </c>
      <c r="T26" s="59">
        <v>12</v>
      </c>
      <c r="U26" s="82">
        <f t="shared" ref="U26:AK26" si="11">U7*U$20</f>
        <v>45</v>
      </c>
      <c r="V26" s="82">
        <f t="shared" si="11"/>
        <v>15</v>
      </c>
      <c r="W26" s="82">
        <f t="shared" si="11"/>
        <v>10</v>
      </c>
      <c r="X26" s="82">
        <f t="shared" si="11"/>
        <v>25</v>
      </c>
      <c r="Y26" s="82">
        <f t="shared" si="11"/>
        <v>40</v>
      </c>
      <c r="Z26" s="82">
        <f t="shared" si="11"/>
        <v>24</v>
      </c>
      <c r="AA26" s="82">
        <f t="shared" si="11"/>
        <v>15</v>
      </c>
      <c r="AB26" s="82">
        <f t="shared" si="11"/>
        <v>15</v>
      </c>
      <c r="AC26" s="82">
        <f t="shared" si="11"/>
        <v>25</v>
      </c>
      <c r="AD26" s="82">
        <f t="shared" si="11"/>
        <v>45</v>
      </c>
      <c r="AE26" s="82">
        <f t="shared" si="11"/>
        <v>25</v>
      </c>
      <c r="AF26" s="82">
        <f t="shared" si="11"/>
        <v>25</v>
      </c>
      <c r="AG26" s="82">
        <f t="shared" si="11"/>
        <v>35</v>
      </c>
      <c r="AH26" s="82">
        <f t="shared" si="11"/>
        <v>35</v>
      </c>
      <c r="AI26" s="82">
        <f t="shared" si="11"/>
        <v>30</v>
      </c>
      <c r="AJ26" s="82">
        <f t="shared" si="11"/>
        <v>35</v>
      </c>
      <c r="AK26" s="82">
        <f t="shared" si="11"/>
        <v>50</v>
      </c>
    </row>
    <row r="27" spans="1:38">
      <c r="A27" s="59">
        <v>13</v>
      </c>
      <c r="B27" s="59">
        <v>8</v>
      </c>
      <c r="C27" s="89" t="str">
        <f t="shared" si="1"/>
        <v>Mad Tea</v>
      </c>
      <c r="D27" s="94">
        <f t="shared" si="5"/>
        <v>7.7957113685623414E-2</v>
      </c>
      <c r="E27" s="83">
        <f t="shared" si="6"/>
        <v>7.7957113685623414E-2</v>
      </c>
      <c r="F27" s="78">
        <f t="shared" si="2"/>
        <v>5.4545454545454543E-2</v>
      </c>
      <c r="G27" s="83">
        <f t="shared" si="7"/>
        <v>255.62654057901639</v>
      </c>
      <c r="H27" s="79">
        <f t="shared" si="3"/>
        <v>15</v>
      </c>
      <c r="I27" s="139">
        <v>1</v>
      </c>
      <c r="J27" s="8">
        <v>1</v>
      </c>
      <c r="K27" s="39">
        <v>13</v>
      </c>
      <c r="L27" s="154">
        <f>VLOOKUP(C27,coord!B:D,2,0)</f>
        <v>33.813509000000003</v>
      </c>
      <c r="M27" s="154">
        <f>VLOOKUP(C27,coord!B:D,3,0)</f>
        <v>-117.918341</v>
      </c>
      <c r="O27" s="66" t="s">
        <v>30</v>
      </c>
      <c r="T27" s="59">
        <v>13</v>
      </c>
      <c r="U27" s="82">
        <f t="shared" ref="U27:AK27" si="12">U8*U$20</f>
        <v>55</v>
      </c>
      <c r="V27" s="82">
        <f t="shared" si="12"/>
        <v>20</v>
      </c>
      <c r="W27" s="82">
        <f t="shared" si="12"/>
        <v>10</v>
      </c>
      <c r="X27" s="82">
        <f t="shared" si="12"/>
        <v>35</v>
      </c>
      <c r="Y27" s="82">
        <f t="shared" si="12"/>
        <v>40</v>
      </c>
      <c r="Z27" s="82">
        <f t="shared" si="12"/>
        <v>30.000000000000004</v>
      </c>
      <c r="AA27" s="82">
        <f t="shared" si="12"/>
        <v>20</v>
      </c>
      <c r="AB27" s="82">
        <f t="shared" si="12"/>
        <v>15</v>
      </c>
      <c r="AC27" s="82">
        <f t="shared" si="12"/>
        <v>35</v>
      </c>
      <c r="AD27" s="82">
        <f t="shared" si="12"/>
        <v>45</v>
      </c>
      <c r="AE27" s="82">
        <f t="shared" si="12"/>
        <v>30</v>
      </c>
      <c r="AF27" s="82">
        <f t="shared" si="12"/>
        <v>30</v>
      </c>
      <c r="AG27" s="82">
        <f t="shared" si="12"/>
        <v>40</v>
      </c>
      <c r="AH27" s="82">
        <f t="shared" si="12"/>
        <v>35</v>
      </c>
      <c r="AI27" s="82">
        <f t="shared" si="12"/>
        <v>30</v>
      </c>
      <c r="AJ27" s="82">
        <f t="shared" si="12"/>
        <v>45</v>
      </c>
      <c r="AK27" s="82">
        <f t="shared" si="12"/>
        <v>50</v>
      </c>
    </row>
    <row r="28" spans="1:38">
      <c r="A28" s="59">
        <v>14</v>
      </c>
      <c r="B28" s="59">
        <v>1</v>
      </c>
      <c r="C28" s="89" t="str">
        <f t="shared" si="1"/>
        <v>Indiana Jones</v>
      </c>
      <c r="D28" s="94">
        <f t="shared" si="5"/>
        <v>7.8116539205215205E-2</v>
      </c>
      <c r="E28" s="83">
        <f t="shared" si="6"/>
        <v>7.8116539205215205E-2</v>
      </c>
      <c r="F28" s="78">
        <f t="shared" si="2"/>
        <v>7.586206896551724E-2</v>
      </c>
      <c r="G28" s="83">
        <f t="shared" si="7"/>
        <v>299.18469658294089</v>
      </c>
      <c r="H28" s="79">
        <f t="shared" si="3"/>
        <v>55</v>
      </c>
      <c r="I28" s="139">
        <v>1</v>
      </c>
      <c r="J28" s="8">
        <v>1</v>
      </c>
      <c r="K28" s="39">
        <v>14</v>
      </c>
      <c r="L28" s="154">
        <f>VLOOKUP(C28,coord!B:D,2,0)</f>
        <v>33.811404000000003</v>
      </c>
      <c r="M28" s="154">
        <f>VLOOKUP(C28,coord!B:D,3,0)</f>
        <v>-117.92035799999999</v>
      </c>
      <c r="O28" s="66" t="s">
        <v>24</v>
      </c>
      <c r="T28" s="59">
        <v>14</v>
      </c>
      <c r="U28" s="82">
        <f t="shared" ref="U28:AK28" si="13">U9*U$20</f>
        <v>55</v>
      </c>
      <c r="V28" s="82">
        <f t="shared" si="13"/>
        <v>20</v>
      </c>
      <c r="W28" s="82">
        <f t="shared" si="13"/>
        <v>10</v>
      </c>
      <c r="X28" s="82">
        <f t="shared" si="13"/>
        <v>45</v>
      </c>
      <c r="Y28" s="82">
        <f t="shared" si="13"/>
        <v>40</v>
      </c>
      <c r="Z28" s="82">
        <f t="shared" si="13"/>
        <v>30.000000000000004</v>
      </c>
      <c r="AA28" s="82">
        <f t="shared" si="13"/>
        <v>20</v>
      </c>
      <c r="AB28" s="82">
        <f t="shared" si="13"/>
        <v>20</v>
      </c>
      <c r="AC28" s="82">
        <f t="shared" si="13"/>
        <v>45</v>
      </c>
      <c r="AD28" s="82">
        <f t="shared" si="13"/>
        <v>45</v>
      </c>
      <c r="AE28" s="82">
        <f t="shared" si="13"/>
        <v>35</v>
      </c>
      <c r="AF28" s="82">
        <f t="shared" si="13"/>
        <v>35</v>
      </c>
      <c r="AG28" s="82">
        <f t="shared" si="13"/>
        <v>40</v>
      </c>
      <c r="AH28" s="82">
        <f t="shared" si="13"/>
        <v>35</v>
      </c>
      <c r="AI28" s="82">
        <f t="shared" si="13"/>
        <v>30</v>
      </c>
      <c r="AJ28" s="82">
        <f t="shared" si="13"/>
        <v>55</v>
      </c>
      <c r="AK28" s="82">
        <f t="shared" si="13"/>
        <v>45</v>
      </c>
    </row>
    <row r="29" spans="1:38">
      <c r="A29" s="59">
        <v>15</v>
      </c>
      <c r="B29" s="59">
        <v>5</v>
      </c>
      <c r="C29" s="90" t="str">
        <f t="shared" si="1"/>
        <v>Alice in Wonderland</v>
      </c>
      <c r="D29" s="95">
        <f t="shared" si="5"/>
        <v>8.9692706304415254E-2</v>
      </c>
      <c r="E29" s="92">
        <f t="shared" si="6"/>
        <v>8.9692706304415254E-2</v>
      </c>
      <c r="F29" s="84">
        <f t="shared" si="2"/>
        <v>7.0175438596491224E-2</v>
      </c>
      <c r="G29" s="83">
        <f t="shared" si="7"/>
        <v>285.38608101250298</v>
      </c>
      <c r="H29" s="79">
        <f t="shared" si="3"/>
        <v>40</v>
      </c>
      <c r="I29" s="139">
        <v>1</v>
      </c>
      <c r="J29" s="8">
        <v>1</v>
      </c>
      <c r="K29" s="39">
        <v>15</v>
      </c>
      <c r="L29" s="154">
        <f>VLOOKUP(C29,coord!B:D,2,0)</f>
        <v>33.813315000000003</v>
      </c>
      <c r="M29" s="154">
        <f>VLOOKUP(C29,coord!B:D,3,0)</f>
        <v>-117.918296</v>
      </c>
      <c r="O29" s="66" t="s">
        <v>26</v>
      </c>
      <c r="T29" s="59">
        <v>15</v>
      </c>
      <c r="U29" s="82">
        <f t="shared" ref="U29:AK29" si="14">U10*U$20</f>
        <v>60</v>
      </c>
      <c r="V29" s="82">
        <f t="shared" si="14"/>
        <v>25</v>
      </c>
      <c r="W29" s="82">
        <f t="shared" si="14"/>
        <v>10</v>
      </c>
      <c r="X29" s="82">
        <f t="shared" si="14"/>
        <v>60</v>
      </c>
      <c r="Y29" s="82">
        <f t="shared" si="14"/>
        <v>40</v>
      </c>
      <c r="Z29" s="82">
        <f t="shared" si="14"/>
        <v>30.000000000000004</v>
      </c>
      <c r="AA29" s="82">
        <f t="shared" si="14"/>
        <v>20</v>
      </c>
      <c r="AB29" s="82">
        <f t="shared" si="14"/>
        <v>20</v>
      </c>
      <c r="AC29" s="82">
        <f t="shared" si="14"/>
        <v>60</v>
      </c>
      <c r="AD29" s="82">
        <f t="shared" si="14"/>
        <v>45</v>
      </c>
      <c r="AE29" s="82">
        <f t="shared" si="14"/>
        <v>40</v>
      </c>
      <c r="AF29" s="82">
        <f t="shared" si="14"/>
        <v>40</v>
      </c>
      <c r="AG29" s="82">
        <f t="shared" si="14"/>
        <v>40</v>
      </c>
      <c r="AH29" s="82">
        <f t="shared" si="14"/>
        <v>35</v>
      </c>
      <c r="AI29" s="82">
        <f t="shared" si="14"/>
        <v>30</v>
      </c>
      <c r="AJ29" s="82">
        <f t="shared" si="14"/>
        <v>65</v>
      </c>
      <c r="AK29" s="82">
        <f t="shared" si="14"/>
        <v>45</v>
      </c>
    </row>
    <row r="30" spans="1:38">
      <c r="A30" s="59">
        <v>16</v>
      </c>
      <c r="B30" s="59">
        <v>3</v>
      </c>
      <c r="C30" s="89" t="str">
        <f t="shared" si="1"/>
        <v>Tiki room</v>
      </c>
      <c r="D30" s="94">
        <f t="shared" si="5"/>
        <v>6.4427840249098367E-2</v>
      </c>
      <c r="E30" s="83">
        <f t="shared" si="6"/>
        <v>6.4427840249098367E-2</v>
      </c>
      <c r="F30" s="85">
        <f t="shared" si="2"/>
        <v>6.0606060606060608E-2</v>
      </c>
      <c r="G30" s="83">
        <f t="shared" si="7"/>
        <v>213.54567105456346</v>
      </c>
      <c r="H30" s="79">
        <f t="shared" si="3"/>
        <v>10</v>
      </c>
      <c r="I30" s="139">
        <v>1</v>
      </c>
      <c r="J30" s="8">
        <v>1</v>
      </c>
      <c r="K30" s="39">
        <v>16</v>
      </c>
      <c r="L30" s="154">
        <f>VLOOKUP(C30,coord!B:D,2,0)</f>
        <v>33.811774999999997</v>
      </c>
      <c r="M30" s="154">
        <f>VLOOKUP(C30,coord!B:D,3,0)</f>
        <v>-117.91967699999999</v>
      </c>
      <c r="O30" s="66" t="s">
        <v>22</v>
      </c>
      <c r="T30" s="59">
        <v>16</v>
      </c>
      <c r="U30" s="82">
        <f t="shared" ref="U30:AK30" si="15">U11*U$20</f>
        <v>60</v>
      </c>
      <c r="V30" s="82">
        <f t="shared" si="15"/>
        <v>25</v>
      </c>
      <c r="W30" s="82">
        <f t="shared" si="15"/>
        <v>10</v>
      </c>
      <c r="X30" s="82">
        <f t="shared" si="15"/>
        <v>60</v>
      </c>
      <c r="Y30" s="82">
        <f t="shared" si="15"/>
        <v>40</v>
      </c>
      <c r="Z30" s="82">
        <f t="shared" si="15"/>
        <v>30.000000000000004</v>
      </c>
      <c r="AA30" s="82">
        <f t="shared" si="15"/>
        <v>20</v>
      </c>
      <c r="AB30" s="82">
        <f t="shared" si="15"/>
        <v>20</v>
      </c>
      <c r="AC30" s="82">
        <f t="shared" si="15"/>
        <v>60</v>
      </c>
      <c r="AD30" s="82">
        <f t="shared" si="15"/>
        <v>45</v>
      </c>
      <c r="AE30" s="82">
        <f t="shared" si="15"/>
        <v>40</v>
      </c>
      <c r="AF30" s="82">
        <f t="shared" si="15"/>
        <v>40</v>
      </c>
      <c r="AG30" s="82">
        <f t="shared" si="15"/>
        <v>40</v>
      </c>
      <c r="AH30" s="82">
        <f t="shared" si="15"/>
        <v>35</v>
      </c>
      <c r="AI30" s="82">
        <f t="shared" si="15"/>
        <v>30</v>
      </c>
      <c r="AJ30" s="82">
        <f t="shared" si="15"/>
        <v>75</v>
      </c>
      <c r="AK30" s="82">
        <f t="shared" si="15"/>
        <v>40</v>
      </c>
    </row>
    <row r="31" spans="1:38">
      <c r="A31" s="59">
        <v>17</v>
      </c>
      <c r="B31" s="59">
        <v>10</v>
      </c>
      <c r="C31" s="89" t="str">
        <f t="shared" si="1"/>
        <v>Peter Pan</v>
      </c>
      <c r="D31" s="94">
        <f t="shared" si="5"/>
        <v>5.8381558747137567E-2</v>
      </c>
      <c r="E31" s="83">
        <f t="shared" si="6"/>
        <v>5.8381558747137567E-2</v>
      </c>
      <c r="F31" s="85">
        <f t="shared" si="2"/>
        <v>5.6338028169014086E-2</v>
      </c>
      <c r="G31" s="83">
        <f t="shared" si="7"/>
        <v>176.13361760590169</v>
      </c>
      <c r="H31" s="79">
        <f t="shared" si="3"/>
        <v>40</v>
      </c>
      <c r="I31" s="139">
        <v>1</v>
      </c>
      <c r="J31" s="8">
        <v>1</v>
      </c>
      <c r="K31" s="39">
        <v>17</v>
      </c>
      <c r="L31" s="154">
        <f>VLOOKUP(C31,coord!B:D,2,0)</f>
        <v>33.813205000000004</v>
      </c>
      <c r="M31" s="154">
        <f>VLOOKUP(C31,coord!B:D,3,0)</f>
        <v>-117.918857</v>
      </c>
      <c r="T31" s="59">
        <v>17</v>
      </c>
      <c r="U31" s="82">
        <f t="shared" ref="U31:AK31" si="16">U12*U$20</f>
        <v>60</v>
      </c>
      <c r="V31" s="82">
        <f t="shared" si="16"/>
        <v>25</v>
      </c>
      <c r="W31" s="82">
        <f t="shared" si="16"/>
        <v>10</v>
      </c>
      <c r="X31" s="82">
        <f t="shared" si="16"/>
        <v>60</v>
      </c>
      <c r="Y31" s="82">
        <f t="shared" si="16"/>
        <v>40</v>
      </c>
      <c r="Z31" s="82">
        <f t="shared" si="16"/>
        <v>30.000000000000004</v>
      </c>
      <c r="AA31" s="82">
        <f t="shared" si="16"/>
        <v>20</v>
      </c>
      <c r="AB31" s="82">
        <f t="shared" si="16"/>
        <v>20</v>
      </c>
      <c r="AC31" s="82">
        <f t="shared" si="16"/>
        <v>60</v>
      </c>
      <c r="AD31" s="82">
        <f t="shared" si="16"/>
        <v>40</v>
      </c>
      <c r="AE31" s="82">
        <f t="shared" si="16"/>
        <v>40</v>
      </c>
      <c r="AF31" s="82">
        <f t="shared" si="16"/>
        <v>40</v>
      </c>
      <c r="AG31" s="82">
        <f t="shared" si="16"/>
        <v>35</v>
      </c>
      <c r="AH31" s="82">
        <f t="shared" si="16"/>
        <v>30</v>
      </c>
      <c r="AI31" s="82">
        <f t="shared" si="16"/>
        <v>30</v>
      </c>
      <c r="AJ31" s="82">
        <f t="shared" si="16"/>
        <v>80</v>
      </c>
      <c r="AK31" s="82">
        <f t="shared" si="16"/>
        <v>40</v>
      </c>
    </row>
    <row r="32" spans="1:38">
      <c r="A32" s="59">
        <v>18</v>
      </c>
      <c r="B32" s="59">
        <v>17</v>
      </c>
      <c r="C32" s="91" t="str">
        <f t="shared" si="1"/>
        <v>Star Tours</v>
      </c>
      <c r="D32" s="96">
        <f t="shared" si="5"/>
        <v>4.684761894464741E-2</v>
      </c>
      <c r="E32" s="93">
        <f t="shared" si="6"/>
        <v>4.684761894464741E-2</v>
      </c>
      <c r="F32" s="86">
        <f t="shared" si="2"/>
        <v>6.4220183486238536E-2</v>
      </c>
      <c r="G32" s="83">
        <f t="shared" si="7"/>
        <v>170.59544177993732</v>
      </c>
      <c r="H32" s="79">
        <f t="shared" si="3"/>
        <v>35</v>
      </c>
      <c r="I32" s="139">
        <v>1</v>
      </c>
      <c r="J32" s="8">
        <v>1</v>
      </c>
      <c r="K32" s="39">
        <v>18</v>
      </c>
      <c r="L32" s="154">
        <f>VLOOKUP(C32,coord!B:D,2,0)</f>
        <v>33.811883000000002</v>
      </c>
      <c r="M32" s="154">
        <f>VLOOKUP(C32,coord!B:D,3,0)</f>
        <v>-117.91792</v>
      </c>
      <c r="T32" s="59">
        <v>18</v>
      </c>
      <c r="U32" s="82">
        <f t="shared" ref="U32:AK32" si="17">U13*U$20</f>
        <v>60</v>
      </c>
      <c r="V32" s="82">
        <f t="shared" si="17"/>
        <v>25</v>
      </c>
      <c r="W32" s="82">
        <f t="shared" si="17"/>
        <v>10</v>
      </c>
      <c r="X32" s="82">
        <f t="shared" si="17"/>
        <v>60</v>
      </c>
      <c r="Y32" s="82">
        <f t="shared" si="17"/>
        <v>40</v>
      </c>
      <c r="Z32" s="82">
        <f t="shared" si="17"/>
        <v>30.000000000000004</v>
      </c>
      <c r="AA32" s="82">
        <f t="shared" si="17"/>
        <v>15</v>
      </c>
      <c r="AB32" s="82">
        <f t="shared" si="17"/>
        <v>20</v>
      </c>
      <c r="AC32" s="82">
        <f t="shared" si="17"/>
        <v>60</v>
      </c>
      <c r="AD32" s="82">
        <f t="shared" si="17"/>
        <v>40</v>
      </c>
      <c r="AE32" s="82">
        <f t="shared" si="17"/>
        <v>35</v>
      </c>
      <c r="AF32" s="82">
        <f t="shared" si="17"/>
        <v>40</v>
      </c>
      <c r="AG32" s="82">
        <f t="shared" si="17"/>
        <v>30</v>
      </c>
      <c r="AH32" s="82">
        <f t="shared" si="17"/>
        <v>25</v>
      </c>
      <c r="AI32" s="82">
        <f t="shared" si="17"/>
        <v>25</v>
      </c>
      <c r="AJ32" s="82">
        <f t="shared" si="17"/>
        <v>80</v>
      </c>
      <c r="AK32" s="82">
        <f t="shared" si="17"/>
        <v>35</v>
      </c>
    </row>
    <row r="33" spans="1:37">
      <c r="A33" s="59">
        <v>19</v>
      </c>
      <c r="B33" s="59">
        <v>15</v>
      </c>
      <c r="C33" s="89" t="str">
        <f t="shared" si="1"/>
        <v>Buzz Lightyear</v>
      </c>
      <c r="D33" s="94">
        <f t="shared" si="5"/>
        <v>9.6058656335458042E-3</v>
      </c>
      <c r="E33" s="83">
        <f t="shared" si="6"/>
        <v>9.6058656335458042E-3</v>
      </c>
      <c r="F33" s="78">
        <f t="shared" si="2"/>
        <v>5.4054054054054057E-2</v>
      </c>
      <c r="G33" s="83">
        <f t="shared" si="7"/>
        <v>32.923290655312897</v>
      </c>
      <c r="H33" s="79">
        <f t="shared" si="3"/>
        <v>20</v>
      </c>
      <c r="I33" s="139">
        <v>1</v>
      </c>
      <c r="J33" s="8">
        <v>1</v>
      </c>
      <c r="K33" s="39">
        <v>19</v>
      </c>
      <c r="L33" s="154">
        <f>VLOOKUP(C33,coord!B:D,2,0)</f>
        <v>33.812175000000003</v>
      </c>
      <c r="M33" s="154">
        <f>VLOOKUP(C33,coord!B:D,3,0)</f>
        <v>-117.917979</v>
      </c>
      <c r="T33" s="59">
        <v>19</v>
      </c>
      <c r="U33" s="82">
        <f t="shared" ref="U33:AK33" si="18">U14*U$20</f>
        <v>60</v>
      </c>
      <c r="V33" s="82">
        <f t="shared" si="18"/>
        <v>25</v>
      </c>
      <c r="W33" s="82">
        <f t="shared" si="18"/>
        <v>10</v>
      </c>
      <c r="X33" s="82">
        <f t="shared" si="18"/>
        <v>50</v>
      </c>
      <c r="Y33" s="82">
        <f t="shared" si="18"/>
        <v>40</v>
      </c>
      <c r="Z33" s="82">
        <f t="shared" si="18"/>
        <v>30.000000000000004</v>
      </c>
      <c r="AA33" s="82">
        <f t="shared" si="18"/>
        <v>15</v>
      </c>
      <c r="AB33" s="82">
        <f t="shared" si="18"/>
        <v>20</v>
      </c>
      <c r="AC33" s="82">
        <f t="shared" si="18"/>
        <v>60</v>
      </c>
      <c r="AD33" s="82">
        <f t="shared" si="18"/>
        <v>45</v>
      </c>
      <c r="AE33" s="82">
        <f t="shared" si="18"/>
        <v>30</v>
      </c>
      <c r="AF33" s="82">
        <f t="shared" si="18"/>
        <v>35</v>
      </c>
      <c r="AG33" s="82">
        <f t="shared" si="18"/>
        <v>25</v>
      </c>
      <c r="AH33" s="82">
        <f t="shared" si="18"/>
        <v>20</v>
      </c>
      <c r="AI33" s="82">
        <f t="shared" si="18"/>
        <v>20</v>
      </c>
      <c r="AJ33" s="82">
        <f t="shared" si="18"/>
        <v>70</v>
      </c>
      <c r="AK33" s="82">
        <f t="shared" si="18"/>
        <v>30</v>
      </c>
    </row>
    <row r="34" spans="1:37">
      <c r="A34" s="59">
        <v>20</v>
      </c>
      <c r="B34" s="59">
        <v>7</v>
      </c>
      <c r="C34" s="89" t="str">
        <f t="shared" si="1"/>
        <v>Small World</v>
      </c>
      <c r="D34" s="94">
        <f t="shared" si="5"/>
        <v>5.6781722241748413E-2</v>
      </c>
      <c r="E34" s="83">
        <f t="shared" si="6"/>
        <v>5.6781722241748413E-2</v>
      </c>
      <c r="F34" s="78">
        <f t="shared" si="2"/>
        <v>4.3478260869565216E-2</v>
      </c>
      <c r="G34" s="83">
        <f t="shared" si="7"/>
        <v>266.95448741353545</v>
      </c>
      <c r="H34" s="79">
        <f t="shared" si="3"/>
        <v>10</v>
      </c>
      <c r="I34" s="139">
        <v>1</v>
      </c>
      <c r="J34" s="8">
        <v>1</v>
      </c>
      <c r="K34" s="39">
        <v>20</v>
      </c>
      <c r="L34" s="154">
        <f>VLOOKUP(C34,coord!B:D,2,0)</f>
        <v>33.814573000000003</v>
      </c>
      <c r="M34" s="154">
        <f>VLOOKUP(C34,coord!B:D,3,0)</f>
        <v>-117.91784</v>
      </c>
      <c r="T34" s="59">
        <v>20</v>
      </c>
      <c r="U34" s="82">
        <f t="shared" ref="U34:AK34" si="19">U15*U$20</f>
        <v>45</v>
      </c>
      <c r="V34" s="82">
        <f t="shared" si="19"/>
        <v>15</v>
      </c>
      <c r="W34" s="82">
        <f t="shared" si="19"/>
        <v>10</v>
      </c>
      <c r="X34" s="82">
        <f t="shared" si="19"/>
        <v>35</v>
      </c>
      <c r="Y34" s="82">
        <f t="shared" si="19"/>
        <v>35</v>
      </c>
      <c r="Z34" s="82">
        <f t="shared" si="19"/>
        <v>30.000000000000004</v>
      </c>
      <c r="AA34" s="82">
        <f t="shared" si="19"/>
        <v>10</v>
      </c>
      <c r="AB34" s="82">
        <f t="shared" si="19"/>
        <v>45</v>
      </c>
      <c r="AC34" s="82">
        <f t="shared" si="19"/>
        <v>45</v>
      </c>
      <c r="AD34" s="82">
        <f t="shared" si="19"/>
        <v>45</v>
      </c>
      <c r="AE34" s="82">
        <f t="shared" si="19"/>
        <v>25</v>
      </c>
      <c r="AF34" s="82">
        <f t="shared" si="19"/>
        <v>30</v>
      </c>
      <c r="AG34" s="82">
        <f t="shared" si="19"/>
        <v>20</v>
      </c>
      <c r="AH34" s="82">
        <f t="shared" si="19"/>
        <v>15</v>
      </c>
      <c r="AI34" s="82">
        <f t="shared" si="19"/>
        <v>20</v>
      </c>
      <c r="AJ34" s="82">
        <f t="shared" si="19"/>
        <v>65</v>
      </c>
      <c r="AK34" s="82">
        <f t="shared" si="19"/>
        <v>25</v>
      </c>
    </row>
    <row r="35" spans="1:37">
      <c r="A35" s="59">
        <v>21</v>
      </c>
      <c r="B35" s="59">
        <v>14</v>
      </c>
      <c r="C35" s="89" t="str">
        <f t="shared" si="1"/>
        <v>Pirates</v>
      </c>
      <c r="D35" s="94">
        <f t="shared" si="5"/>
        <v>0.10771118170244345</v>
      </c>
      <c r="E35" s="83">
        <f t="shared" si="6"/>
        <v>0.10771118170244345</v>
      </c>
      <c r="F35" s="78">
        <f t="shared" si="2"/>
        <v>2.6315789473684209E-2</v>
      </c>
      <c r="G35" s="83">
        <f t="shared" si="7"/>
        <v>454.60608976349624</v>
      </c>
      <c r="H35" s="79">
        <f t="shared" si="3"/>
        <v>10</v>
      </c>
      <c r="I35" s="139">
        <v>1</v>
      </c>
      <c r="J35" s="8">
        <v>1</v>
      </c>
      <c r="K35" s="39">
        <v>21</v>
      </c>
      <c r="L35" s="154">
        <f>VLOOKUP(C35,coord!B:D,2,0)</f>
        <v>33.811318999999997</v>
      </c>
      <c r="M35" s="154">
        <f>VLOOKUP(C35,coord!B:D,3,0)</f>
        <v>-117.92081899999999</v>
      </c>
      <c r="T35" s="59">
        <v>21</v>
      </c>
      <c r="U35" s="82">
        <f t="shared" ref="U35:AK35" si="20">U16*U$20</f>
        <v>40</v>
      </c>
      <c r="V35" s="82">
        <f t="shared" si="20"/>
        <v>10</v>
      </c>
      <c r="W35" s="82">
        <f t="shared" si="20"/>
        <v>10</v>
      </c>
      <c r="X35" s="82">
        <f t="shared" si="20"/>
        <v>25</v>
      </c>
      <c r="Y35" s="82">
        <f t="shared" si="20"/>
        <v>30</v>
      </c>
      <c r="Z35" s="82">
        <f t="shared" si="20"/>
        <v>25</v>
      </c>
      <c r="AA35" s="82">
        <f t="shared" si="20"/>
        <v>10</v>
      </c>
      <c r="AB35" s="82">
        <f t="shared" si="20"/>
        <v>15</v>
      </c>
      <c r="AC35" s="82">
        <f t="shared" si="20"/>
        <v>35</v>
      </c>
      <c r="AD35" s="82">
        <f t="shared" si="20"/>
        <v>40</v>
      </c>
      <c r="AE35" s="82">
        <f t="shared" si="20"/>
        <v>20</v>
      </c>
      <c r="AF35" s="82">
        <f t="shared" si="20"/>
        <v>25</v>
      </c>
      <c r="AG35" s="82">
        <f t="shared" si="20"/>
        <v>15</v>
      </c>
      <c r="AH35" s="82">
        <f t="shared" si="20"/>
        <v>10</v>
      </c>
      <c r="AI35" s="82">
        <f t="shared" si="20"/>
        <v>15</v>
      </c>
      <c r="AJ35" s="82">
        <f t="shared" si="20"/>
        <v>59.999999999999993</v>
      </c>
      <c r="AK35" s="82">
        <f t="shared" si="20"/>
        <v>20</v>
      </c>
    </row>
    <row r="36" spans="1:37">
      <c r="A36" s="59">
        <v>22</v>
      </c>
      <c r="B36" s="59">
        <v>2</v>
      </c>
      <c r="C36" s="89" t="str">
        <f t="shared" si="1"/>
        <v>Jungle Cruise</v>
      </c>
      <c r="D36" s="94">
        <f t="shared" si="5"/>
        <v>2.1857505644037514E-2</v>
      </c>
      <c r="E36" s="83">
        <f t="shared" si="6"/>
        <v>2.1857505644037514E-2</v>
      </c>
      <c r="F36" s="78">
        <f t="shared" si="2"/>
        <v>1.9607843137254902E-2</v>
      </c>
      <c r="G36" s="83">
        <f t="shared" si="7"/>
        <v>79.03822260954027</v>
      </c>
      <c r="H36" s="79">
        <f t="shared" si="3"/>
        <v>5</v>
      </c>
      <c r="I36" s="139">
        <v>1</v>
      </c>
      <c r="J36" s="8">
        <v>1</v>
      </c>
      <c r="K36" s="39">
        <v>22</v>
      </c>
      <c r="L36" s="154">
        <f>VLOOKUP(C36,coord!B:D,2,0)</f>
        <v>33.811466000000003</v>
      </c>
      <c r="M36" s="154">
        <f>VLOOKUP(C36,coord!B:D,3,0)</f>
        <v>-117.919982</v>
      </c>
      <c r="T36" s="59">
        <v>22</v>
      </c>
      <c r="U36" s="82">
        <f t="shared" ref="U36:AK36" si="21">U17*U$20</f>
        <v>35</v>
      </c>
      <c r="V36" s="82">
        <f t="shared" si="21"/>
        <v>5</v>
      </c>
      <c r="W36" s="82">
        <f t="shared" si="21"/>
        <v>10</v>
      </c>
      <c r="X36" s="82">
        <f t="shared" si="21"/>
        <v>15</v>
      </c>
      <c r="Y36" s="82">
        <f t="shared" si="21"/>
        <v>30</v>
      </c>
      <c r="Z36" s="82">
        <f t="shared" si="21"/>
        <v>25</v>
      </c>
      <c r="AA36" s="82">
        <f t="shared" si="21"/>
        <v>10</v>
      </c>
      <c r="AB36" s="82">
        <f t="shared" si="21"/>
        <v>15</v>
      </c>
      <c r="AC36" s="82">
        <f t="shared" si="21"/>
        <v>30</v>
      </c>
      <c r="AD36" s="82">
        <f t="shared" si="21"/>
        <v>40</v>
      </c>
      <c r="AE36" s="82">
        <f t="shared" si="21"/>
        <v>15</v>
      </c>
      <c r="AF36" s="82">
        <f t="shared" si="21"/>
        <v>20</v>
      </c>
      <c r="AG36" s="82">
        <f t="shared" si="21"/>
        <v>15</v>
      </c>
      <c r="AH36" s="82">
        <f t="shared" si="21"/>
        <v>10</v>
      </c>
      <c r="AI36" s="82">
        <f t="shared" si="21"/>
        <v>15</v>
      </c>
      <c r="AJ36" s="82">
        <f t="shared" si="21"/>
        <v>35</v>
      </c>
      <c r="AK36" s="82">
        <f t="shared" si="21"/>
        <v>20</v>
      </c>
    </row>
    <row r="37" spans="1:37">
      <c r="A37" s="59">
        <v>23</v>
      </c>
      <c r="B37" s="59">
        <v>12</v>
      </c>
      <c r="C37" s="89" t="str">
        <f t="shared" si="1"/>
        <v>Toon Spin</v>
      </c>
      <c r="D37" s="94">
        <f t="shared" si="5"/>
        <v>8.1881962218171789E-2</v>
      </c>
      <c r="E37" s="83">
        <f t="shared" si="6"/>
        <v>8.1881962218171789E-2</v>
      </c>
      <c r="F37" s="78">
        <f t="shared" si="2"/>
        <v>2.3529411764705882E-2</v>
      </c>
      <c r="G37" s="83">
        <f t="shared" si="7"/>
        <v>456.11462948302591</v>
      </c>
      <c r="H37" s="79">
        <f t="shared" si="3"/>
        <v>10</v>
      </c>
      <c r="I37" s="139">
        <v>1</v>
      </c>
      <c r="J37" s="8">
        <v>1</v>
      </c>
      <c r="K37" s="39">
        <v>23</v>
      </c>
      <c r="L37" s="154">
        <f>VLOOKUP(C37,coord!B:D,2,0)</f>
        <v>33.815263999999999</v>
      </c>
      <c r="M37" s="154">
        <f>VLOOKUP(C37,coord!B:D,3,0)</f>
        <v>-117.918117</v>
      </c>
      <c r="T37" s="59">
        <v>23</v>
      </c>
      <c r="U37" s="82">
        <f t="shared" ref="U37:AK38" si="22">U18*U$20</f>
        <v>20</v>
      </c>
      <c r="V37" s="82">
        <f t="shared" si="22"/>
        <v>5</v>
      </c>
      <c r="W37" s="82">
        <f t="shared" si="22"/>
        <v>10</v>
      </c>
      <c r="X37" s="82">
        <f t="shared" si="22"/>
        <v>10.000000000000002</v>
      </c>
      <c r="Y37" s="82">
        <f t="shared" si="22"/>
        <v>20</v>
      </c>
      <c r="Z37" s="82">
        <f t="shared" si="22"/>
        <v>15.000000000000002</v>
      </c>
      <c r="AA37" s="82">
        <f t="shared" si="22"/>
        <v>10</v>
      </c>
      <c r="AB37" s="82">
        <f t="shared" si="22"/>
        <v>10</v>
      </c>
      <c r="AC37" s="82">
        <f t="shared" si="22"/>
        <v>30</v>
      </c>
      <c r="AD37" s="82">
        <f t="shared" si="22"/>
        <v>35</v>
      </c>
      <c r="AE37" s="82">
        <f t="shared" si="22"/>
        <v>15</v>
      </c>
      <c r="AF37" s="82">
        <f t="shared" si="22"/>
        <v>10</v>
      </c>
      <c r="AG37" s="82">
        <f t="shared" si="22"/>
        <v>10</v>
      </c>
      <c r="AH37" s="82">
        <f t="shared" si="22"/>
        <v>10</v>
      </c>
      <c r="AI37" s="82">
        <f t="shared" si="22"/>
        <v>10</v>
      </c>
      <c r="AJ37" s="82">
        <f t="shared" si="22"/>
        <v>35</v>
      </c>
      <c r="AK37" s="82">
        <f t="shared" si="22"/>
        <v>20</v>
      </c>
    </row>
    <row r="38" spans="1:37" ht="15" thickBot="1">
      <c r="A38" s="60">
        <v>24</v>
      </c>
      <c r="B38" s="60">
        <v>13</v>
      </c>
      <c r="C38" s="156" t="str">
        <f t="shared" si="1"/>
        <v>Haunted Mansion</v>
      </c>
      <c r="D38" s="97">
        <f t="shared" si="5"/>
        <v>0.10320279985749732</v>
      </c>
      <c r="E38" s="105">
        <f t="shared" si="6"/>
        <v>0.10320279985749732</v>
      </c>
      <c r="F38" s="80">
        <f t="shared" si="2"/>
        <v>1.2345679012345678E-2</v>
      </c>
      <c r="G38" s="105">
        <f t="shared" si="7"/>
        <v>539.93396275766452</v>
      </c>
      <c r="H38" s="81">
        <f t="shared" si="3"/>
        <v>5</v>
      </c>
      <c r="I38" s="157">
        <v>1</v>
      </c>
      <c r="J38" s="16">
        <v>1</v>
      </c>
      <c r="K38" s="147">
        <v>24</v>
      </c>
      <c r="L38" s="158">
        <f>VLOOKUP(C38,coord!B:D,2,0)</f>
        <v>33.811723000000001</v>
      </c>
      <c r="M38" s="158">
        <f>VLOOKUP(C38,coord!B:D,3,0)</f>
        <v>-117.922116</v>
      </c>
      <c r="T38" s="60">
        <v>24</v>
      </c>
      <c r="U38" s="82">
        <f t="shared" si="22"/>
        <v>20</v>
      </c>
      <c r="V38" s="82">
        <f t="shared" si="22"/>
        <v>5</v>
      </c>
      <c r="W38" s="82">
        <f t="shared" si="22"/>
        <v>5</v>
      </c>
      <c r="X38" s="82">
        <f t="shared" si="22"/>
        <v>10.000000000000002</v>
      </c>
      <c r="Y38" s="82">
        <f t="shared" si="22"/>
        <v>20</v>
      </c>
      <c r="Z38" s="82">
        <f t="shared" si="22"/>
        <v>15.000000000000002</v>
      </c>
      <c r="AA38" s="82">
        <f t="shared" si="22"/>
        <v>10</v>
      </c>
      <c r="AB38" s="82">
        <f t="shared" si="22"/>
        <v>10</v>
      </c>
      <c r="AC38" s="82">
        <f t="shared" si="22"/>
        <v>30</v>
      </c>
      <c r="AD38" s="82">
        <f t="shared" si="22"/>
        <v>35</v>
      </c>
      <c r="AE38" s="82">
        <f t="shared" si="22"/>
        <v>15</v>
      </c>
      <c r="AF38" s="82">
        <f t="shared" si="22"/>
        <v>5</v>
      </c>
      <c r="AG38" s="82">
        <f t="shared" si="22"/>
        <v>5</v>
      </c>
      <c r="AH38" s="82">
        <f t="shared" si="22"/>
        <v>10</v>
      </c>
      <c r="AI38" s="82">
        <f t="shared" si="22"/>
        <v>10</v>
      </c>
      <c r="AJ38" s="82">
        <f t="shared" si="22"/>
        <v>29.999999999999996</v>
      </c>
      <c r="AK38" s="82">
        <f t="shared" si="22"/>
        <v>15</v>
      </c>
    </row>
    <row r="39" spans="1:37" ht="15">
      <c r="A39" s="12"/>
      <c r="B39" s="8"/>
      <c r="C39" s="8"/>
      <c r="D39" s="94">
        <f>SUM(D22:D38)</f>
        <v>1.0865946950062015</v>
      </c>
      <c r="E39" s="8"/>
      <c r="F39" s="78">
        <f>SUM(F22:F38)</f>
        <v>0.68004962346556108</v>
      </c>
      <c r="G39" s="87">
        <f>SUM(G23:G38)</f>
        <v>4431.38511370163</v>
      </c>
      <c r="H39" s="88">
        <f>SUM(H22:H38)</f>
        <v>330</v>
      </c>
      <c r="K39" s="82">
        <f>D39-SUM(D29:D32)</f>
        <v>0.82724497076090286</v>
      </c>
      <c r="L39" s="66" t="s">
        <v>31</v>
      </c>
      <c r="U39" s="54">
        <v>1</v>
      </c>
      <c r="V39" s="54">
        <v>2</v>
      </c>
      <c r="W39" s="54">
        <v>3</v>
      </c>
      <c r="X39" s="54">
        <v>4</v>
      </c>
      <c r="Y39" s="54">
        <v>5</v>
      </c>
      <c r="Z39" s="54">
        <v>6</v>
      </c>
      <c r="AA39" s="54">
        <v>7</v>
      </c>
      <c r="AB39" s="54">
        <v>8</v>
      </c>
      <c r="AC39" s="54">
        <v>9</v>
      </c>
      <c r="AD39" s="54">
        <v>10</v>
      </c>
      <c r="AE39" s="54">
        <v>11</v>
      </c>
      <c r="AF39" s="54">
        <v>12</v>
      </c>
      <c r="AG39" s="54">
        <v>13</v>
      </c>
      <c r="AH39" s="54">
        <v>14</v>
      </c>
      <c r="AI39" s="54">
        <v>15</v>
      </c>
      <c r="AJ39" s="54">
        <v>16</v>
      </c>
      <c r="AK39" s="55">
        <v>17</v>
      </c>
    </row>
    <row r="40" spans="1:37">
      <c r="A40" s="12"/>
      <c r="B40" s="61" t="s">
        <v>3</v>
      </c>
      <c r="C40" s="8"/>
      <c r="D40" s="71">
        <v>0</v>
      </c>
      <c r="E40" s="8"/>
      <c r="F40" s="71">
        <v>1</v>
      </c>
      <c r="G40" s="8"/>
      <c r="H40" s="14"/>
      <c r="K40" s="82">
        <f>F39-SUM(F29:F32)</f>
        <v>0.42870991260775659</v>
      </c>
      <c r="L40" s="66" t="s">
        <v>32</v>
      </c>
      <c r="T40" s="59">
        <v>1</v>
      </c>
      <c r="U40" s="82">
        <f>B3*B$20</f>
        <v>0</v>
      </c>
      <c r="V40" s="82">
        <f t="shared" ref="V40:AK55" si="23">C3*C$20</f>
        <v>35.41571747416252</v>
      </c>
      <c r="W40" s="82">
        <f t="shared" si="23"/>
        <v>75.235308449802986</v>
      </c>
      <c r="X40" s="82">
        <f t="shared" si="23"/>
        <v>243.12415046854719</v>
      </c>
      <c r="Y40" s="82">
        <f t="shared" si="23"/>
        <v>285.38608101250298</v>
      </c>
      <c r="Z40" s="82">
        <f t="shared" si="23"/>
        <v>289.17855867575389</v>
      </c>
      <c r="AA40" s="82">
        <f t="shared" si="23"/>
        <v>422.239931684601</v>
      </c>
      <c r="AB40" s="82">
        <f t="shared" si="23"/>
        <v>299.18469658294089</v>
      </c>
      <c r="AC40" s="82">
        <f t="shared" si="23"/>
        <v>294.34674965435448</v>
      </c>
      <c r="AD40" s="82">
        <f t="shared" si="23"/>
        <v>243.58872607986009</v>
      </c>
      <c r="AE40" s="82">
        <f t="shared" si="23"/>
        <v>203.00393542072791</v>
      </c>
      <c r="AF40" s="82">
        <f t="shared" si="23"/>
        <v>476.53795812918798</v>
      </c>
      <c r="AG40" s="82">
        <f t="shared" si="23"/>
        <v>166.24766329420825</v>
      </c>
      <c r="AH40" s="82">
        <f t="shared" si="23"/>
        <v>43.627434418712667</v>
      </c>
      <c r="AI40" s="82">
        <f t="shared" si="23"/>
        <v>235.9205617282789</v>
      </c>
      <c r="AJ40" s="82">
        <f t="shared" si="23"/>
        <v>285.48610254472004</v>
      </c>
      <c r="AK40" s="82">
        <f t="shared" si="23"/>
        <v>231.45532036128384</v>
      </c>
    </row>
    <row r="41" spans="1:37">
      <c r="A41" s="12"/>
      <c r="B41" s="8"/>
      <c r="C41" s="8"/>
      <c r="D41" s="8"/>
      <c r="E41" s="8"/>
      <c r="F41" s="8"/>
      <c r="G41" s="8"/>
      <c r="H41" s="14"/>
      <c r="T41" s="59">
        <v>2</v>
      </c>
      <c r="U41" s="82">
        <f t="shared" ref="U41:AJ56" si="24">B4*B$20</f>
        <v>35.41571747416252</v>
      </c>
      <c r="V41" s="82">
        <f t="shared" si="23"/>
        <v>0</v>
      </c>
      <c r="W41" s="82">
        <f t="shared" si="23"/>
        <v>44.436335182955069</v>
      </c>
      <c r="X41" s="82">
        <f t="shared" si="23"/>
        <v>273.1282170184997</v>
      </c>
      <c r="Y41" s="82">
        <f t="shared" si="23"/>
        <v>257.94215654492939</v>
      </c>
      <c r="Z41" s="82">
        <f t="shared" si="23"/>
        <v>268.18432904191525</v>
      </c>
      <c r="AA41" s="82">
        <f t="shared" si="23"/>
        <v>398.14575455830294</v>
      </c>
      <c r="AB41" s="82">
        <f t="shared" si="23"/>
        <v>273.11509923526529</v>
      </c>
      <c r="AC41" s="82">
        <f t="shared" si="23"/>
        <v>263.58393767409399</v>
      </c>
      <c r="AD41" s="82">
        <f t="shared" si="23"/>
        <v>219.53121870866025</v>
      </c>
      <c r="AE41" s="82">
        <f t="shared" si="23"/>
        <v>200.11373184634655</v>
      </c>
      <c r="AF41" s="82">
        <f t="shared" si="23"/>
        <v>456.11462948302591</v>
      </c>
      <c r="AG41" s="82">
        <f t="shared" si="23"/>
        <v>199.21786127021554</v>
      </c>
      <c r="AH41" s="82">
        <f t="shared" si="23"/>
        <v>79.03822260954027</v>
      </c>
      <c r="AI41" s="82">
        <f t="shared" si="23"/>
        <v>201.14756751767686</v>
      </c>
      <c r="AJ41" s="82">
        <f t="shared" si="23"/>
        <v>250.88589035856424</v>
      </c>
      <c r="AK41" s="82">
        <f t="shared" si="23"/>
        <v>196.0671434542468</v>
      </c>
    </row>
    <row r="42" spans="1:37" ht="15" thickBot="1">
      <c r="A42" s="41"/>
      <c r="B42" s="16"/>
      <c r="C42" s="97">
        <f>D39*D40</f>
        <v>0</v>
      </c>
      <c r="D42" s="16"/>
      <c r="E42" s="80">
        <f>F39*F40</f>
        <v>0.68004962346556108</v>
      </c>
      <c r="F42" s="16"/>
      <c r="G42" s="64" t="s">
        <v>8</v>
      </c>
      <c r="H42" s="98">
        <f>E42+C42</f>
        <v>0.68004962346556108</v>
      </c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59">
        <v>3</v>
      </c>
      <c r="U42" s="82">
        <f t="shared" si="24"/>
        <v>75.235308449802986</v>
      </c>
      <c r="V42" s="82">
        <f t="shared" si="23"/>
        <v>44.436335182955069</v>
      </c>
      <c r="W42" s="82">
        <f t="shared" si="23"/>
        <v>0</v>
      </c>
      <c r="X42" s="82">
        <f t="shared" si="23"/>
        <v>291.68873208474383</v>
      </c>
      <c r="Y42" s="82">
        <f t="shared" si="23"/>
        <v>213.54567105456343</v>
      </c>
      <c r="Z42" s="82">
        <f t="shared" si="23"/>
        <v>226.12164826396045</v>
      </c>
      <c r="AA42" s="82">
        <f t="shared" si="23"/>
        <v>354.40223799523591</v>
      </c>
      <c r="AB42" s="82">
        <f t="shared" si="23"/>
        <v>228.93534948956807</v>
      </c>
      <c r="AC42" s="82">
        <f t="shared" si="23"/>
        <v>219.64957303895184</v>
      </c>
      <c r="AD42" s="82">
        <f t="shared" si="23"/>
        <v>176.13361760590169</v>
      </c>
      <c r="AE42" s="82">
        <f t="shared" si="23"/>
        <v>175.53810902631469</v>
      </c>
      <c r="AF42" s="82">
        <f t="shared" si="23"/>
        <v>413.86441663557724</v>
      </c>
      <c r="AG42" s="82">
        <f t="shared" si="23"/>
        <v>225.40989687633373</v>
      </c>
      <c r="AH42" s="82">
        <f t="shared" si="23"/>
        <v>117.05948454950837</v>
      </c>
      <c r="AI42" s="82">
        <f t="shared" si="23"/>
        <v>163.05880626550467</v>
      </c>
      <c r="AJ42" s="82">
        <f t="shared" si="23"/>
        <v>226.64433982944462</v>
      </c>
      <c r="AK42" s="82">
        <f t="shared" si="23"/>
        <v>162.77018054803818</v>
      </c>
    </row>
    <row r="43" spans="1:37">
      <c r="T43" s="59">
        <v>4</v>
      </c>
      <c r="U43" s="82">
        <f t="shared" si="24"/>
        <v>243.12415046854719</v>
      </c>
      <c r="V43" s="82">
        <f t="shared" si="23"/>
        <v>273.1282170184997</v>
      </c>
      <c r="W43" s="82">
        <f t="shared" si="23"/>
        <v>291.68873208474383</v>
      </c>
      <c r="X43" s="82">
        <f t="shared" si="23"/>
        <v>0</v>
      </c>
      <c r="Y43" s="82">
        <f t="shared" si="23"/>
        <v>430.58523917795372</v>
      </c>
      <c r="Z43" s="82">
        <f t="shared" si="23"/>
        <v>393.65678799828754</v>
      </c>
      <c r="AA43" s="82">
        <f t="shared" si="23"/>
        <v>523.92586826058493</v>
      </c>
      <c r="AB43" s="82">
        <f t="shared" si="23"/>
        <v>433.02117322658592</v>
      </c>
      <c r="AC43" s="82">
        <f t="shared" si="23"/>
        <v>460.99990848306385</v>
      </c>
      <c r="AD43" s="82">
        <f t="shared" si="23"/>
        <v>377.39239285121079</v>
      </c>
      <c r="AE43" s="82">
        <f t="shared" si="23"/>
        <v>243.50268764516562</v>
      </c>
      <c r="AF43" s="82">
        <f t="shared" si="23"/>
        <v>545.19424297983869</v>
      </c>
      <c r="AG43" s="82">
        <f t="shared" si="23"/>
        <v>85.530866119049492</v>
      </c>
      <c r="AH43" s="82">
        <f t="shared" si="23"/>
        <v>209.16282830150311</v>
      </c>
      <c r="AI43" s="82">
        <f t="shared" si="23"/>
        <v>443.65343531531391</v>
      </c>
      <c r="AJ43" s="82">
        <f t="shared" si="23"/>
        <v>518.33181927135797</v>
      </c>
      <c r="AK43" s="82">
        <f t="shared" si="23"/>
        <v>450.94909994727891</v>
      </c>
    </row>
    <row r="44" spans="1:37">
      <c r="T44" s="59">
        <v>5</v>
      </c>
      <c r="U44" s="82">
        <f t="shared" si="24"/>
        <v>285.38608101250298</v>
      </c>
      <c r="V44" s="82">
        <f t="shared" si="23"/>
        <v>257.94215654492939</v>
      </c>
      <c r="W44" s="82">
        <f t="shared" si="23"/>
        <v>213.54567105456346</v>
      </c>
      <c r="X44" s="82">
        <f t="shared" si="23"/>
        <v>430.58523917795367</v>
      </c>
      <c r="Y44" s="82">
        <f t="shared" si="23"/>
        <v>0</v>
      </c>
      <c r="Z44" s="82">
        <f t="shared" si="23"/>
        <v>69.455125502039664</v>
      </c>
      <c r="AA44" s="82">
        <f t="shared" si="23"/>
        <v>146.08932876096961</v>
      </c>
      <c r="AB44" s="82">
        <f t="shared" si="23"/>
        <v>21.968778976333269</v>
      </c>
      <c r="AC44" s="82">
        <f t="shared" si="23"/>
        <v>46.120406617537434</v>
      </c>
      <c r="AD44" s="82">
        <f t="shared" si="23"/>
        <v>53.25280228115453</v>
      </c>
      <c r="AE44" s="82">
        <f t="shared" si="23"/>
        <v>196.18586926043142</v>
      </c>
      <c r="AF44" s="82">
        <f t="shared" si="23"/>
        <v>217.34893875517614</v>
      </c>
      <c r="AG44" s="82">
        <f t="shared" si="23"/>
        <v>394.82939421009377</v>
      </c>
      <c r="AH44" s="82">
        <f t="shared" si="23"/>
        <v>321.85836784012554</v>
      </c>
      <c r="AI44" s="82">
        <f t="shared" si="23"/>
        <v>130.10141514607648</v>
      </c>
      <c r="AJ44" s="82">
        <f t="shared" si="23"/>
        <v>234.1745320258795</v>
      </c>
      <c r="AK44" s="82">
        <f t="shared" si="23"/>
        <v>162.97627457082967</v>
      </c>
    </row>
    <row r="45" spans="1:37">
      <c r="C45" s="66" t="s">
        <v>64</v>
      </c>
      <c r="G45" s="82">
        <f>G39*3</f>
        <v>13294.15534110489</v>
      </c>
      <c r="T45" s="59">
        <v>6</v>
      </c>
      <c r="U45" s="82">
        <f t="shared" si="24"/>
        <v>289.17855867575389</v>
      </c>
      <c r="V45" s="82">
        <f t="shared" si="23"/>
        <v>268.18432904191525</v>
      </c>
      <c r="W45" s="82">
        <f t="shared" si="23"/>
        <v>226.1216482639604</v>
      </c>
      <c r="X45" s="82">
        <f t="shared" si="23"/>
        <v>393.65678799828754</v>
      </c>
      <c r="Y45" s="82">
        <f t="shared" si="23"/>
        <v>69.455125502039664</v>
      </c>
      <c r="Z45" s="82">
        <f t="shared" si="23"/>
        <v>0</v>
      </c>
      <c r="AA45" s="82">
        <f t="shared" si="23"/>
        <v>137.10365996034804</v>
      </c>
      <c r="AB45" s="82">
        <f t="shared" si="23"/>
        <v>54.816916820998749</v>
      </c>
      <c r="AC45" s="82">
        <f t="shared" si="23"/>
        <v>115.54084629340073</v>
      </c>
      <c r="AD45" s="82">
        <f t="shared" si="23"/>
        <v>55.11594960765737</v>
      </c>
      <c r="AE45" s="82">
        <f t="shared" si="23"/>
        <v>150.6555634966613</v>
      </c>
      <c r="AF45" s="82">
        <f t="shared" si="23"/>
        <v>187.93059434003794</v>
      </c>
      <c r="AG45" s="82">
        <f t="shared" si="23"/>
        <v>370.49370442246158</v>
      </c>
      <c r="AH45" s="82">
        <f t="shared" si="23"/>
        <v>319.2524065418915</v>
      </c>
      <c r="AI45" s="82">
        <f t="shared" si="23"/>
        <v>189.22843379725697</v>
      </c>
      <c r="AJ45" s="82">
        <f t="shared" si="23"/>
        <v>297.2839405593038</v>
      </c>
      <c r="AK45" s="82">
        <f t="shared" si="23"/>
        <v>220.94920483065883</v>
      </c>
    </row>
    <row r="46" spans="1:37">
      <c r="C46" s="66" t="s">
        <v>65</v>
      </c>
      <c r="G46" s="82">
        <f>G45/5280</f>
        <v>2.5178324509668353</v>
      </c>
      <c r="T46" s="59">
        <v>7</v>
      </c>
      <c r="U46" s="82">
        <f t="shared" si="24"/>
        <v>422.239931684601</v>
      </c>
      <c r="V46" s="82">
        <f t="shared" si="23"/>
        <v>398.14575455830294</v>
      </c>
      <c r="W46" s="82">
        <f t="shared" si="23"/>
        <v>354.40223799523591</v>
      </c>
      <c r="X46" s="82">
        <f t="shared" si="23"/>
        <v>523.92586826058493</v>
      </c>
      <c r="Y46" s="82">
        <f t="shared" si="23"/>
        <v>146.08932876096961</v>
      </c>
      <c r="Z46" s="82">
        <f t="shared" si="23"/>
        <v>137.10365996034804</v>
      </c>
      <c r="AA46" s="82">
        <f t="shared" si="23"/>
        <v>0</v>
      </c>
      <c r="AB46" s="82">
        <f t="shared" si="23"/>
        <v>127.04302098859858</v>
      </c>
      <c r="AC46" s="82">
        <f t="shared" si="23"/>
        <v>166.51786372548233</v>
      </c>
      <c r="AD46" s="82">
        <f t="shared" si="23"/>
        <v>178.79249083232051</v>
      </c>
      <c r="AE46" s="82">
        <f t="shared" si="23"/>
        <v>281.09763747137629</v>
      </c>
      <c r="AF46" s="82">
        <f t="shared" si="23"/>
        <v>80.985227741250185</v>
      </c>
      <c r="AG46" s="82">
        <f t="shared" si="23"/>
        <v>506.4497087106385</v>
      </c>
      <c r="AH46" s="82">
        <f t="shared" si="23"/>
        <v>454.60608976349624</v>
      </c>
      <c r="AI46" s="82">
        <f t="shared" si="23"/>
        <v>266.95448741353545</v>
      </c>
      <c r="AJ46" s="82">
        <f t="shared" si="23"/>
        <v>357.85686355779404</v>
      </c>
      <c r="AK46" s="82">
        <f t="shared" si="23"/>
        <v>299.2056517337632</v>
      </c>
    </row>
    <row r="47" spans="1:37">
      <c r="C47" s="66" t="s">
        <v>66</v>
      </c>
      <c r="G47" s="82">
        <f>H39/60</f>
        <v>5.5</v>
      </c>
      <c r="T47" s="59">
        <v>8</v>
      </c>
      <c r="U47" s="82">
        <f t="shared" si="24"/>
        <v>299.18469658294089</v>
      </c>
      <c r="V47" s="82">
        <f t="shared" si="23"/>
        <v>273.11509923526529</v>
      </c>
      <c r="W47" s="82">
        <f t="shared" si="23"/>
        <v>228.93534948956807</v>
      </c>
      <c r="X47" s="82">
        <f t="shared" si="23"/>
        <v>433.02117322658592</v>
      </c>
      <c r="Y47" s="82">
        <f t="shared" si="23"/>
        <v>21.968778976333269</v>
      </c>
      <c r="Z47" s="82">
        <f t="shared" si="23"/>
        <v>54.816916820998742</v>
      </c>
      <c r="AA47" s="82">
        <f t="shared" si="23"/>
        <v>127.04302098859857</v>
      </c>
      <c r="AB47" s="82">
        <f t="shared" si="23"/>
        <v>0</v>
      </c>
      <c r="AC47" s="82">
        <f t="shared" si="23"/>
        <v>63.794208341811625</v>
      </c>
      <c r="AD47" s="82">
        <f t="shared" si="23"/>
        <v>58.440074323805938</v>
      </c>
      <c r="AE47" s="82">
        <f t="shared" si="23"/>
        <v>194.30568622833704</v>
      </c>
      <c r="AF47" s="82">
        <f t="shared" si="23"/>
        <v>196.24129880676139</v>
      </c>
      <c r="AG47" s="82">
        <f t="shared" si="23"/>
        <v>401.34210495569926</v>
      </c>
      <c r="AH47" s="82">
        <f t="shared" si="23"/>
        <v>334.23445421028055</v>
      </c>
      <c r="AI47" s="82">
        <f t="shared" si="23"/>
        <v>152.05756119461753</v>
      </c>
      <c r="AJ47" s="82">
        <f t="shared" si="23"/>
        <v>255.62654057901639</v>
      </c>
      <c r="AK47" s="82">
        <f t="shared" si="23"/>
        <v>184.93928790034644</v>
      </c>
    </row>
    <row r="48" spans="1:37">
      <c r="C48" s="66" t="s">
        <v>67</v>
      </c>
      <c r="G48" s="82">
        <f>SUM(D29:D32)/D39</f>
        <v>0.2386811986449266</v>
      </c>
      <c r="T48" s="59">
        <v>9</v>
      </c>
      <c r="U48" s="82">
        <f t="shared" si="24"/>
        <v>294.34674965435448</v>
      </c>
      <c r="V48" s="82">
        <f t="shared" si="23"/>
        <v>263.58393767409399</v>
      </c>
      <c r="W48" s="82">
        <f t="shared" si="23"/>
        <v>219.64957303895184</v>
      </c>
      <c r="X48" s="82">
        <f t="shared" si="23"/>
        <v>460.99990848306379</v>
      </c>
      <c r="Y48" s="82">
        <f t="shared" si="23"/>
        <v>46.120406617537434</v>
      </c>
      <c r="Z48" s="82">
        <f t="shared" si="23"/>
        <v>115.54084629340075</v>
      </c>
      <c r="AA48" s="82">
        <f t="shared" si="23"/>
        <v>166.51786372548233</v>
      </c>
      <c r="AB48" s="82">
        <f t="shared" si="23"/>
        <v>63.794208341811625</v>
      </c>
      <c r="AC48" s="82">
        <f t="shared" si="23"/>
        <v>0</v>
      </c>
      <c r="AD48" s="82">
        <f t="shared" si="23"/>
        <v>90.664956666995778</v>
      </c>
      <c r="AE48" s="82">
        <f t="shared" si="23"/>
        <v>234.26543137137057</v>
      </c>
      <c r="AF48" s="82">
        <f t="shared" si="23"/>
        <v>244.21262443256944</v>
      </c>
      <c r="AG48" s="82">
        <f t="shared" si="23"/>
        <v>418.58691675179392</v>
      </c>
      <c r="AH48" s="82">
        <f t="shared" si="23"/>
        <v>333.91043574757589</v>
      </c>
      <c r="AI48" s="82">
        <f t="shared" si="23"/>
        <v>100.53876287995733</v>
      </c>
      <c r="AJ48" s="82">
        <f t="shared" si="23"/>
        <v>196.03012242617947</v>
      </c>
      <c r="AK48" s="82">
        <f t="shared" si="23"/>
        <v>132.68848704068344</v>
      </c>
    </row>
    <row r="49" spans="3:37">
      <c r="C49" s="66" t="s">
        <v>68</v>
      </c>
      <c r="G49" s="82">
        <f>SUM(F29:F32)/F39</f>
        <v>0.36959025074812468</v>
      </c>
      <c r="T49" s="59">
        <v>10</v>
      </c>
      <c r="U49" s="82">
        <f t="shared" si="24"/>
        <v>243.58872607986012</v>
      </c>
      <c r="V49" s="82">
        <f t="shared" si="23"/>
        <v>219.53121870866028</v>
      </c>
      <c r="W49" s="82">
        <f t="shared" si="23"/>
        <v>176.13361760590169</v>
      </c>
      <c r="X49" s="82">
        <f t="shared" si="23"/>
        <v>377.39239285121079</v>
      </c>
      <c r="Y49" s="82">
        <f t="shared" si="23"/>
        <v>53.252802281154523</v>
      </c>
      <c r="Z49" s="82">
        <f t="shared" si="23"/>
        <v>55.115949607657363</v>
      </c>
      <c r="AA49" s="82">
        <f t="shared" si="23"/>
        <v>178.79249083232051</v>
      </c>
      <c r="AB49" s="82">
        <f t="shared" si="23"/>
        <v>58.440074323805938</v>
      </c>
      <c r="AC49" s="82">
        <f t="shared" si="23"/>
        <v>90.664956666995778</v>
      </c>
      <c r="AD49" s="82">
        <f t="shared" si="23"/>
        <v>0</v>
      </c>
      <c r="AE49" s="82">
        <f t="shared" si="23"/>
        <v>144.14840241197871</v>
      </c>
      <c r="AF49" s="82">
        <f t="shared" si="23"/>
        <v>238.93956076898073</v>
      </c>
      <c r="AG49" s="82">
        <f t="shared" si="23"/>
        <v>343.23800472175236</v>
      </c>
      <c r="AH49" s="82">
        <f t="shared" si="23"/>
        <v>277.19471876766289</v>
      </c>
      <c r="AI49" s="82">
        <f t="shared" si="23"/>
        <v>140.34652822183338</v>
      </c>
      <c r="AJ49" s="82">
        <f t="shared" si="23"/>
        <v>249.56439084237218</v>
      </c>
      <c r="AK49" s="82">
        <f t="shared" si="23"/>
        <v>170.59544177993732</v>
      </c>
    </row>
    <row r="50" spans="3:37">
      <c r="T50" s="59">
        <v>11</v>
      </c>
      <c r="U50" s="82">
        <f t="shared" si="24"/>
        <v>203.00393542072791</v>
      </c>
      <c r="V50" s="82">
        <f t="shared" si="23"/>
        <v>200.11373184634655</v>
      </c>
      <c r="W50" s="82">
        <f t="shared" si="23"/>
        <v>175.53810902631469</v>
      </c>
      <c r="X50" s="82">
        <f t="shared" si="23"/>
        <v>243.50268764516565</v>
      </c>
      <c r="Y50" s="82">
        <f t="shared" si="23"/>
        <v>196.18586926043142</v>
      </c>
      <c r="Z50" s="82">
        <f t="shared" si="23"/>
        <v>150.6555634966613</v>
      </c>
      <c r="AA50" s="82">
        <f t="shared" si="23"/>
        <v>281.09763747137629</v>
      </c>
      <c r="AB50" s="82">
        <f t="shared" si="23"/>
        <v>194.30568622833704</v>
      </c>
      <c r="AC50" s="82">
        <f t="shared" si="23"/>
        <v>234.26543137137054</v>
      </c>
      <c r="AD50" s="82">
        <f t="shared" si="23"/>
        <v>144.14840241197871</v>
      </c>
      <c r="AE50" s="82">
        <f t="shared" si="23"/>
        <v>0</v>
      </c>
      <c r="AF50" s="82">
        <f t="shared" si="23"/>
        <v>310.40995171196965</v>
      </c>
      <c r="AG50" s="82">
        <f t="shared" si="23"/>
        <v>229.52406256746684</v>
      </c>
      <c r="AH50" s="82">
        <f t="shared" si="23"/>
        <v>215.60524896378325</v>
      </c>
      <c r="AI50" s="82">
        <f t="shared" si="23"/>
        <v>253.90774206554252</v>
      </c>
      <c r="AJ50" s="82">
        <f t="shared" si="23"/>
        <v>355.60542381889445</v>
      </c>
      <c r="AK50" s="82">
        <f t="shared" si="23"/>
        <v>274.98992588644165</v>
      </c>
    </row>
    <row r="51" spans="3:37">
      <c r="T51" s="59">
        <v>12</v>
      </c>
      <c r="U51" s="82">
        <f t="shared" si="24"/>
        <v>476.53795812918798</v>
      </c>
      <c r="V51" s="82">
        <f t="shared" si="23"/>
        <v>456.11462948302585</v>
      </c>
      <c r="W51" s="82">
        <f t="shared" si="23"/>
        <v>413.86441663557724</v>
      </c>
      <c r="X51" s="82">
        <f t="shared" si="23"/>
        <v>545.19424297983869</v>
      </c>
      <c r="Y51" s="82">
        <f t="shared" si="23"/>
        <v>217.34893875517614</v>
      </c>
      <c r="Z51" s="82">
        <f t="shared" si="23"/>
        <v>187.93059434003794</v>
      </c>
      <c r="AA51" s="82">
        <f t="shared" si="23"/>
        <v>80.985227741250185</v>
      </c>
      <c r="AB51" s="82">
        <f t="shared" si="23"/>
        <v>196.24129880676139</v>
      </c>
      <c r="AC51" s="82">
        <f t="shared" si="23"/>
        <v>244.21262443256944</v>
      </c>
      <c r="AD51" s="82">
        <f t="shared" si="23"/>
        <v>238.93956076898073</v>
      </c>
      <c r="AE51" s="82">
        <f t="shared" si="23"/>
        <v>310.40995171196965</v>
      </c>
      <c r="AF51" s="82">
        <f t="shared" si="23"/>
        <v>0</v>
      </c>
      <c r="AG51" s="82">
        <f t="shared" si="23"/>
        <v>539.93396275766452</v>
      </c>
      <c r="AH51" s="82">
        <f t="shared" si="23"/>
        <v>504.71867173682426</v>
      </c>
      <c r="AI51" s="82">
        <f t="shared" si="23"/>
        <v>343.71766130424044</v>
      </c>
      <c r="AJ51" s="82">
        <f t="shared" si="23"/>
        <v>437.85195352068683</v>
      </c>
      <c r="AK51" s="82">
        <f t="shared" si="23"/>
        <v>376.39033374729303</v>
      </c>
    </row>
    <row r="52" spans="3:37">
      <c r="T52" s="59">
        <v>13</v>
      </c>
      <c r="U52" s="82">
        <f t="shared" si="24"/>
        <v>166.24766329420825</v>
      </c>
      <c r="V52" s="82">
        <f t="shared" si="23"/>
        <v>199.21786127021554</v>
      </c>
      <c r="W52" s="82">
        <f t="shared" si="23"/>
        <v>225.40989687633373</v>
      </c>
      <c r="X52" s="82">
        <f t="shared" si="23"/>
        <v>85.530866119049492</v>
      </c>
      <c r="Y52" s="82">
        <f t="shared" si="23"/>
        <v>394.82939421009377</v>
      </c>
      <c r="Z52" s="82">
        <f t="shared" si="23"/>
        <v>370.49370442246158</v>
      </c>
      <c r="AA52" s="82">
        <f t="shared" si="23"/>
        <v>506.44970871063845</v>
      </c>
      <c r="AB52" s="82">
        <f t="shared" si="23"/>
        <v>401.34210495569926</v>
      </c>
      <c r="AC52" s="82">
        <f t="shared" si="23"/>
        <v>418.58691675179392</v>
      </c>
      <c r="AD52" s="82">
        <f t="shared" si="23"/>
        <v>343.23800472175242</v>
      </c>
      <c r="AE52" s="82">
        <f t="shared" si="23"/>
        <v>229.52406256746684</v>
      </c>
      <c r="AF52" s="82">
        <f t="shared" si="23"/>
        <v>539.93396275766452</v>
      </c>
      <c r="AG52" s="82">
        <f t="shared" si="23"/>
        <v>0</v>
      </c>
      <c r="AH52" s="82">
        <f t="shared" si="23"/>
        <v>127.9721607205676</v>
      </c>
      <c r="AI52" s="82">
        <f t="shared" si="23"/>
        <v>385.50102343587747</v>
      </c>
      <c r="AJ52" s="82">
        <f t="shared" si="23"/>
        <v>449.4287392065018</v>
      </c>
      <c r="AK52" s="82">
        <f t="shared" si="23"/>
        <v>388.07023356065002</v>
      </c>
    </row>
    <row r="53" spans="3:37">
      <c r="T53" s="59">
        <v>14</v>
      </c>
      <c r="U53" s="82">
        <f t="shared" si="24"/>
        <v>43.627434418712667</v>
      </c>
      <c r="V53" s="82">
        <f t="shared" si="23"/>
        <v>79.03822260954027</v>
      </c>
      <c r="W53" s="82">
        <f t="shared" si="23"/>
        <v>117.05948454950837</v>
      </c>
      <c r="X53" s="82">
        <f t="shared" si="23"/>
        <v>209.16282830150311</v>
      </c>
      <c r="Y53" s="82">
        <f t="shared" si="23"/>
        <v>321.85836784012554</v>
      </c>
      <c r="Z53" s="82">
        <f t="shared" si="23"/>
        <v>319.2524065418915</v>
      </c>
      <c r="AA53" s="82">
        <f t="shared" si="23"/>
        <v>454.60608976349624</v>
      </c>
      <c r="AB53" s="82">
        <f t="shared" si="23"/>
        <v>334.23445421028055</v>
      </c>
      <c r="AC53" s="82">
        <f t="shared" si="23"/>
        <v>333.91043574757589</v>
      </c>
      <c r="AD53" s="82">
        <f t="shared" si="23"/>
        <v>277.19471876766289</v>
      </c>
      <c r="AE53" s="82">
        <f t="shared" si="23"/>
        <v>215.60524896378325</v>
      </c>
      <c r="AF53" s="82">
        <f t="shared" si="23"/>
        <v>504.71867173682426</v>
      </c>
      <c r="AG53" s="82">
        <f t="shared" si="23"/>
        <v>127.9721607205676</v>
      </c>
      <c r="AH53" s="82">
        <f t="shared" si="23"/>
        <v>0</v>
      </c>
      <c r="AI53" s="82">
        <f t="shared" si="23"/>
        <v>279.11449624635367</v>
      </c>
      <c r="AJ53" s="82">
        <f t="shared" si="23"/>
        <v>328.16830545471561</v>
      </c>
      <c r="AK53" s="82">
        <f t="shared" si="23"/>
        <v>275.07923904373905</v>
      </c>
    </row>
    <row r="54" spans="3:37">
      <c r="T54" s="59">
        <v>15</v>
      </c>
      <c r="U54" s="82">
        <f t="shared" si="24"/>
        <v>235.9205617282789</v>
      </c>
      <c r="V54" s="82">
        <f t="shared" si="23"/>
        <v>201.14756751767686</v>
      </c>
      <c r="W54" s="82">
        <f t="shared" si="23"/>
        <v>163.05880626550467</v>
      </c>
      <c r="X54" s="82">
        <f t="shared" si="23"/>
        <v>443.65343531531403</v>
      </c>
      <c r="Y54" s="82">
        <f t="shared" si="23"/>
        <v>130.10141514607648</v>
      </c>
      <c r="Z54" s="82">
        <f t="shared" si="23"/>
        <v>189.22843379725697</v>
      </c>
      <c r="AA54" s="82">
        <f t="shared" si="23"/>
        <v>266.95448741353545</v>
      </c>
      <c r="AB54" s="82">
        <f t="shared" si="23"/>
        <v>152.05756119461753</v>
      </c>
      <c r="AC54" s="82">
        <f t="shared" si="23"/>
        <v>100.53876287995733</v>
      </c>
      <c r="AD54" s="82">
        <f t="shared" si="23"/>
        <v>140.34652822183338</v>
      </c>
      <c r="AE54" s="82">
        <f t="shared" si="23"/>
        <v>253.90774206554249</v>
      </c>
      <c r="AF54" s="82">
        <f t="shared" si="23"/>
        <v>343.71766130424044</v>
      </c>
      <c r="AG54" s="82">
        <f t="shared" si="23"/>
        <v>385.50102343587753</v>
      </c>
      <c r="AH54" s="82">
        <f t="shared" si="23"/>
        <v>279.11449624635367</v>
      </c>
      <c r="AI54" s="82">
        <f t="shared" si="23"/>
        <v>0</v>
      </c>
      <c r="AJ54" s="82">
        <f t="shared" si="23"/>
        <v>109.24350736136221</v>
      </c>
      <c r="AK54" s="82">
        <f t="shared" si="23"/>
        <v>32.923290655312897</v>
      </c>
    </row>
    <row r="55" spans="3:37">
      <c r="T55" s="59">
        <v>16</v>
      </c>
      <c r="U55" s="82">
        <f t="shared" si="24"/>
        <v>285.48610254472004</v>
      </c>
      <c r="V55" s="82">
        <f t="shared" si="23"/>
        <v>250.88589035856424</v>
      </c>
      <c r="W55" s="82">
        <f t="shared" si="23"/>
        <v>226.64433982944459</v>
      </c>
      <c r="X55" s="82">
        <f t="shared" si="23"/>
        <v>518.33181927135797</v>
      </c>
      <c r="Y55" s="82">
        <f t="shared" si="23"/>
        <v>234.17453202587953</v>
      </c>
      <c r="Z55" s="82">
        <f t="shared" si="23"/>
        <v>297.2839405593038</v>
      </c>
      <c r="AA55" s="82">
        <f t="shared" si="23"/>
        <v>357.85686355779404</v>
      </c>
      <c r="AB55" s="82">
        <f t="shared" si="23"/>
        <v>255.62654057901639</v>
      </c>
      <c r="AC55" s="82">
        <f t="shared" si="23"/>
        <v>196.03012242617947</v>
      </c>
      <c r="AD55" s="82">
        <f t="shared" si="23"/>
        <v>249.56439084237218</v>
      </c>
      <c r="AE55" s="82">
        <f t="shared" si="23"/>
        <v>355.60542381889445</v>
      </c>
      <c r="AF55" s="82">
        <f t="shared" si="23"/>
        <v>437.85195352068683</v>
      </c>
      <c r="AG55" s="82">
        <f t="shared" si="23"/>
        <v>449.42873920650186</v>
      </c>
      <c r="AH55" s="82">
        <f t="shared" si="23"/>
        <v>328.16830545471561</v>
      </c>
      <c r="AI55" s="82">
        <f t="shared" si="23"/>
        <v>109.24350736136221</v>
      </c>
      <c r="AJ55" s="82">
        <f t="shared" si="23"/>
        <v>0</v>
      </c>
      <c r="AK55" s="82">
        <f t="shared" ref="AK55:AK56" si="25">R18*R$20</f>
        <v>81.447413962744818</v>
      </c>
    </row>
    <row r="56" spans="3:37" ht="15" thickBot="1">
      <c r="T56" s="60">
        <v>17</v>
      </c>
      <c r="U56" s="82">
        <f t="shared" si="24"/>
        <v>231.45532036128384</v>
      </c>
      <c r="V56" s="82">
        <f t="shared" si="24"/>
        <v>196.0671434542468</v>
      </c>
      <c r="W56" s="82">
        <f t="shared" si="24"/>
        <v>162.77018054803818</v>
      </c>
      <c r="X56" s="82">
        <f t="shared" si="24"/>
        <v>450.94909994727897</v>
      </c>
      <c r="Y56" s="82">
        <f t="shared" si="24"/>
        <v>162.97627457082967</v>
      </c>
      <c r="Z56" s="82">
        <f t="shared" si="24"/>
        <v>220.9492048306588</v>
      </c>
      <c r="AA56" s="82">
        <f t="shared" si="24"/>
        <v>299.2056517337632</v>
      </c>
      <c r="AB56" s="82">
        <f t="shared" si="24"/>
        <v>184.93928790034644</v>
      </c>
      <c r="AC56" s="82">
        <f t="shared" si="24"/>
        <v>132.68848704068344</v>
      </c>
      <c r="AD56" s="82">
        <f t="shared" si="24"/>
        <v>170.59544177993732</v>
      </c>
      <c r="AE56" s="82">
        <f t="shared" si="24"/>
        <v>274.98992588644165</v>
      </c>
      <c r="AF56" s="82">
        <f t="shared" si="24"/>
        <v>376.39033374729303</v>
      </c>
      <c r="AG56" s="82">
        <f t="shared" si="24"/>
        <v>388.07023356065002</v>
      </c>
      <c r="AH56" s="82">
        <f t="shared" si="24"/>
        <v>275.07923904373905</v>
      </c>
      <c r="AI56" s="82">
        <f t="shared" si="24"/>
        <v>32.923290655312897</v>
      </c>
      <c r="AJ56" s="82">
        <f t="shared" si="24"/>
        <v>81.447413962744832</v>
      </c>
      <c r="AK56" s="82">
        <f t="shared" si="25"/>
        <v>0</v>
      </c>
    </row>
  </sheetData>
  <conditionalFormatting sqref="C22:C38">
    <cfRule type="expression" dxfId="1" priority="1">
      <formula>MATCH(C22,$O$22:$O$30,0)</formula>
    </cfRule>
  </conditionalFormatting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C19FB8-67FC-4024-9055-5F9774B9E53E}">
  <dimension ref="A1:AL56"/>
  <sheetViews>
    <sheetView topLeftCell="A17" workbookViewId="0">
      <selection activeCell="A38" sqref="A21:M38"/>
    </sheetView>
  </sheetViews>
  <sheetFormatPr defaultRowHeight="14.25"/>
  <cols>
    <col min="1" max="1" width="9.5" bestFit="1" customWidth="1"/>
    <col min="2" max="2" width="11.5" customWidth="1"/>
    <col min="3" max="3" width="17.25" bestFit="1" customWidth="1"/>
    <col min="4" max="4" width="12.5" bestFit="1" customWidth="1"/>
    <col min="5" max="5" width="7.75" bestFit="1" customWidth="1"/>
    <col min="6" max="6" width="8.375" bestFit="1" customWidth="1"/>
    <col min="7" max="7" width="7.375" bestFit="1" customWidth="1"/>
    <col min="8" max="8" width="8" customWidth="1"/>
    <col min="9" max="18" width="6.75" customWidth="1"/>
    <col min="19" max="19" width="17.25" bestFit="1" customWidth="1"/>
    <col min="20" max="20" width="18.25" customWidth="1"/>
    <col min="21" max="21" width="12.75" bestFit="1" customWidth="1"/>
    <col min="22" max="38" width="5.5" customWidth="1"/>
    <col min="39" max="39" width="15.75" bestFit="1" customWidth="1"/>
  </cols>
  <sheetData>
    <row r="1" spans="1:38" ht="48.75" customHeight="1" thickBot="1">
      <c r="A1" s="67" t="s">
        <v>41</v>
      </c>
      <c r="B1" s="51" t="s">
        <v>5</v>
      </c>
      <c r="C1" s="25"/>
      <c r="D1" s="25"/>
      <c r="E1" s="25"/>
      <c r="F1" s="25"/>
      <c r="G1" s="25"/>
      <c r="H1" s="25"/>
      <c r="I1" s="25"/>
      <c r="J1" s="25"/>
      <c r="K1" s="25"/>
      <c r="L1" s="25"/>
      <c r="M1" s="25"/>
      <c r="N1" s="25"/>
      <c r="O1" s="25"/>
      <c r="P1" s="25"/>
      <c r="Q1" s="25"/>
      <c r="R1" s="26"/>
      <c r="S1" s="52" t="s">
        <v>40</v>
      </c>
      <c r="T1" s="52" t="s">
        <v>11</v>
      </c>
      <c r="U1" s="53" t="s">
        <v>6</v>
      </c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1"/>
    </row>
    <row r="2" spans="1:38" ht="15" thickBot="1">
      <c r="A2" s="100" t="s">
        <v>5</v>
      </c>
      <c r="B2" s="70">
        <v>1</v>
      </c>
      <c r="C2" s="70">
        <v>2</v>
      </c>
      <c r="D2" s="70">
        <v>3</v>
      </c>
      <c r="E2" s="70">
        <v>4</v>
      </c>
      <c r="F2" s="70">
        <v>5</v>
      </c>
      <c r="G2" s="70">
        <v>6</v>
      </c>
      <c r="H2" s="70">
        <v>7</v>
      </c>
      <c r="I2" s="70">
        <v>8</v>
      </c>
      <c r="J2" s="70">
        <v>9</v>
      </c>
      <c r="K2" s="70">
        <v>10</v>
      </c>
      <c r="L2" s="70">
        <v>11</v>
      </c>
      <c r="M2" s="70">
        <v>12</v>
      </c>
      <c r="N2" s="70">
        <v>13</v>
      </c>
      <c r="O2" s="70">
        <v>14</v>
      </c>
      <c r="P2" s="70">
        <v>15</v>
      </c>
      <c r="Q2" s="70">
        <v>16</v>
      </c>
      <c r="R2" s="99">
        <v>17</v>
      </c>
      <c r="T2" s="56" t="s">
        <v>12</v>
      </c>
      <c r="U2" s="54">
        <v>1</v>
      </c>
      <c r="V2" s="54">
        <v>2</v>
      </c>
      <c r="W2" s="54">
        <v>3</v>
      </c>
      <c r="X2" s="54">
        <v>4</v>
      </c>
      <c r="Y2" s="54">
        <v>5</v>
      </c>
      <c r="Z2" s="54">
        <v>6</v>
      </c>
      <c r="AA2" s="54">
        <v>7</v>
      </c>
      <c r="AB2" s="54">
        <v>8</v>
      </c>
      <c r="AC2" s="54">
        <v>9</v>
      </c>
      <c r="AD2" s="54">
        <v>10</v>
      </c>
      <c r="AE2" s="54">
        <v>11</v>
      </c>
      <c r="AF2" s="54">
        <v>12</v>
      </c>
      <c r="AG2" s="54">
        <v>13</v>
      </c>
      <c r="AH2" s="54">
        <v>14</v>
      </c>
      <c r="AI2" s="54">
        <v>15</v>
      </c>
      <c r="AJ2" s="54">
        <v>16</v>
      </c>
      <c r="AK2" s="55">
        <v>17</v>
      </c>
      <c r="AL2" s="57" t="s">
        <v>13</v>
      </c>
    </row>
    <row r="3" spans="1:38" ht="15">
      <c r="A3" s="59">
        <v>1</v>
      </c>
      <c r="B3" s="75">
        <f>(getDistance(coord!C1,coord!D1,coord!$C$1,coord!$D$1)*1000)/$B$20</f>
        <v>0</v>
      </c>
      <c r="C3" s="74">
        <f>(getDistance(coord!C1,coord!D1,coord!$C$2,coord!$D$2)*1000)/$C$20</f>
        <v>9.7939859857844019E-3</v>
      </c>
      <c r="D3" s="74">
        <f>(getDistance(coord!$C1,coord!$D1,coord!$C$3,coord!$D$3)*1000)/$D$20</f>
        <v>2.2698884083943889E-2</v>
      </c>
      <c r="E3" s="74">
        <f>(getDistance(coord!$C1,coord!$D1,coord!$C$4,coord!$D$4)*1000)/$E$20</f>
        <v>4.1041595442076105E-2</v>
      </c>
      <c r="F3" s="74">
        <f>(getDistance(coord!$C1,coord!$D1,coord!$C$5,coord!$D$5)*1000)/$F$20</f>
        <v>8.9692706304415254E-2</v>
      </c>
      <c r="G3" s="74">
        <f>(getDistance(coord!$C1,coord!$D1,coord!$C$6,coord!$D$6)*1000)/$G$20</f>
        <v>8.6451824708535505E-2</v>
      </c>
      <c r="H3" s="74">
        <f>(getDistance(coord!$C1,coord!$D1,coord!$C$7,coord!$D$7)*1000)/$H$20</f>
        <v>8.9811228695136011E-2</v>
      </c>
      <c r="I3" s="74">
        <f>(getDistance(coord!$C1,coord!$D1,coord!$C$8,coord!$D$8)*1000)/$I$20</f>
        <v>9.1240820893187149E-2</v>
      </c>
      <c r="J3" s="74">
        <f>(getDistance(coord!$C1,coord!$D1,coord!$C$9,coord!$D$9)*1000)/$J$20</f>
        <v>8.7047462622908689E-2</v>
      </c>
      <c r="K3" s="74">
        <f>(getDistance(coord!$C1,coord!$D1,coord!$C$10,coord!$D$10)*1000)/$K$20</f>
        <v>8.0740347669411905E-2</v>
      </c>
      <c r="L3" s="74">
        <f>(getDistance(coord!$C1,coord!$D1,coord!$C$11,coord!$D$11)*1000)/$L$20</f>
        <v>5.5422256969853041E-2</v>
      </c>
      <c r="M3" s="74">
        <f>(getDistance(coord!$C1,coord!$D1,coord!$C$12,coord!$D$12)*1000)/$M$20</f>
        <v>8.5548369994808526E-2</v>
      </c>
      <c r="N3" s="74">
        <f>(getDistance(coord!$C1,coord!$D1,coord!$C$13,coord!$D$13)*1000)/$N$20</f>
        <v>3.1776523621703266E-2</v>
      </c>
      <c r="O3" s="74">
        <f>(getDistance(coord!$C1,coord!$D1,coord!$C$14,coord!$D$14)*1000)/$O$20</f>
        <v>1.0336778634729865E-2</v>
      </c>
      <c r="P3" s="74">
        <f>(getDistance(coord!$C1,coord!$D1,coord!$C$15,coord!$D$15)*1000)/$P$20</f>
        <v>6.8833375128825133E-2</v>
      </c>
      <c r="Q3" s="74">
        <f>(getDistance(coord!$C1,coord!$D1,coord!$C$16,coord!$D$16)*1000)/$Q$20</f>
        <v>6.1611762184374974E-2</v>
      </c>
      <c r="R3" s="74">
        <f>(getDistance(coord!$C1,coord!$D1,coord!$C$17,coord!$D$17)*1000)/$R$20</f>
        <v>6.3560494570447018E-2</v>
      </c>
      <c r="S3" s="58" t="s">
        <v>39</v>
      </c>
      <c r="T3" s="59">
        <v>8</v>
      </c>
      <c r="U3" s="61">
        <v>1.3793103448275862E-2</v>
      </c>
      <c r="V3" s="61">
        <v>1.9607843137254902E-2</v>
      </c>
      <c r="W3" s="61">
        <v>6.0606060606060608E-2</v>
      </c>
      <c r="X3" s="61">
        <v>9.5238095238095247E-3</v>
      </c>
      <c r="Y3" s="61">
        <v>2.6315789473684209E-2</v>
      </c>
      <c r="Z3" s="61">
        <v>1.3192612137203167E-2</v>
      </c>
      <c r="AA3" s="61">
        <v>2.1739130434782608E-2</v>
      </c>
      <c r="AB3" s="61">
        <v>1.8181818181818181E-2</v>
      </c>
      <c r="AC3" s="61">
        <v>8.0000000000000002E-3</v>
      </c>
      <c r="AD3" s="61">
        <v>4.9295774647887321E-2</v>
      </c>
      <c r="AE3" s="61">
        <v>1.2048192771084338E-2</v>
      </c>
      <c r="AF3" s="61">
        <v>1.1764705882352941E-2</v>
      </c>
      <c r="AG3" s="61">
        <v>1.2345679012345678E-2</v>
      </c>
      <c r="AH3" s="61">
        <v>1.3157894736842105E-2</v>
      </c>
      <c r="AI3" s="61">
        <v>1.3513513513513514E-2</v>
      </c>
      <c r="AJ3" s="61">
        <v>1.8292682926829267E-2</v>
      </c>
      <c r="AK3" s="62">
        <v>9.1743119266055051E-3</v>
      </c>
      <c r="AL3" s="82">
        <f>AVERAGE(U3:AK3)</f>
        <v>1.9444289550608812E-2</v>
      </c>
    </row>
    <row r="4" spans="1:38" ht="15">
      <c r="A4" s="59">
        <v>2</v>
      </c>
      <c r="B4" s="74">
        <f>(getDistance(coord!C2,coord!D2,coord!$C$1,coord!$D$1)*1000)/$B$20</f>
        <v>9.2469745750658385E-3</v>
      </c>
      <c r="C4" s="75">
        <f>(getDistance(coord!C2,coord!D2,coord!$C$2,coord!$D$2)*1000)/$C$20</f>
        <v>0</v>
      </c>
      <c r="D4" s="74">
        <f>(getDistance(coord!$C2,coord!$D2,coord!$C$3,coord!$D$3)*1000)/$D$20</f>
        <v>1.3406673571440857E-2</v>
      </c>
      <c r="E4" s="74">
        <f>(getDistance(coord!$C2,coord!$D2,coord!$C$4,coord!$D$4)*1000)/$E$20</f>
        <v>4.6106558172381198E-2</v>
      </c>
      <c r="F4" s="74">
        <f>(getDistance(coord!$C2,coord!$D2,coord!$C$5,coord!$D$5)*1000)/$F$20</f>
        <v>8.1067478863828216E-2</v>
      </c>
      <c r="G4" s="74">
        <f>(getDistance(coord!$C2,coord!$D2,coord!$C$6,coord!$D$6)*1000)/$G$20</f>
        <v>8.0175462212965953E-2</v>
      </c>
      <c r="H4" s="74">
        <f>(getDistance(coord!$C2,coord!$D2,coord!$C$7,coord!$D$7)*1000)/$H$20</f>
        <v>8.468635184258988E-2</v>
      </c>
      <c r="I4" s="74">
        <f>(getDistance(coord!$C2,coord!$D2,coord!$C$8,coord!$D$8)*1000)/$I$20</f>
        <v>8.3290509632205356E-2</v>
      </c>
      <c r="J4" s="74">
        <f>(getDistance(coord!$C2,coord!$D2,coord!$C$9,coord!$D$9)*1000)/$J$20</f>
        <v>7.7949945055034039E-2</v>
      </c>
      <c r="K4" s="74">
        <f>(getDistance(coord!$C2,coord!$D2,coord!$C$10,coord!$D$10)*1000)/$K$20</f>
        <v>7.2766203954019684E-2</v>
      </c>
      <c r="L4" s="74">
        <f>(getDistance(coord!$C2,coord!$D2,coord!$C$11,coord!$D$11)*1000)/$L$20</f>
        <v>5.4633200319977884E-2</v>
      </c>
      <c r="M4" s="74">
        <f>(getDistance(coord!$C2,coord!$D2,coord!$C$12,coord!$D$12)*1000)/$M$20</f>
        <v>8.1881962218171789E-2</v>
      </c>
      <c r="N4" s="74">
        <f>(getDistance(coord!$C2,coord!$D2,coord!$C$13,coord!$D$13)*1000)/$N$20</f>
        <v>3.8078436406743466E-2</v>
      </c>
      <c r="O4" s="74">
        <f>(getDistance(coord!$C2,coord!$D2,coord!$C$14,coord!$D$14)*1000)/$O$20</f>
        <v>1.8726762682311E-2</v>
      </c>
      <c r="P4" s="74">
        <f>(getDistance(coord!$C2,coord!$D2,coord!$C$15,coord!$D$15)*1000)/$P$20</f>
        <v>5.8687830639966236E-2</v>
      </c>
      <c r="Q4" s="74">
        <f>(getDistance(coord!$C2,coord!$D2,coord!$C$16,coord!$D$16)*1000)/$Q$20</f>
        <v>5.4144568419983552E-2</v>
      </c>
      <c r="R4" s="74">
        <f>(getDistance(coord!$C2,coord!$D2,coord!$C$17,coord!$D$17)*1000)/$R$20</f>
        <v>5.3842463364049263E-2</v>
      </c>
      <c r="S4" s="58" t="s">
        <v>15</v>
      </c>
      <c r="T4" s="59">
        <v>9</v>
      </c>
      <c r="U4" s="61">
        <v>3.4482758620689655E-2</v>
      </c>
      <c r="V4" s="61">
        <v>1.9607843137254902E-2</v>
      </c>
      <c r="W4" s="61">
        <v>6.0606060606060608E-2</v>
      </c>
      <c r="X4" s="61">
        <v>9.5238095238095247E-3</v>
      </c>
      <c r="Y4" s="61">
        <v>4.3859649122807015E-2</v>
      </c>
      <c r="Z4" s="61">
        <v>1.3192612137203167E-2</v>
      </c>
      <c r="AA4" s="61">
        <v>2.1739130434782608E-2</v>
      </c>
      <c r="AB4" s="61">
        <v>1.8181818181818181E-2</v>
      </c>
      <c r="AC4" s="61">
        <v>1.6E-2</v>
      </c>
      <c r="AD4" s="61">
        <v>5.6338028169014086E-2</v>
      </c>
      <c r="AE4" s="61">
        <v>2.4096385542168676E-2</v>
      </c>
      <c r="AF4" s="61">
        <v>2.3529411764705882E-2</v>
      </c>
      <c r="AG4" s="61">
        <v>2.4691358024691357E-2</v>
      </c>
      <c r="AH4" s="61">
        <v>3.9473684210526314E-2</v>
      </c>
      <c r="AI4" s="61">
        <v>4.0540540540540543E-2</v>
      </c>
      <c r="AJ4" s="61">
        <v>2.4390243902439025E-2</v>
      </c>
      <c r="AK4" s="62">
        <v>3.669724770642202E-2</v>
      </c>
      <c r="AL4" s="82">
        <f t="shared" ref="AL4:AL19" si="0">AVERAGE(U4:AK4)</f>
        <v>2.982062244852551E-2</v>
      </c>
    </row>
    <row r="5" spans="1:38" ht="15">
      <c r="A5" s="59">
        <v>3</v>
      </c>
      <c r="B5" s="74">
        <f>(getDistance(coord!C3,coord!D3,coord!$C$1,coord!$D$1)*1000)/$B$20</f>
        <v>1.9643791909343934E-2</v>
      </c>
      <c r="C5" s="74">
        <f>(getDistance(coord!C3,coord!D3,coord!$C$2,coord!$D$2)*1000)/$C$20</f>
        <v>1.2288579056995987E-2</v>
      </c>
      <c r="D5" s="75">
        <f>(getDistance(coord!$C3,coord!$D3,coord!$C$3,coord!$D$3)*1000)/$D$20</f>
        <v>0</v>
      </c>
      <c r="E5" s="74">
        <f>(getDistance(coord!$C3,coord!$D3,coord!$C$4,coord!$D$4)*1000)/$E$20</f>
        <v>4.9239744032680575E-2</v>
      </c>
      <c r="F5" s="74">
        <f>(getDistance(coord!$C3,coord!$D3,coord!$C$5,coord!$D$5)*1000)/$F$20</f>
        <v>6.7114307356976877E-2</v>
      </c>
      <c r="G5" s="74">
        <f>(getDistance(coord!$C3,coord!$D3,coord!$C$6,coord!$D$6)*1000)/$G$20</f>
        <v>6.7600548215057135E-2</v>
      </c>
      <c r="H5" s="74">
        <f>(getDistance(coord!$C3,coord!$D3,coord!$C$7,coord!$D$7)*1000)/$H$20</f>
        <v>7.5382023485248112E-2</v>
      </c>
      <c r="I5" s="74">
        <f>(getDistance(coord!$C3,coord!$D3,coord!$C$8,coord!$D$8)*1000)/$I$20</f>
        <v>6.9817238172495161E-2</v>
      </c>
      <c r="J5" s="74">
        <f>(getDistance(coord!$C3,coord!$D3,coord!$C$9,coord!$D$9)*1000)/$J$20</f>
        <v>6.4957190869945655E-2</v>
      </c>
      <c r="K5" s="74">
        <f>(getDistance(coord!$C3,coord!$D3,coord!$C$10,coord!$D$10)*1000)/$K$20</f>
        <v>5.8381558747137567E-2</v>
      </c>
      <c r="L5" s="74">
        <f>(getDistance(coord!$C3,coord!$D3,coord!$C$11,coord!$D$11)*1000)/$L$20</f>
        <v>4.7923791064915143E-2</v>
      </c>
      <c r="M5" s="74">
        <f>(getDistance(coord!$C3,coord!$D3,coord!$C$12,coord!$D$12)*1000)/$M$20</f>
        <v>7.4297179559466797E-2</v>
      </c>
      <c r="N5" s="74">
        <f>(getDistance(coord!$C3,coord!$D3,coord!$C$13,coord!$D$13)*1000)/$N$20</f>
        <v>4.3084773468247912E-2</v>
      </c>
      <c r="O5" s="74">
        <f>(getDistance(coord!$C3,coord!$D3,coord!$C$14,coord!$D$14)*1000)/$O$20</f>
        <v>2.7735254089680056E-2</v>
      </c>
      <c r="P5" s="74">
        <f>(getDistance(coord!$C3,coord!$D3,coord!$C$15,coord!$D$15)*1000)/$P$20</f>
        <v>4.7574861205438287E-2</v>
      </c>
      <c r="Q5" s="74">
        <f>(getDistance(coord!$C3,coord!$D3,coord!$C$16,coord!$D$16)*1000)/$Q$20</f>
        <v>4.891291394410003E-2</v>
      </c>
      <c r="R5" s="74">
        <f>(getDistance(coord!$C3,coord!$D3,coord!$C$17,coord!$D$17)*1000)/$R$20</f>
        <v>4.4698705395085934E-2</v>
      </c>
      <c r="S5" s="58" t="s">
        <v>16</v>
      </c>
      <c r="T5" s="59">
        <v>10</v>
      </c>
      <c r="U5" s="61">
        <v>4.8275862068965517E-2</v>
      </c>
      <c r="V5" s="61">
        <v>3.9215686274509803E-2</v>
      </c>
      <c r="W5" s="61">
        <v>6.0606060606060608E-2</v>
      </c>
      <c r="X5" s="61">
        <v>1.9047619047619049E-2</v>
      </c>
      <c r="Y5" s="61">
        <v>6.1403508771929821E-2</v>
      </c>
      <c r="Z5" s="61">
        <v>2.6385224274406333E-2</v>
      </c>
      <c r="AA5" s="61">
        <v>4.3478260869565216E-2</v>
      </c>
      <c r="AB5" s="61">
        <v>3.6363636363636362E-2</v>
      </c>
      <c r="AC5" s="61">
        <v>2.4E-2</v>
      </c>
      <c r="AD5" s="61">
        <v>6.3380281690140844E-2</v>
      </c>
      <c r="AE5" s="61">
        <v>3.614457831325301E-2</v>
      </c>
      <c r="AF5" s="61">
        <v>3.5294117647058823E-2</v>
      </c>
      <c r="AG5" s="61">
        <v>3.7037037037037035E-2</v>
      </c>
      <c r="AH5" s="61">
        <v>6.5789473684210523E-2</v>
      </c>
      <c r="AI5" s="61">
        <v>6.7567567567567571E-2</v>
      </c>
      <c r="AJ5" s="61">
        <v>3.048780487804878E-2</v>
      </c>
      <c r="AK5" s="62">
        <v>6.4220183486238536E-2</v>
      </c>
      <c r="AL5" s="82">
        <f t="shared" si="0"/>
        <v>4.4629229563543996E-2</v>
      </c>
    </row>
    <row r="6" spans="1:38" ht="15">
      <c r="A6" s="59">
        <v>4</v>
      </c>
      <c r="B6" s="74">
        <f>(getDistance(coord!C4,coord!D4,coord!$C$1,coord!$D$1)*1000)/$B$20</f>
        <v>6.3479240244314714E-2</v>
      </c>
      <c r="C6" s="74">
        <f>(getDistance(coord!C4,coord!D4,coord!$C$2,coord!$D$2)*1000)/$C$20</f>
        <v>7.5531829384877472E-2</v>
      </c>
      <c r="D6" s="74">
        <f>(getDistance(coord!$C4,coord!$D4,coord!$C$3,coord!$D$3)*1000)/$D$20</f>
        <v>8.800400841849014E-2</v>
      </c>
      <c r="E6" s="75">
        <f>(getDistance(coord!$C4,coord!$D4,coord!$C$4,coord!$D$4)*1000)/$E$20</f>
        <v>0</v>
      </c>
      <c r="F6" s="74">
        <f>(getDistance(coord!$C4,coord!$D4,coord!$C$5,coord!$D$5)*1000)/$F$20</f>
        <v>0.13532669589065421</v>
      </c>
      <c r="G6" s="74">
        <f>(getDistance(coord!$C4,coord!$D4,coord!$C$6,coord!$D$6)*1000)/$G$20</f>
        <v>0.11768627586774991</v>
      </c>
      <c r="H6" s="74">
        <f>(getDistance(coord!$C4,coord!$D4,coord!$C$7,coord!$D$7)*1000)/$H$20</f>
        <v>0.11144001891511569</v>
      </c>
      <c r="I6" s="74">
        <f>(getDistance(coord!$C4,coord!$D4,coord!$C$8,coord!$D$8)*1000)/$I$20</f>
        <v>0.13205624405448768</v>
      </c>
      <c r="J6" s="74">
        <f>(getDistance(coord!$C4,coord!$D4,coord!$C$9,coord!$D$9)*1000)/$J$20</f>
        <v>0.13633197020169702</v>
      </c>
      <c r="K6" s="74">
        <f>(getDistance(coord!$C4,coord!$D4,coord!$C$10,coord!$D$10)*1000)/$K$20</f>
        <v>0.12509114644578523</v>
      </c>
      <c r="L6" s="74">
        <f>(getDistance(coord!$C4,coord!$D4,coord!$C$11,coord!$D$11)*1000)/$L$20</f>
        <v>6.6478851750094006E-2</v>
      </c>
      <c r="M6" s="74">
        <f>(getDistance(coord!$C4,coord!$D4,coord!$C$12,coord!$D$12)*1000)/$M$20</f>
        <v>9.7873585979555255E-2</v>
      </c>
      <c r="N6" s="74">
        <f>(getDistance(coord!$C4,coord!$D4,coord!$C$13,coord!$D$13)*1000)/$N$20</f>
        <v>1.6348341587255268E-2</v>
      </c>
      <c r="O6" s="74">
        <f>(getDistance(coord!$C4,coord!$D4,coord!$C$14,coord!$D$14)*1000)/$O$20</f>
        <v>4.9557575034467172E-2</v>
      </c>
      <c r="P6" s="74">
        <f>(getDistance(coord!$C4,coord!$D4,coord!$C$15,coord!$D$15)*1000)/$P$20</f>
        <v>0.1294425679412515</v>
      </c>
      <c r="Q6" s="74">
        <f>(getDistance(coord!$C4,coord!$D4,coord!$C$16,coord!$D$16)*1000)/$Q$20</f>
        <v>0.11186301713772151</v>
      </c>
      <c r="R6" s="74">
        <f>(getDistance(coord!$C4,coord!$D4,coord!$C$17,coord!$D$17)*1000)/$R$20</f>
        <v>0.12383620205405937</v>
      </c>
      <c r="S6" s="58" t="s">
        <v>17</v>
      </c>
      <c r="T6" s="59">
        <v>11</v>
      </c>
      <c r="U6" s="61">
        <v>5.5172413793103448E-2</v>
      </c>
      <c r="V6" s="61">
        <v>5.8823529411764705E-2</v>
      </c>
      <c r="W6" s="61">
        <v>6.0606060606060608E-2</v>
      </c>
      <c r="X6" s="61">
        <v>2.8571428571428571E-2</v>
      </c>
      <c r="Y6" s="61">
        <v>7.0175438596491224E-2</v>
      </c>
      <c r="Z6" s="61">
        <v>3.9577836411609502E-2</v>
      </c>
      <c r="AA6" s="61">
        <v>6.5217391304347824E-2</v>
      </c>
      <c r="AB6" s="61">
        <v>3.6363636363636362E-2</v>
      </c>
      <c r="AC6" s="61">
        <v>3.2000000000000001E-2</v>
      </c>
      <c r="AD6" s="61">
        <v>6.3380281690140844E-2</v>
      </c>
      <c r="AE6" s="61">
        <v>4.8192771084337352E-2</v>
      </c>
      <c r="AF6" s="61">
        <v>4.7058823529411764E-2</v>
      </c>
      <c r="AG6" s="61">
        <v>6.1728395061728392E-2</v>
      </c>
      <c r="AH6" s="61">
        <v>7.8947368421052627E-2</v>
      </c>
      <c r="AI6" s="61">
        <v>8.1081081081081086E-2</v>
      </c>
      <c r="AJ6" s="61">
        <v>3.6585365853658534E-2</v>
      </c>
      <c r="AK6" s="62">
        <v>9.1743119266055051E-2</v>
      </c>
      <c r="AL6" s="82">
        <f t="shared" si="0"/>
        <v>5.6189702414465192E-2</v>
      </c>
    </row>
    <row r="7" spans="1:38" ht="15">
      <c r="A7" s="59">
        <v>5</v>
      </c>
      <c r="B7" s="74">
        <f>(getDistance(coord!C5,coord!D5,coord!$C$1,coord!$D$1)*1000)/$B$20</f>
        <v>7.4513747663746827E-2</v>
      </c>
      <c r="C7" s="74">
        <f>(getDistance(coord!C5,coord!D5,coord!$C$2,coord!$D$2)*1000)/$C$20</f>
        <v>7.1332223275925158E-2</v>
      </c>
      <c r="D7" s="74">
        <f>(getDistance(coord!$C5,coord!$D5,coord!$C$3,coord!$D$3)*1000)/$D$20</f>
        <v>6.4427840249098367E-2</v>
      </c>
      <c r="E7" s="74">
        <f>(getDistance(coord!$C5,coord!$D5,coord!$C$4,coord!$D$4)*1000)/$E$20</f>
        <v>7.2686753478064511E-2</v>
      </c>
      <c r="F7" s="75">
        <f>(getDistance(coord!$C5,coord!$D5,coord!$C$5,coord!$D$5)*1000)/$F$20</f>
        <v>0</v>
      </c>
      <c r="G7" s="74">
        <f>(getDistance(coord!$C5,coord!$D5,coord!$C$6,coord!$D$6)*1000)/$G$20</f>
        <v>2.0764064813478561E-2</v>
      </c>
      <c r="H7" s="74">
        <f>(getDistance(coord!$C5,coord!$D5,coord!$C$7,coord!$D$7)*1000)/$H$20</f>
        <v>3.1073475364880684E-2</v>
      </c>
      <c r="I7" s="74">
        <f>(getDistance(coord!$C5,coord!$D5,coord!$C$8,coord!$D$8)*1000)/$I$20</f>
        <v>6.6997057360049812E-3</v>
      </c>
      <c r="J7" s="74">
        <f>(getDistance(coord!$C5,coord!$D5,coord!$C$9,coord!$D$9)*1000)/$J$20</f>
        <v>1.3639234596297669E-2</v>
      </c>
      <c r="K7" s="74">
        <f>(getDistance(coord!$C5,coord!$D5,coord!$C$10,coord!$D$10)*1000)/$K$20</f>
        <v>1.7651267526811714E-2</v>
      </c>
      <c r="L7" s="74">
        <f>(getDistance(coord!$C5,coord!$D5,coord!$C$11,coord!$D$11)*1000)/$L$20</f>
        <v>5.3560851603546879E-2</v>
      </c>
      <c r="M7" s="74">
        <f>(getDistance(coord!$C5,coord!$D5,coord!$C$12,coord!$D$12)*1000)/$M$20</f>
        <v>3.9018607255554762E-2</v>
      </c>
      <c r="N7" s="74">
        <f>(getDistance(coord!$C5,coord!$D5,coord!$C$13,coord!$D$13)*1000)/$N$20</f>
        <v>7.5467560403881626E-2</v>
      </c>
      <c r="O7" s="74">
        <f>(getDistance(coord!$C5,coord!$D5,coord!$C$14,coord!$D$14)*1000)/$O$20</f>
        <v>7.6258866569330716E-2</v>
      </c>
      <c r="P7" s="74">
        <f>(getDistance(coord!$C5,coord!$D5,coord!$C$15,coord!$D$15)*1000)/$P$20</f>
        <v>3.7959046248182332E-2</v>
      </c>
      <c r="Q7" s="74">
        <f>(getDistance(coord!$C5,coord!$D5,coord!$C$16,coord!$D$16)*1000)/$Q$20</f>
        <v>5.0538031267408988E-2</v>
      </c>
      <c r="R7" s="74">
        <f>(getDistance(coord!$C5,coord!$D5,coord!$C$17,coord!$D$17)*1000)/$R$20</f>
        <v>4.4755301363570019E-2</v>
      </c>
      <c r="S7" s="58" t="s">
        <v>18</v>
      </c>
      <c r="T7" s="59">
        <v>12</v>
      </c>
      <c r="U7" s="61">
        <v>6.2068965517241378E-2</v>
      </c>
      <c r="V7" s="61">
        <v>5.8823529411764705E-2</v>
      </c>
      <c r="W7" s="61">
        <v>6.0606060606060608E-2</v>
      </c>
      <c r="X7" s="61">
        <v>4.7619047619047616E-2</v>
      </c>
      <c r="Y7" s="61">
        <v>7.0175438596491224E-2</v>
      </c>
      <c r="Z7" s="61">
        <v>6.3324538258575203E-2</v>
      </c>
      <c r="AA7" s="61">
        <v>6.5217391304347824E-2</v>
      </c>
      <c r="AB7" s="61">
        <v>5.4545454545454543E-2</v>
      </c>
      <c r="AC7" s="61">
        <v>0.04</v>
      </c>
      <c r="AD7" s="61">
        <v>6.3380281690140844E-2</v>
      </c>
      <c r="AE7" s="61">
        <v>6.0240963855421686E-2</v>
      </c>
      <c r="AF7" s="61">
        <v>5.8823529411764705E-2</v>
      </c>
      <c r="AG7" s="61">
        <v>8.6419753086419748E-2</v>
      </c>
      <c r="AH7" s="61">
        <v>9.2105263157894732E-2</v>
      </c>
      <c r="AI7" s="61">
        <v>8.1081081081081086E-2</v>
      </c>
      <c r="AJ7" s="61">
        <v>4.2682926829268296E-2</v>
      </c>
      <c r="AK7" s="62">
        <v>9.1743119266055051E-2</v>
      </c>
      <c r="AL7" s="82">
        <f t="shared" si="0"/>
        <v>6.4638667308060546E-2</v>
      </c>
    </row>
    <row r="8" spans="1:38" ht="15">
      <c r="A8" s="59">
        <v>6</v>
      </c>
      <c r="B8" s="74">
        <f>(getDistance(coord!C6,coord!D6,coord!$C$1,coord!$D$1)*1000)/$B$20</f>
        <v>7.5503956165217129E-2</v>
      </c>
      <c r="C8" s="74">
        <f>(getDistance(coord!C6,coord!D6,coord!$C$2,coord!$D$2)*1000)/$C$20</f>
        <v>7.416462936716553E-2</v>
      </c>
      <c r="D8" s="74">
        <f>(getDistance(coord!$C6,coord!$D6,coord!$C$3,coord!$D$3)*1000)/$D$20</f>
        <v>6.8222078018574397E-2</v>
      </c>
      <c r="E8" s="74">
        <f>(getDistance(coord!$C6,coord!$D6,coord!$C$4,coord!$D$4)*1000)/$E$20</f>
        <v>6.6452890858092556E-2</v>
      </c>
      <c r="F8" s="74">
        <f>(getDistance(coord!$C6,coord!$D6,coord!$C$5,coord!$D$5)*1000)/$F$20</f>
        <v>2.1828738636758608E-2</v>
      </c>
      <c r="G8" s="75">
        <f>(getDistance(coord!$C6,coord!$D6,coord!$C$6,coord!$D$6)*1000)/$G$20</f>
        <v>0</v>
      </c>
      <c r="H8" s="74">
        <f>(getDistance(coord!$C6,coord!$D6,coord!$C$7,coord!$D$7)*1000)/$H$20</f>
        <v>2.9162206687823905E-2</v>
      </c>
      <c r="I8" s="74">
        <f>(getDistance(coord!$C6,coord!$D6,coord!$C$8,coord!$D$8)*1000)/$I$20</f>
        <v>1.6717233691112079E-2</v>
      </c>
      <c r="J8" s="74">
        <f>(getDistance(coord!$C6,coord!$D6,coord!$C$9,coord!$D$9)*1000)/$J$20</f>
        <v>3.4169011585670317E-2</v>
      </c>
      <c r="K8" s="74">
        <f>(getDistance(coord!$C6,coord!$D6,coord!$C$10,coord!$D$10)*1000)/$K$20</f>
        <v>1.8268829617316084E-2</v>
      </c>
      <c r="L8" s="74">
        <f>(getDistance(coord!$C6,coord!$D6,coord!$C$11,coord!$D$11)*1000)/$L$20</f>
        <v>4.1130588610241409E-2</v>
      </c>
      <c r="M8" s="74">
        <f>(getDistance(coord!$C6,coord!$D6,coord!$C$12,coord!$D$12)*1000)/$M$20</f>
        <v>3.3737409043053328E-2</v>
      </c>
      <c r="N8" s="74">
        <f>(getDistance(coord!$C6,coord!$D6,coord!$C$13,coord!$D$13)*1000)/$N$20</f>
        <v>7.0816044670883788E-2</v>
      </c>
      <c r="O8" s="74">
        <f>(getDistance(coord!$C6,coord!$D6,coord!$C$14,coord!$D$14)*1000)/$O$20</f>
        <v>7.5641428358044008E-2</v>
      </c>
      <c r="P8" s="74">
        <f>(getDistance(coord!$C6,coord!$D6,coord!$C$15,coord!$D$15)*1000)/$P$20</f>
        <v>5.5210243961729924E-2</v>
      </c>
      <c r="Q8" s="74">
        <f>(getDistance(coord!$C6,coord!$D6,coord!$C$16,coord!$D$16)*1000)/$Q$20</f>
        <v>6.4157895195982612E-2</v>
      </c>
      <c r="R8" s="74">
        <f>(getDistance(coord!$C6,coord!$D6,coord!$C$17,coord!$D$17)*1000)/$R$20</f>
        <v>6.067538526253205E-2</v>
      </c>
      <c r="S8" s="58" t="s">
        <v>19</v>
      </c>
      <c r="T8" s="59">
        <v>13</v>
      </c>
      <c r="U8" s="63">
        <v>7.586206896551724E-2</v>
      </c>
      <c r="V8" s="63">
        <v>7.8431372549019607E-2</v>
      </c>
      <c r="W8" s="61">
        <v>6.0606060606060608E-2</v>
      </c>
      <c r="X8" s="61">
        <v>6.6666666666666666E-2</v>
      </c>
      <c r="Y8" s="61">
        <v>7.0175438596491224E-2</v>
      </c>
      <c r="Z8" s="61">
        <v>7.9155672823219003E-2</v>
      </c>
      <c r="AA8" s="61">
        <v>8.6956521739130432E-2</v>
      </c>
      <c r="AB8" s="61">
        <v>5.4545454545454543E-2</v>
      </c>
      <c r="AC8" s="61">
        <v>5.6000000000000001E-2</v>
      </c>
      <c r="AD8" s="61">
        <v>6.3380281690140844E-2</v>
      </c>
      <c r="AE8" s="61">
        <v>7.2289156626506021E-2</v>
      </c>
      <c r="AF8" s="61">
        <v>7.0588235294117646E-2</v>
      </c>
      <c r="AG8" s="61">
        <v>9.8765432098765427E-2</v>
      </c>
      <c r="AH8" s="61">
        <v>9.2105263157894732E-2</v>
      </c>
      <c r="AI8" s="61">
        <v>8.1081081081081086E-2</v>
      </c>
      <c r="AJ8" s="61">
        <v>5.4878048780487805E-2</v>
      </c>
      <c r="AK8" s="62">
        <v>9.1743119266055051E-2</v>
      </c>
      <c r="AL8" s="82">
        <f t="shared" si="0"/>
        <v>7.3719404381565184E-2</v>
      </c>
    </row>
    <row r="9" spans="1:38" ht="15">
      <c r="A9" s="59">
        <v>7</v>
      </c>
      <c r="B9" s="74">
        <f>(getDistance(coord!C7,coord!D7,coord!$C$1,coord!$D$1)*1000)/$B$20</f>
        <v>0.11024602044878865</v>
      </c>
      <c r="C9" s="74">
        <f>(getDistance(coord!C7,coord!D7,coord!$C$2,coord!$D$2)*1000)/$C$20</f>
        <v>0.11010461508476854</v>
      </c>
      <c r="D9" s="74">
        <f>(getDistance(coord!$C7,coord!$D7,coord!$C$3,coord!$D$3)*1000)/$D$20</f>
        <v>0.10692499951284801</v>
      </c>
      <c r="E9" s="74">
        <f>(getDistance(coord!$C7,coord!$D7,coord!$C$4,coord!$D$4)*1000)/$E$20</f>
        <v>8.8443511207543263E-2</v>
      </c>
      <c r="F9" s="74">
        <f>(getDistance(coord!$C7,coord!$D7,coord!$C$5,coord!$D$5)*1000)/$F$20</f>
        <v>4.5913757294255543E-2</v>
      </c>
      <c r="G9" s="74">
        <f>(getDistance(coord!$C7,coord!$D7,coord!$C$6,coord!$D$6)*1000)/$G$20</f>
        <v>4.0988037398308211E-2</v>
      </c>
      <c r="H9" s="75">
        <f>(getDistance(coord!$C7,coord!$D7,coord!$C$7,coord!$D$7)*1000)/$H$20</f>
        <v>0</v>
      </c>
      <c r="I9" s="74">
        <f>(getDistance(coord!$C7,coord!$D7,coord!$C$8,coord!$D$8)*1000)/$I$20</f>
        <v>3.8743657867997619E-2</v>
      </c>
      <c r="J9" s="74">
        <f>(getDistance(coord!$C7,coord!$D7,coord!$C$9,coord!$D$9)*1000)/$J$20</f>
        <v>4.9244496620776908E-2</v>
      </c>
      <c r="K9" s="74">
        <f>(getDistance(coord!$C7,coord!$D7,coord!$C$10,coord!$D$10)*1000)/$K$20</f>
        <v>5.9262873544274626E-2</v>
      </c>
      <c r="L9" s="74">
        <f>(getDistance(coord!$C7,coord!$D7,coord!$C$11,coord!$D$11)*1000)/$L$20</f>
        <v>7.6742677255341979E-2</v>
      </c>
      <c r="M9" s="74">
        <f>(getDistance(coord!$C7,coord!$D7,coord!$C$12,coord!$D$12)*1000)/$M$20</f>
        <v>1.4538514946681543E-2</v>
      </c>
      <c r="N9" s="74">
        <f>(getDistance(coord!$C7,coord!$D7,coord!$C$13,coord!$D$13)*1000)/$N$20</f>
        <v>9.6802630564305797E-2</v>
      </c>
      <c r="O9" s="74">
        <f>(getDistance(coord!$C7,coord!$D7,coord!$C$14,coord!$D$14)*1000)/$O$20</f>
        <v>0.10771118170244345</v>
      </c>
      <c r="P9" s="74">
        <f>(getDistance(coord!$C7,coord!$D7,coord!$C$15,coord!$D$15)*1000)/$P$20</f>
        <v>7.7887990092287598E-2</v>
      </c>
      <c r="Q9" s="74">
        <f>(getDistance(coord!$C7,coord!$D7,coord!$C$16,coord!$D$16)*1000)/$Q$20</f>
        <v>7.7230351239655826E-2</v>
      </c>
      <c r="R9" s="74">
        <f>(getDistance(coord!$C7,coord!$D7,coord!$C$17,coord!$D$17)*1000)/$R$20</f>
        <v>8.2165573782386259E-2</v>
      </c>
      <c r="S9" s="58" t="s">
        <v>20</v>
      </c>
      <c r="T9" s="59">
        <v>14</v>
      </c>
      <c r="U9" s="63">
        <v>7.586206896551724E-2</v>
      </c>
      <c r="V9" s="63">
        <v>7.8431372549019607E-2</v>
      </c>
      <c r="W9" s="61">
        <v>6.0606060606060608E-2</v>
      </c>
      <c r="X9" s="61">
        <v>8.5714285714285715E-2</v>
      </c>
      <c r="Y9" s="61">
        <v>7.0175438596491224E-2</v>
      </c>
      <c r="Z9" s="61">
        <v>7.9155672823219003E-2</v>
      </c>
      <c r="AA9" s="61">
        <v>8.6956521739130432E-2</v>
      </c>
      <c r="AB9" s="61">
        <v>7.2727272727272724E-2</v>
      </c>
      <c r="AC9" s="61">
        <v>7.1999999999999995E-2</v>
      </c>
      <c r="AD9" s="61">
        <v>6.3380281690140844E-2</v>
      </c>
      <c r="AE9" s="61">
        <v>8.4337349397590355E-2</v>
      </c>
      <c r="AF9" s="61">
        <v>8.2352941176470587E-2</v>
      </c>
      <c r="AG9" s="61">
        <v>9.8765432098765427E-2</v>
      </c>
      <c r="AH9" s="61">
        <v>9.2105263157894732E-2</v>
      </c>
      <c r="AI9" s="61">
        <v>8.1081081081081086E-2</v>
      </c>
      <c r="AJ9" s="61">
        <v>6.7073170731707321E-2</v>
      </c>
      <c r="AK9" s="62">
        <v>8.2568807339449546E-2</v>
      </c>
      <c r="AL9" s="82">
        <f t="shared" si="0"/>
        <v>7.8429001199652737E-2</v>
      </c>
    </row>
    <row r="10" spans="1:38" ht="15">
      <c r="A10" s="59">
        <v>8</v>
      </c>
      <c r="B10" s="74">
        <f>(getDistance(coord!C8,coord!D8,coord!$C$1,coord!$D$1)*1000)/$B$20</f>
        <v>7.8116539205215205E-2</v>
      </c>
      <c r="C10" s="74">
        <f>(getDistance(coord!C8,coord!D8,coord!$C$2,coord!$D$2)*1000)/$C$20</f>
        <v>7.5528201747367199E-2</v>
      </c>
      <c r="D10" s="74">
        <f>(getDistance(coord!$C8,coord!$D8,coord!$C$3,coord!$D$3)*1000)/$D$20</f>
        <v>6.9070986320844893E-2</v>
      </c>
      <c r="E10" s="74">
        <f>(getDistance(coord!$C8,coord!$D8,coord!$C$4,coord!$D$4)*1000)/$E$20</f>
        <v>7.3097961577115442E-2</v>
      </c>
      <c r="F10" s="74">
        <f>(getDistance(coord!$C8,coord!$D8,coord!$C$5,coord!$D$5)*1000)/$F$20</f>
        <v>6.9044686187920493E-3</v>
      </c>
      <c r="G10" s="74">
        <f>(getDistance(coord!$C8,coord!$D8,coord!$C$6,coord!$D$6)*1000)/$G$20</f>
        <v>1.6387876424078383E-2</v>
      </c>
      <c r="H10" s="74">
        <f>(getDistance(coord!$C8,coord!$D8,coord!$C$7,coord!$D$7)*1000)/$H$20</f>
        <v>2.7022289830822523E-2</v>
      </c>
      <c r="I10" s="75">
        <f>(getDistance(coord!$C8,coord!$D8,coord!$C$8,coord!$D$8)*1000)/$I$20</f>
        <v>0</v>
      </c>
      <c r="J10" s="74">
        <f>(getDistance(coord!$C8,coord!$D8,coord!$C$9,coord!$D$9)*1000)/$J$20</f>
        <v>1.8865925894248264E-2</v>
      </c>
      <c r="K10" s="74">
        <f>(getDistance(coord!$C8,coord!$D8,coord!$C$10,coord!$D$10)*1000)/$K$20</f>
        <v>1.9370649843554015E-2</v>
      </c>
      <c r="L10" s="74">
        <f>(getDistance(coord!$C8,coord!$D8,coord!$C$11,coord!$D$11)*1000)/$L$20</f>
        <v>5.3047541420967771E-2</v>
      </c>
      <c r="M10" s="74">
        <f>(getDistance(coord!$C8,coord!$D8,coord!$C$12,coord!$D$12)*1000)/$M$20</f>
        <v>3.5229351517956919E-2</v>
      </c>
      <c r="N10" s="74">
        <f>(getDistance(coord!$C8,coord!$D8,coord!$C$13,coord!$D$13)*1000)/$N$20</f>
        <v>7.6712397791357037E-2</v>
      </c>
      <c r="O10" s="74">
        <f>(getDistance(coord!$C8,coord!$D8,coord!$C$14,coord!$D$14)*1000)/$O$20</f>
        <v>7.9191169760593288E-2</v>
      </c>
      <c r="P10" s="74">
        <f>(getDistance(coord!$C8,coord!$D8,coord!$C$15,coord!$D$15)*1000)/$P$20</f>
        <v>4.4365082357417922E-2</v>
      </c>
      <c r="Q10" s="74">
        <f>(getDistance(coord!$C8,coord!$D8,coord!$C$16,coord!$D$16)*1000)/$Q$20</f>
        <v>5.516766485577608E-2</v>
      </c>
      <c r="R10" s="74">
        <f>(getDistance(coord!$C8,coord!$D8,coord!$C$17,coord!$D$17)*1000)/$R$20</f>
        <v>5.0786616553483946E-2</v>
      </c>
      <c r="S10" s="58" t="s">
        <v>21</v>
      </c>
      <c r="T10" s="59">
        <v>15</v>
      </c>
      <c r="U10" s="63">
        <v>8.2758620689655171E-2</v>
      </c>
      <c r="V10" s="63">
        <v>9.8039215686274508E-2</v>
      </c>
      <c r="W10" s="61">
        <v>6.0606060606060608E-2</v>
      </c>
      <c r="X10" s="61">
        <v>0.11428571428571428</v>
      </c>
      <c r="Y10" s="61">
        <v>7.0175438596491224E-2</v>
      </c>
      <c r="Z10" s="61">
        <v>7.9155672823219003E-2</v>
      </c>
      <c r="AA10" s="61">
        <v>8.6956521739130432E-2</v>
      </c>
      <c r="AB10" s="61">
        <v>7.2727272727272724E-2</v>
      </c>
      <c r="AC10" s="61">
        <v>9.6000000000000002E-2</v>
      </c>
      <c r="AD10" s="61">
        <v>6.3380281690140844E-2</v>
      </c>
      <c r="AE10" s="61">
        <v>9.6385542168674704E-2</v>
      </c>
      <c r="AF10" s="61">
        <v>9.4117647058823528E-2</v>
      </c>
      <c r="AG10" s="61">
        <v>9.8765432098765427E-2</v>
      </c>
      <c r="AH10" s="61">
        <v>9.2105263157894732E-2</v>
      </c>
      <c r="AI10" s="61">
        <v>8.1081081081081086E-2</v>
      </c>
      <c r="AJ10" s="61">
        <v>7.926829268292683E-2</v>
      </c>
      <c r="AK10" s="62">
        <v>8.2568807339449546E-2</v>
      </c>
      <c r="AL10" s="82">
        <f t="shared" si="0"/>
        <v>8.519863908421027E-2</v>
      </c>
    </row>
    <row r="11" spans="1:38" ht="15">
      <c r="A11" s="59">
        <v>9</v>
      </c>
      <c r="B11" s="74">
        <f>(getDistance(coord!C9,coord!D9,coord!$C$1,coord!$D$1)*1000)/$B$20</f>
        <v>7.6853360723040068E-2</v>
      </c>
      <c r="C11" s="74">
        <f>(getDistance(coord!C9,coord!D9,coord!$C$2,coord!$D$2)*1000)/$C$20</f>
        <v>7.2892421099228111E-2</v>
      </c>
      <c r="D11" s="74">
        <f>(getDistance(coord!$C9,coord!$D9,coord!$C$3,coord!$D$3)*1000)/$D$20</f>
        <v>6.6269419242501834E-2</v>
      </c>
      <c r="E11" s="74">
        <f>(getDistance(coord!$C9,coord!$D9,coord!$C$4,coord!$D$4)*1000)/$E$20</f>
        <v>7.7821029734533517E-2</v>
      </c>
      <c r="F11" s="74">
        <f>(getDistance(coord!$C9,coord!$D9,coord!$C$5,coord!$D$5)*1000)/$F$20</f>
        <v>1.4494974915072205E-2</v>
      </c>
      <c r="G11" s="74">
        <f>(getDistance(coord!$C9,coord!$D9,coord!$C$6,coord!$D$6)*1000)/$G$20</f>
        <v>3.4541692980885677E-2</v>
      </c>
      <c r="H11" s="74">
        <f>(getDistance(coord!$C9,coord!$D9,coord!$C$7,coord!$D$7)*1000)/$H$20</f>
        <v>3.5418663225925767E-2</v>
      </c>
      <c r="I11" s="74">
        <f>(getDistance(coord!$C9,coord!$D9,coord!$C$8,coord!$D$8)*1000)/$I$20</f>
        <v>1.9454992196515256E-2</v>
      </c>
      <c r="J11" s="75">
        <f>(getDistance(coord!$C9,coord!$D9,coord!$C$9,coord!$D$9)*1000)/$J$20</f>
        <v>0</v>
      </c>
      <c r="K11" s="74">
        <f>(getDistance(coord!$C9,coord!$D9,coord!$C$10,coord!$D$10)*1000)/$K$20</f>
        <v>3.0051966035264915E-2</v>
      </c>
      <c r="L11" s="74">
        <f>(getDistance(coord!$C9,coord!$D9,coord!$C$11,coord!$D$11)*1000)/$L$20</f>
        <v>6.3956981472842303E-2</v>
      </c>
      <c r="M11" s="74">
        <f>(getDistance(coord!$C9,coord!$D9,coord!$C$12,coord!$D$12)*1000)/$M$20</f>
        <v>4.3841191653188123E-2</v>
      </c>
      <c r="N11" s="74">
        <f>(getDistance(coord!$C9,coord!$D9,coord!$C$13,coord!$D$13)*1000)/$N$20</f>
        <v>8.0008565439865093E-2</v>
      </c>
      <c r="O11" s="74">
        <f>(getDistance(coord!$C9,coord!$D9,coord!$C$14,coord!$D$14)*1000)/$O$20</f>
        <v>7.9114399096281499E-2</v>
      </c>
      <c r="P11" s="74">
        <f>(getDistance(coord!$C9,coord!$D9,coord!$C$15,coord!$D$15)*1000)/$P$20</f>
        <v>2.9333697451410307E-2</v>
      </c>
      <c r="Q11" s="74">
        <f>(getDistance(coord!$C9,coord!$D9,coord!$C$16,coord!$D$16)*1000)/$Q$20</f>
        <v>4.2305951765213359E-2</v>
      </c>
      <c r="R11" s="74">
        <f>(getDistance(coord!$C9,coord!$D9,coord!$C$17,coord!$D$17)*1000)/$R$20</f>
        <v>3.6437900182833403E-2</v>
      </c>
      <c r="S11" s="58" t="s">
        <v>22</v>
      </c>
      <c r="T11" s="59">
        <v>16</v>
      </c>
      <c r="U11" s="63">
        <v>8.2758620689655171E-2</v>
      </c>
      <c r="V11" s="63">
        <v>9.8039215686274508E-2</v>
      </c>
      <c r="W11" s="61">
        <v>6.0606060606060608E-2</v>
      </c>
      <c r="X11" s="61">
        <v>0.11428571428571428</v>
      </c>
      <c r="Y11" s="61">
        <v>7.0175438596491224E-2</v>
      </c>
      <c r="Z11" s="61">
        <v>7.9155672823219003E-2</v>
      </c>
      <c r="AA11" s="61">
        <v>8.6956521739130432E-2</v>
      </c>
      <c r="AB11" s="61">
        <v>7.2727272727272724E-2</v>
      </c>
      <c r="AC11" s="61">
        <v>9.6000000000000002E-2</v>
      </c>
      <c r="AD11" s="61">
        <v>6.3380281690140844E-2</v>
      </c>
      <c r="AE11" s="61">
        <v>9.6385542168674704E-2</v>
      </c>
      <c r="AF11" s="61">
        <v>9.4117647058823528E-2</v>
      </c>
      <c r="AG11" s="61">
        <v>9.8765432098765427E-2</v>
      </c>
      <c r="AH11" s="61">
        <v>9.2105263157894732E-2</v>
      </c>
      <c r="AI11" s="61">
        <v>8.1081081081081086E-2</v>
      </c>
      <c r="AJ11" s="61">
        <v>9.1463414634146339E-2</v>
      </c>
      <c r="AK11" s="62">
        <v>7.3394495412844041E-2</v>
      </c>
      <c r="AL11" s="82">
        <f t="shared" si="0"/>
        <v>8.5376333791540512E-2</v>
      </c>
    </row>
    <row r="12" spans="1:38" ht="15">
      <c r="A12" s="59">
        <v>10</v>
      </c>
      <c r="B12" s="74">
        <f>(getDistance(coord!C10,coord!D10,coord!$C$1,coord!$D$1)*1000)/$B$20</f>
        <v>6.3600540027924646E-2</v>
      </c>
      <c r="C12" s="74">
        <f>(getDistance(coord!C10,coord!D10,coord!$C$2,coord!$D$2)*1000)/$C$20</f>
        <v>6.0709928608488055E-2</v>
      </c>
      <c r="D12" s="74">
        <f>(getDistance(coord!$C10,coord!$D10,coord!$C$3,coord!$D$3)*1000)/$D$20</f>
        <v>5.3140429031264647E-2</v>
      </c>
      <c r="E12" s="74">
        <f>(getDistance(coord!$C10,coord!$D10,coord!$C$4,coord!$D$4)*1000)/$E$20</f>
        <v>6.3707311184292334E-2</v>
      </c>
      <c r="F12" s="74">
        <f>(getDistance(coord!$C10,coord!$D10,coord!$C$5,coord!$D$5)*1000)/$F$20</f>
        <v>1.6736583430925735E-2</v>
      </c>
      <c r="G12" s="74">
        <f>(getDistance(coord!$C10,coord!$D10,coord!$C$6,coord!$D$6)*1000)/$G$20</f>
        <v>1.6477274234803704E-2</v>
      </c>
      <c r="H12" s="74">
        <f>(getDistance(coord!$C10,coord!$D10,coord!$C$7,coord!$D$7)*1000)/$H$20</f>
        <v>3.8029499528976364E-2</v>
      </c>
      <c r="I12" s="74">
        <f>(getDistance(coord!$C10,coord!$D10,coord!$C$8,coord!$D$8)*1000)/$I$20</f>
        <v>1.7822169433337764E-2</v>
      </c>
      <c r="J12" s="74">
        <f>(getDistance(coord!$C10,coord!$D10,coord!$C$9,coord!$D$9)*1000)/$J$20</f>
        <v>2.6812439532441078E-2</v>
      </c>
      <c r="K12" s="75">
        <f>(getDistance(coord!$C10,coord!$D10,coord!$C$10,coord!$D$10)*1000)/$K$20</f>
        <v>0</v>
      </c>
      <c r="L12" s="74">
        <f>(getDistance(coord!$C10,coord!$D10,coord!$C$11,coord!$D$11)*1000)/$L$20</f>
        <v>3.9354063672278637E-2</v>
      </c>
      <c r="M12" s="74">
        <f>(getDistance(coord!$C10,coord!$D10,coord!$C$12,coord!$D$12)*1000)/$M$20</f>
        <v>4.2894568213011769E-2</v>
      </c>
      <c r="N12" s="74">
        <f>(getDistance(coord!$C10,coord!$D10,coord!$C$13,coord!$D$13)*1000)/$N$20</f>
        <v>6.5606399204571786E-2</v>
      </c>
      <c r="O12" s="74">
        <f>(getDistance(coord!$C10,coord!$D10,coord!$C$14,coord!$D$14)*1000)/$O$20</f>
        <v>6.5676574494798801E-2</v>
      </c>
      <c r="P12" s="74">
        <f>(getDistance(coord!$C10,coord!$D10,coord!$C$15,coord!$D$15)*1000)/$P$20</f>
        <v>4.0948212204785242E-2</v>
      </c>
      <c r="Q12" s="74">
        <f>(getDistance(coord!$C10,coord!$D10,coord!$C$16,coord!$D$16)*1000)/$Q$20</f>
        <v>5.3859370950850576E-2</v>
      </c>
      <c r="R12" s="74">
        <f>(getDistance(coord!$C10,coord!$D10,coord!$C$17,coord!$D$17)*1000)/$R$20</f>
        <v>4.684761894464741E-2</v>
      </c>
      <c r="S12" s="58" t="s">
        <v>23</v>
      </c>
      <c r="T12" s="59">
        <v>17</v>
      </c>
      <c r="U12" s="63">
        <v>8.2758620689655171E-2</v>
      </c>
      <c r="V12" s="63">
        <v>9.8039215686274508E-2</v>
      </c>
      <c r="W12" s="61">
        <v>6.0606060606060608E-2</v>
      </c>
      <c r="X12" s="61">
        <v>0.11428571428571428</v>
      </c>
      <c r="Y12" s="61">
        <v>7.0175438596491224E-2</v>
      </c>
      <c r="Z12" s="61">
        <v>7.9155672823219003E-2</v>
      </c>
      <c r="AA12" s="61">
        <v>8.6956521739130432E-2</v>
      </c>
      <c r="AB12" s="61">
        <v>7.2727272727272724E-2</v>
      </c>
      <c r="AC12" s="61">
        <v>9.6000000000000002E-2</v>
      </c>
      <c r="AD12" s="61">
        <v>5.6338028169014086E-2</v>
      </c>
      <c r="AE12" s="61">
        <v>9.6385542168674704E-2</v>
      </c>
      <c r="AF12" s="61">
        <v>9.4117647058823528E-2</v>
      </c>
      <c r="AG12" s="61">
        <v>8.6419753086419748E-2</v>
      </c>
      <c r="AH12" s="61">
        <v>7.8947368421052627E-2</v>
      </c>
      <c r="AI12" s="61">
        <v>8.1081081081081086E-2</v>
      </c>
      <c r="AJ12" s="61">
        <v>9.7560975609756101E-2</v>
      </c>
      <c r="AK12" s="62">
        <v>7.3394495412844041E-2</v>
      </c>
      <c r="AL12" s="82">
        <f t="shared" si="0"/>
        <v>8.3820553421263766E-2</v>
      </c>
    </row>
    <row r="13" spans="1:38" ht="15">
      <c r="A13" s="59">
        <v>11</v>
      </c>
      <c r="B13" s="74">
        <f>(getDistance(coord!C11,coord!D11,coord!$C$1,coord!$D$1)*1000)/$B$20</f>
        <v>5.3003930552678102E-2</v>
      </c>
      <c r="C13" s="74">
        <f>(getDistance(coord!C11,coord!D11,coord!$C$2,coord!$D$2)*1000)/$C$20</f>
        <v>5.5340149093294128E-2</v>
      </c>
      <c r="D13" s="74">
        <f>(getDistance(coord!$C11,coord!$D11,coord!$C$3,coord!$D$3)*1000)/$D$20</f>
        <v>5.2960760993775863E-2</v>
      </c>
      <c r="E13" s="74">
        <f>(getDistance(coord!$C11,coord!$D11,coord!$C$4,coord!$D$4)*1000)/$E$20</f>
        <v>4.1105496003302211E-2</v>
      </c>
      <c r="F13" s="74">
        <f>(getDistance(coord!$C11,coord!$D11,coord!$C$5,coord!$D$5)*1000)/$F$20</f>
        <v>6.1658373422498379E-2</v>
      </c>
      <c r="G13" s="74">
        <f>(getDistance(coord!$C11,coord!$D11,coord!$C$6,coord!$D$6)*1000)/$G$20</f>
        <v>4.5039467747617051E-2</v>
      </c>
      <c r="H13" s="74">
        <f>(getDistance(coord!$C11,coord!$D11,coord!$C$7,coord!$D$7)*1000)/$H$20</f>
        <v>5.9789996895561061E-2</v>
      </c>
      <c r="I13" s="74">
        <f>(getDistance(coord!$C11,coord!$D11,coord!$C$8,coord!$D$8)*1000)/$I$20</f>
        <v>5.9256407557506004E-2</v>
      </c>
      <c r="J13" s="74">
        <f>(getDistance(coord!$C11,coord!$D11,coord!$C$9,coord!$D$9)*1000)/$J$20</f>
        <v>6.9279553469114658E-2</v>
      </c>
      <c r="K13" s="74">
        <f>(getDistance(coord!$C11,coord!$D11,coord!$C$10,coord!$D$10)*1000)/$K$20</f>
        <v>4.7779683050346779E-2</v>
      </c>
      <c r="L13" s="75">
        <f>(getDistance(coord!$C11,coord!$D11,coord!$C$11,coord!$D$11)*1000)/$L$20</f>
        <v>0</v>
      </c>
      <c r="M13" s="74">
        <f>(getDistance(coord!$C11,coord!$D11,coord!$C$12,coord!$D$12)*1000)/$M$20</f>
        <v>5.572497415185388E-2</v>
      </c>
      <c r="N13" s="74">
        <f>(getDistance(coord!$C11,coord!$D11,coord!$C$13,coord!$D$13)*1000)/$N$20</f>
        <v>4.3871153743780165E-2</v>
      </c>
      <c r="O13" s="74">
        <f>(getDistance(coord!$C11,coord!$D11,coord!$C$14,coord!$D$14)*1000)/$O$20</f>
        <v>5.1083997047246268E-2</v>
      </c>
      <c r="P13" s="74">
        <f>(getDistance(coord!$C11,coord!$D11,coord!$C$15,coord!$D$15)*1000)/$P$20</f>
        <v>7.4081405748092202E-2</v>
      </c>
      <c r="Q13" s="74">
        <f>(getDistance(coord!$C11,coord!$D11,coord!$C$16,coord!$D$16)*1000)/$Q$20</f>
        <v>7.6744460092839653E-2</v>
      </c>
      <c r="R13" s="74">
        <f>(getDistance(coord!$C11,coord!$D11,coord!$C$17,coord!$D$17)*1000)/$R$20</f>
        <v>7.5515635864192812E-2</v>
      </c>
      <c r="S13" s="58" t="s">
        <v>24</v>
      </c>
      <c r="T13" s="59">
        <v>18</v>
      </c>
      <c r="U13" s="63">
        <v>8.2758620689655171E-2</v>
      </c>
      <c r="V13" s="63">
        <v>9.8039215686274508E-2</v>
      </c>
      <c r="W13" s="61">
        <v>6.0606060606060608E-2</v>
      </c>
      <c r="X13" s="61">
        <v>0.11428571428571428</v>
      </c>
      <c r="Y13" s="61">
        <v>7.0175438596491224E-2</v>
      </c>
      <c r="Z13" s="61">
        <v>7.9155672823219003E-2</v>
      </c>
      <c r="AA13" s="61">
        <v>6.5217391304347824E-2</v>
      </c>
      <c r="AB13" s="61">
        <v>7.2727272727272724E-2</v>
      </c>
      <c r="AC13" s="61">
        <v>9.6000000000000002E-2</v>
      </c>
      <c r="AD13" s="61">
        <v>5.6338028169014086E-2</v>
      </c>
      <c r="AE13" s="61">
        <v>8.4337349397590355E-2</v>
      </c>
      <c r="AF13" s="61">
        <v>9.4117647058823528E-2</v>
      </c>
      <c r="AG13" s="61">
        <v>7.407407407407407E-2</v>
      </c>
      <c r="AH13" s="61">
        <v>6.5789473684210523E-2</v>
      </c>
      <c r="AI13" s="61">
        <v>6.7567567567567571E-2</v>
      </c>
      <c r="AJ13" s="61">
        <v>9.7560975609756101E-2</v>
      </c>
      <c r="AK13" s="62">
        <v>6.4220183486238536E-2</v>
      </c>
      <c r="AL13" s="82">
        <f t="shared" si="0"/>
        <v>7.8998275633312381E-2</v>
      </c>
    </row>
    <row r="14" spans="1:38" ht="15">
      <c r="A14" s="59">
        <v>12</v>
      </c>
      <c r="B14" s="74">
        <f>(getDistance(coord!C12,coord!D12,coord!$C$1,coord!$D$1)*1000)/$B$20</f>
        <v>0.12442312897060948</v>
      </c>
      <c r="C14" s="74">
        <f>(getDistance(coord!C12,coord!D12,coord!$C$2,coord!$D$2)*1000)/$C$20</f>
        <v>0.12613552986261042</v>
      </c>
      <c r="D14" s="74">
        <f>(getDistance(coord!$C12,coord!$D12,coord!$C$3,coord!$D$3)*1000)/$D$20</f>
        <v>0.12486504824989027</v>
      </c>
      <c r="E14" s="74">
        <f>(getDistance(coord!$C12,coord!$D12,coord!$C$4,coord!$D$4)*1000)/$E$20</f>
        <v>9.2033808712977699E-2</v>
      </c>
      <c r="F14" s="74">
        <f>(getDistance(coord!$C12,coord!$D12,coord!$C$5,coord!$D$5)*1000)/$F$20</f>
        <v>6.8309619236441591E-2</v>
      </c>
      <c r="G14" s="74">
        <f>(getDistance(coord!$C12,coord!$D12,coord!$C$6,coord!$D$6)*1000)/$G$20</f>
        <v>5.6183082430647978E-2</v>
      </c>
      <c r="H14" s="74">
        <f>(getDistance(coord!$C12,coord!$D12,coord!$C$7,coord!$D$7)*1000)/$H$20</f>
        <v>1.722571046413977E-2</v>
      </c>
      <c r="I14" s="74">
        <f>(getDistance(coord!$C12,coord!$D12,coord!$C$8,coord!$D$8)*1000)/$I$20</f>
        <v>5.9846701388051766E-2</v>
      </c>
      <c r="J14" s="74">
        <f>(getDistance(coord!$C12,coord!$D12,coord!$C$9,coord!$D$9)*1000)/$J$20</f>
        <v>7.2221246955502236E-2</v>
      </c>
      <c r="K14" s="74">
        <f>(getDistance(coord!$C12,coord!$D12,coord!$C$10,coord!$D$10)*1000)/$K$20</f>
        <v>7.919932715662388E-2</v>
      </c>
      <c r="L14" s="74">
        <f>(getDistance(coord!$C12,coord!$D12,coord!$C$11,coord!$D$11)*1000)/$L$20</f>
        <v>8.4745254194830075E-2</v>
      </c>
      <c r="M14" s="75">
        <f>(getDistance(coord!$C12,coord!$D12,coord!$C$12,coord!$D$12)*1000)/$M$20</f>
        <v>0</v>
      </c>
      <c r="N14" s="74">
        <f>(getDistance(coord!$C12,coord!$D12,coord!$C$13,coord!$D$13)*1000)/$N$20</f>
        <v>0.10320279985749732</v>
      </c>
      <c r="O14" s="74">
        <f>(getDistance(coord!$C12,coord!$D12,coord!$C$14,coord!$D$14)*1000)/$O$20</f>
        <v>0.11958450576045555</v>
      </c>
      <c r="P14" s="74">
        <f>(getDistance(coord!$C12,coord!$D12,coord!$C$15,coord!$D$15)*1000)/$P$20</f>
        <v>0.10028480156895668</v>
      </c>
      <c r="Q14" s="74">
        <f>(getDistance(coord!$C12,coord!$D12,coord!$C$16,coord!$D$16)*1000)/$Q$20</f>
        <v>9.4494373602843837E-2</v>
      </c>
      <c r="R14" s="74">
        <f>(getDistance(coord!$C12,coord!$D12,coord!$C$17,coord!$D$17)*1000)/$R$20</f>
        <v>0.10336144240353058</v>
      </c>
      <c r="S14" s="58" t="s">
        <v>25</v>
      </c>
      <c r="T14" s="59">
        <v>19</v>
      </c>
      <c r="U14" s="63">
        <v>8.2758620689655171E-2</v>
      </c>
      <c r="V14" s="63">
        <v>9.8039215686274508E-2</v>
      </c>
      <c r="W14" s="61">
        <v>6.0606060606060608E-2</v>
      </c>
      <c r="X14" s="61">
        <v>9.5238095238095233E-2</v>
      </c>
      <c r="Y14" s="61">
        <v>7.0175438596491224E-2</v>
      </c>
      <c r="Z14" s="61">
        <v>7.9155672823219003E-2</v>
      </c>
      <c r="AA14" s="61">
        <v>6.5217391304347824E-2</v>
      </c>
      <c r="AB14" s="61">
        <v>7.2727272727272724E-2</v>
      </c>
      <c r="AC14" s="61">
        <v>9.6000000000000002E-2</v>
      </c>
      <c r="AD14" s="61">
        <v>6.3380281690140844E-2</v>
      </c>
      <c r="AE14" s="61">
        <v>7.2289156626506021E-2</v>
      </c>
      <c r="AF14" s="61">
        <v>8.2352941176470587E-2</v>
      </c>
      <c r="AG14" s="61">
        <v>6.1728395061728392E-2</v>
      </c>
      <c r="AH14" s="61">
        <v>5.2631578947368418E-2</v>
      </c>
      <c r="AI14" s="61">
        <v>5.4054054054054057E-2</v>
      </c>
      <c r="AJ14" s="61">
        <v>8.5365853658536592E-2</v>
      </c>
      <c r="AK14" s="62">
        <v>5.5045871559633031E-2</v>
      </c>
      <c r="AL14" s="82">
        <f t="shared" si="0"/>
        <v>7.3339170614462018E-2</v>
      </c>
    </row>
    <row r="15" spans="1:38" ht="15">
      <c r="A15" s="59">
        <v>13</v>
      </c>
      <c r="B15" s="74">
        <f>(getDistance(coord!C13,coord!D13,coord!$C$1,coord!$D$1)*1000)/$B$20</f>
        <v>4.3406939779412235E-2</v>
      </c>
      <c r="C15" s="74">
        <f>(getDistance(coord!C13,coord!D13,coord!$C$2,coord!$D$2)*1000)/$C$20</f>
        <v>5.5092401920754E-2</v>
      </c>
      <c r="D15" s="74">
        <f>(getDistance(coord!$C13,coord!$D13,coord!$C$3,coord!$D$3)*1000)/$D$20</f>
        <v>6.8007338920972327E-2</v>
      </c>
      <c r="E15" s="74">
        <f>(getDistance(coord!$C13,coord!$D13,coord!$C$4,coord!$D$4)*1000)/$E$20</f>
        <v>1.4438397823923838E-2</v>
      </c>
      <c r="F15" s="74">
        <f>(getDistance(coord!$C13,coord!$D13,coord!$C$5,coord!$D$5)*1000)/$F$20</f>
        <v>0.1240891523847116</v>
      </c>
      <c r="G15" s="74">
        <f>(getDistance(coord!$C13,coord!$D13,coord!$C$6,coord!$D$6)*1000)/$G$20</f>
        <v>0.11076152027668346</v>
      </c>
      <c r="H15" s="74">
        <f>(getDistance(coord!$C13,coord!$D13,coord!$C$7,coord!$D$7)*1000)/$H$20</f>
        <v>0.10772280686510681</v>
      </c>
      <c r="I15" s="74">
        <f>(getDistance(coord!$C13,coord!$D13,coord!$C$8,coord!$D$8)*1000)/$I$20</f>
        <v>0.12239524124525568</v>
      </c>
      <c r="J15" s="74">
        <f>(getDistance(coord!$C13,coord!$D13,coord!$C$9,coord!$D$9)*1000)/$J$20</f>
        <v>0.12378913316752277</v>
      </c>
      <c r="K15" s="74">
        <f>(getDistance(coord!$C13,coord!$D13,coord!$C$10,coord!$D$10)*1000)/$K$20</f>
        <v>0.11377027287175775</v>
      </c>
      <c r="L15" s="74">
        <f>(getDistance(coord!$C13,coord!$D13,coord!$C$11,coord!$D$11)*1000)/$L$20</f>
        <v>6.2662536812475564E-2</v>
      </c>
      <c r="M15" s="74">
        <f>(getDistance(coord!$C13,coord!$D13,coord!$C$12,coord!$D$12)*1000)/$M$20</f>
        <v>9.6929257430178856E-2</v>
      </c>
      <c r="N15" s="75">
        <f>(getDistance(coord!$C13,coord!$D13,coord!$C$13,coord!$D$13)*1000)/$N$20</f>
        <v>0</v>
      </c>
      <c r="O15" s="74">
        <f>(getDistance(coord!$C13,coord!$D13,coord!$C$14,coord!$D$14)*1000)/$O$20</f>
        <v>3.0320827121779963E-2</v>
      </c>
      <c r="P15" s="74">
        <f>(getDistance(coord!$C13,coord!$D13,coord!$C$15,coord!$D$15)*1000)/$P$20</f>
        <v>0.11247572642383664</v>
      </c>
      <c r="Q15" s="74">
        <f>(getDistance(coord!$C13,coord!$D13,coord!$C$16,coord!$D$16)*1000)/$Q$20</f>
        <v>9.6992800532127305E-2</v>
      </c>
      <c r="R15" s="74">
        <f>(getDistance(coord!$C13,coord!$D13,coord!$C$17,coord!$D$17)*1000)/$R$20</f>
        <v>0.10656888739771539</v>
      </c>
      <c r="S15" s="58" t="s">
        <v>26</v>
      </c>
      <c r="T15" s="59">
        <v>20</v>
      </c>
      <c r="U15" s="63">
        <v>6.2068965517241378E-2</v>
      </c>
      <c r="V15" s="63">
        <v>5.8823529411764705E-2</v>
      </c>
      <c r="W15" s="61">
        <v>6.0606060606060608E-2</v>
      </c>
      <c r="X15" s="61">
        <v>6.6666666666666666E-2</v>
      </c>
      <c r="Y15" s="61">
        <v>6.1403508771929821E-2</v>
      </c>
      <c r="Z15" s="61">
        <v>7.9155672823219003E-2</v>
      </c>
      <c r="AA15" s="61">
        <v>4.3478260869565216E-2</v>
      </c>
      <c r="AB15" s="61">
        <v>0.16363636363636364</v>
      </c>
      <c r="AC15" s="61">
        <v>7.1999999999999995E-2</v>
      </c>
      <c r="AD15" s="61">
        <v>6.3380281690140844E-2</v>
      </c>
      <c r="AE15" s="61">
        <v>6.0240963855421686E-2</v>
      </c>
      <c r="AF15" s="61">
        <v>7.0588235294117646E-2</v>
      </c>
      <c r="AG15" s="61">
        <v>4.9382716049382713E-2</v>
      </c>
      <c r="AH15" s="61">
        <v>3.9473684210526314E-2</v>
      </c>
      <c r="AI15" s="61">
        <v>5.4054054054054057E-2</v>
      </c>
      <c r="AJ15" s="61">
        <v>7.926829268292683E-2</v>
      </c>
      <c r="AK15" s="62">
        <v>4.5871559633027525E-2</v>
      </c>
      <c r="AL15" s="82">
        <f t="shared" si="0"/>
        <v>6.647640092778874E-2</v>
      </c>
    </row>
    <row r="16" spans="1:38" ht="15">
      <c r="A16" s="59">
        <v>14</v>
      </c>
      <c r="B16" s="74">
        <f>(getDistance(coord!C14,coord!D14,coord!$C$1,coord!$D$1)*1000)/$B$20</f>
        <v>1.1391037810811092E-2</v>
      </c>
      <c r="C16" s="74">
        <f>(getDistance(coord!C14,coord!D14,coord!$C$2,coord!$D$2)*1000)/$C$20</f>
        <v>2.1857505644037514E-2</v>
      </c>
      <c r="D16" s="74">
        <f>(getDistance(coord!$C14,coord!$D14,coord!$C$3,coord!$D$3)*1000)/$D$20</f>
        <v>3.5317455666289209E-2</v>
      </c>
      <c r="E16" s="74">
        <f>(getDistance(coord!$C14,coord!$D14,coord!$C$4,coord!$D$4)*1000)/$E$20</f>
        <v>3.5308611522660197E-2</v>
      </c>
      <c r="F16" s="74">
        <f>(getDistance(coord!$C14,coord!$D14,coord!$C$5,coord!$D$5)*1000)/$F$20</f>
        <v>0.10115541709631623</v>
      </c>
      <c r="G16" s="74">
        <f>(getDistance(coord!$C14,coord!$D14,coord!$C$6,coord!$D$6)*1000)/$G$20</f>
        <v>9.5442598560997072E-2</v>
      </c>
      <c r="H16" s="74">
        <f>(getDistance(coord!$C14,coord!$D14,coord!$C$7,coord!$D$7)*1000)/$H$20</f>
        <v>9.6695571475339706E-2</v>
      </c>
      <c r="I16" s="74">
        <f>(getDistance(coord!$C14,coord!$D14,coord!$C$8,coord!$D$8)*1000)/$I$20</f>
        <v>0.10192976553023066</v>
      </c>
      <c r="J16" s="74">
        <f>(getDistance(coord!$C14,coord!$D14,coord!$C$9,coord!$D$9)*1000)/$J$20</f>
        <v>9.8747671612708338E-2</v>
      </c>
      <c r="K16" s="74">
        <f>(getDistance(coord!$C14,coord!$D14,coord!$C$10,coord!$D$10)*1000)/$K$20</f>
        <v>9.1879449125607152E-2</v>
      </c>
      <c r="L16" s="74">
        <f>(getDistance(coord!$C14,coord!$D14,coord!$C$11,coord!$D$11)*1000)/$L$20</f>
        <v>5.8862551050327262E-2</v>
      </c>
      <c r="M16" s="74">
        <f>(getDistance(coord!$C14,coord!$D14,coord!$C$12,coord!$D$12)*1000)/$M$20</f>
        <v>9.0607388008584963E-2</v>
      </c>
      <c r="N16" s="74">
        <f>(getDistance(coord!$C14,coord!$D14,coord!$C$13,coord!$D$13)*1000)/$N$20</f>
        <v>2.4460556662748552E-2</v>
      </c>
      <c r="O16" s="75">
        <f>(getDistance(coord!$C14,coord!$D14,coord!$C$14,coord!$D$14)*1000)/$O$20</f>
        <v>0</v>
      </c>
      <c r="P16" s="74">
        <f>(getDistance(coord!$C14,coord!$D14,coord!$C$15,coord!$D$15)*1000)/$P$20</f>
        <v>8.1435855710390165E-2</v>
      </c>
      <c r="Q16" s="74">
        <f>(getDistance(coord!$C14,coord!$D14,coord!$C$16,coord!$D$16)*1000)/$Q$20</f>
        <v>7.0823158857472049E-2</v>
      </c>
      <c r="R16" s="74">
        <f>(getDistance(coord!$C14,coord!$D14,coord!$C$17,coord!$D$17)*1000)/$R$20</f>
        <v>7.5540162362182181E-2</v>
      </c>
      <c r="S16" s="58" t="s">
        <v>27</v>
      </c>
      <c r="T16" s="59">
        <v>21</v>
      </c>
      <c r="U16" s="63">
        <v>5.5172413793103448E-2</v>
      </c>
      <c r="V16" s="63">
        <v>3.9215686274509803E-2</v>
      </c>
      <c r="W16" s="61">
        <v>6.0606060606060608E-2</v>
      </c>
      <c r="X16" s="61">
        <v>4.7619047619047616E-2</v>
      </c>
      <c r="Y16" s="61">
        <v>5.2631578947368418E-2</v>
      </c>
      <c r="Z16" s="61">
        <v>6.5963060686015831E-2</v>
      </c>
      <c r="AA16" s="61">
        <v>4.3478260869565216E-2</v>
      </c>
      <c r="AB16" s="61">
        <v>5.4545454545454543E-2</v>
      </c>
      <c r="AC16" s="61">
        <v>5.6000000000000001E-2</v>
      </c>
      <c r="AD16" s="61">
        <v>5.6338028169014086E-2</v>
      </c>
      <c r="AE16" s="61">
        <v>4.8192771084337352E-2</v>
      </c>
      <c r="AF16" s="61">
        <v>5.8823529411764705E-2</v>
      </c>
      <c r="AG16" s="61">
        <v>3.7037037037037035E-2</v>
      </c>
      <c r="AH16" s="61">
        <v>2.6315789473684209E-2</v>
      </c>
      <c r="AI16" s="61">
        <v>4.0540540540540543E-2</v>
      </c>
      <c r="AJ16" s="61">
        <v>7.3170731707317069E-2</v>
      </c>
      <c r="AK16" s="62">
        <v>3.669724770642202E-2</v>
      </c>
      <c r="AL16" s="82">
        <f t="shared" si="0"/>
        <v>5.0138072851249556E-2</v>
      </c>
    </row>
    <row r="17" spans="1:38" ht="15">
      <c r="A17" s="59">
        <v>15</v>
      </c>
      <c r="B17" s="74">
        <f>(getDistance(coord!C15,coord!D15,coord!$C$1,coord!$D$1)*1000)/$B$20</f>
        <v>6.159839731125575E-2</v>
      </c>
      <c r="C17" s="74">
        <f>(getDistance(coord!C15,coord!D15,coord!$C$2,coord!$D$2)*1000)/$C$20</f>
        <v>5.5626049614270444E-2</v>
      </c>
      <c r="D17" s="74">
        <f>(getDistance(coord!$C15,coord!$D15,coord!$C$3,coord!$D$3)*1000)/$D$20</f>
        <v>4.9195690408532458E-2</v>
      </c>
      <c r="E17" s="74">
        <f>(getDistance(coord!$C15,coord!$D15,coord!$C$4,coord!$D$4)*1000)/$E$20</f>
        <v>7.4892785326375819E-2</v>
      </c>
      <c r="F17" s="74">
        <f>(getDistance(coord!$C15,coord!$D15,coord!$C$5,coord!$D$5)*1000)/$F$20</f>
        <v>4.088898791800083E-2</v>
      </c>
      <c r="G17" s="74">
        <f>(getDistance(coord!$C15,coord!$D15,coord!$C$6,coord!$D$6)*1000)/$G$20</f>
        <v>5.6571080039354259E-2</v>
      </c>
      <c r="H17" s="74">
        <f>(getDistance(coord!$C15,coord!$D15,coord!$C$7,coord!$D$7)*1000)/$H$20</f>
        <v>5.6781722241748413E-2</v>
      </c>
      <c r="I17" s="74">
        <f>(getDistance(coord!$C15,coord!$D15,coord!$C$8,coord!$D$8)*1000)/$I$20</f>
        <v>4.6372213769185183E-2</v>
      </c>
      <c r="J17" s="74">
        <f>(getDistance(coord!$C15,coord!$D15,coord!$C$9,coord!$D$9)*1000)/$J$20</f>
        <v>2.9732430251815069E-2</v>
      </c>
      <c r="K17" s="74">
        <f>(getDistance(coord!$C15,coord!$D15,coord!$C$10,coord!$D$10)*1000)/$K$20</f>
        <v>4.6519507142997685E-2</v>
      </c>
      <c r="L17" s="74">
        <f>(getDistance(coord!$C15,coord!$D15,coord!$C$11,coord!$D$11)*1000)/$L$20</f>
        <v>6.931954347696262E-2</v>
      </c>
      <c r="M17" s="74">
        <f>(getDistance(coord!$C15,coord!$D15,coord!$C$12,coord!$D$12)*1000)/$M$20</f>
        <v>6.1704393451557905E-2</v>
      </c>
      <c r="N17" s="74">
        <f>(getDistance(coord!$C15,coord!$D15,coord!$C$13,coord!$D$13)*1000)/$N$20</f>
        <v>7.3684538685649656E-2</v>
      </c>
      <c r="O17" s="74">
        <f>(getDistance(coord!$C15,coord!$D15,coord!$C$14,coord!$D$14)*1000)/$O$20</f>
        <v>6.6131433119642771E-2</v>
      </c>
      <c r="P17" s="75">
        <f>(getDistance(coord!$C15,coord!$D15,coord!$C$15,coord!$D$15)*1000)/$P$20</f>
        <v>0</v>
      </c>
      <c r="Q17" s="74">
        <f>(getDistance(coord!$C15,coord!$D15,coord!$C$16,coord!$D$16)*1000)/$Q$20</f>
        <v>2.3576226428328278E-2</v>
      </c>
      <c r="R17" s="74">
        <f>(getDistance(coord!$C15,coord!$D15,coord!$C$17,coord!$D$17)*1000)/$R$20</f>
        <v>9.0411429457393569E-3</v>
      </c>
      <c r="S17" s="58" t="s">
        <v>28</v>
      </c>
      <c r="T17" s="59">
        <v>22</v>
      </c>
      <c r="U17" s="63">
        <v>4.8275862068965517E-2</v>
      </c>
      <c r="V17" s="63">
        <v>1.9607843137254902E-2</v>
      </c>
      <c r="W17" s="61">
        <v>6.0606060606060608E-2</v>
      </c>
      <c r="X17" s="61">
        <v>2.8571428571428571E-2</v>
      </c>
      <c r="Y17" s="61">
        <v>5.2631578947368418E-2</v>
      </c>
      <c r="Z17" s="61">
        <v>6.5963060686015831E-2</v>
      </c>
      <c r="AA17" s="61">
        <v>4.3478260869565216E-2</v>
      </c>
      <c r="AB17" s="61">
        <v>5.4545454545454543E-2</v>
      </c>
      <c r="AC17" s="61">
        <v>4.8000000000000001E-2</v>
      </c>
      <c r="AD17" s="61">
        <v>5.6338028169014086E-2</v>
      </c>
      <c r="AE17" s="61">
        <v>3.614457831325301E-2</v>
      </c>
      <c r="AF17" s="61">
        <v>4.7058823529411764E-2</v>
      </c>
      <c r="AG17" s="61">
        <v>3.7037037037037035E-2</v>
      </c>
      <c r="AH17" s="61">
        <v>2.6315789473684209E-2</v>
      </c>
      <c r="AI17" s="61">
        <v>4.0540540540540543E-2</v>
      </c>
      <c r="AJ17" s="61">
        <v>4.2682926829268296E-2</v>
      </c>
      <c r="AK17" s="62">
        <v>3.669724770642202E-2</v>
      </c>
      <c r="AL17" s="82">
        <f t="shared" si="0"/>
        <v>4.3793795354749684E-2</v>
      </c>
    </row>
    <row r="18" spans="1:38" ht="15">
      <c r="A18" s="59">
        <v>16</v>
      </c>
      <c r="B18" s="74">
        <f>(getDistance(coord!C16,coord!D16,coord!$C$1,coord!$D$1)*1000)/$B$20</f>
        <v>7.4539863090210934E-2</v>
      </c>
      <c r="C18" s="74">
        <f>(getDistance(coord!C16,coord!D16,coord!$C$2,coord!$D$2)*1000)/$C$20</f>
        <v>6.9380858823358496E-2</v>
      </c>
      <c r="D18" s="74">
        <f>(getDistance(coord!$C16,coord!$D16,coord!$C$3,coord!$D$3)*1000)/$D$20</f>
        <v>6.8379776783968532E-2</v>
      </c>
      <c r="E18" s="74">
        <f>(getDistance(coord!$C16,coord!$D16,coord!$C$4,coord!$D$4)*1000)/$E$20</f>
        <v>8.7499184224573673E-2</v>
      </c>
      <c r="F18" s="74">
        <f>(getDistance(coord!$C16,coord!$D16,coord!$C$5,coord!$D$5)*1000)/$F$20</f>
        <v>7.3597659179639202E-2</v>
      </c>
      <c r="G18" s="74">
        <f>(getDistance(coord!$C16,coord!$D16,coord!$C$6,coord!$D$6)*1000)/$G$20</f>
        <v>8.8874981726127858E-2</v>
      </c>
      <c r="H18" s="74">
        <f>(getDistance(coord!$C16,coord!$D16,coord!$C$7,coord!$D$7)*1000)/$H$20</f>
        <v>7.6116828848675294E-2</v>
      </c>
      <c r="I18" s="74">
        <f>(getDistance(coord!$C16,coord!$D16,coord!$C$8,coord!$D$8)*1000)/$I$20</f>
        <v>7.7957113685623414E-2</v>
      </c>
      <c r="J18" s="74">
        <f>(getDistance(coord!$C16,coord!$D16,coord!$C$9,coord!$D$9)*1000)/$J$20</f>
        <v>5.7972186799735002E-2</v>
      </c>
      <c r="K18" s="74">
        <f>(getDistance(coord!$C16,coord!$D16,coord!$C$10,coord!$D$10)*1000)/$K$20</f>
        <v>8.2721052024025188E-2</v>
      </c>
      <c r="L18" s="74">
        <f>(getDistance(coord!$C16,coord!$D16,coord!$C$11,coord!$D$11)*1000)/$L$20</f>
        <v>9.708410399984746E-2</v>
      </c>
      <c r="M18" s="74">
        <f>(getDistance(coord!$C16,coord!$D16,coord!$C$12,coord!$D$12)*1000)/$M$20</f>
        <v>7.8603436061609189E-2</v>
      </c>
      <c r="N18" s="74">
        <f>(getDistance(coord!$C16,coord!$D16,coord!$C$13,coord!$D$13)*1000)/$N$20</f>
        <v>8.5903661228574124E-2</v>
      </c>
      <c r="O18" s="74">
        <f>(getDistance(coord!$C16,coord!$D16,coord!$C$14,coord!$D$14)*1000)/$O$20</f>
        <v>7.7753898977035094E-2</v>
      </c>
      <c r="P18" s="74">
        <f>(getDistance(coord!$C16,coord!$D16,coord!$C$15,coord!$D$15)*1000)/$P$20</f>
        <v>3.1873437683884037E-2</v>
      </c>
      <c r="Q18" s="75">
        <f>(getDistance(coord!$C16,coord!$D16,coord!$C$16,coord!$D$16)*1000)/$Q$20</f>
        <v>0</v>
      </c>
      <c r="R18" s="74">
        <f>(getDistance(coord!$C16,coord!$D16,coord!$C$17,coord!$D$17)*1000)/$R$20</f>
        <v>2.2366467553544888E-2</v>
      </c>
      <c r="S18" s="58" t="s">
        <v>29</v>
      </c>
      <c r="T18" s="59">
        <v>23</v>
      </c>
      <c r="U18" s="61">
        <v>2.7586206896551724E-2</v>
      </c>
      <c r="V18" s="61">
        <v>1.9607843137254902E-2</v>
      </c>
      <c r="W18" s="61">
        <v>6.0606060606060608E-2</v>
      </c>
      <c r="X18" s="61">
        <v>1.9047619047619049E-2</v>
      </c>
      <c r="Y18" s="61">
        <v>3.5087719298245612E-2</v>
      </c>
      <c r="Z18" s="61">
        <v>3.9577836411609502E-2</v>
      </c>
      <c r="AA18" s="61">
        <v>4.3478260869565216E-2</v>
      </c>
      <c r="AB18" s="61">
        <v>3.6363636363636362E-2</v>
      </c>
      <c r="AC18" s="61">
        <v>4.8000000000000001E-2</v>
      </c>
      <c r="AD18" s="61">
        <v>4.9295774647887321E-2</v>
      </c>
      <c r="AE18" s="61">
        <v>3.614457831325301E-2</v>
      </c>
      <c r="AF18" s="61">
        <v>2.3529411764705882E-2</v>
      </c>
      <c r="AG18" s="61">
        <v>2.4691358024691357E-2</v>
      </c>
      <c r="AH18" s="61">
        <v>2.6315789473684209E-2</v>
      </c>
      <c r="AI18" s="61">
        <v>2.7027027027027029E-2</v>
      </c>
      <c r="AJ18" s="61">
        <v>4.2682926829268296E-2</v>
      </c>
      <c r="AK18" s="62">
        <v>3.669724770642202E-2</v>
      </c>
      <c r="AL18" s="82">
        <f t="shared" si="0"/>
        <v>3.504348802455777E-2</v>
      </c>
    </row>
    <row r="19" spans="1:38" ht="15.75" thickBot="1">
      <c r="A19" s="60">
        <v>17</v>
      </c>
      <c r="B19" s="76">
        <f>(getDistance(coord!C17,coord!D17,coord!$C$1,coord!$D$1)*1000)/$B$20</f>
        <v>6.0432531522365308E-2</v>
      </c>
      <c r="C19" s="76">
        <f>(getDistance(coord!C17,coord!D17,coord!$C$2,coord!$D$2)*1000)/$C$20</f>
        <v>5.4221091431074626E-2</v>
      </c>
      <c r="D19" s="76">
        <f>(getDistance(coord!$C17,coord!$D17,coord!$C$3,coord!$D$3)*1000)/$D$20</f>
        <v>4.9108610527564232E-2</v>
      </c>
      <c r="E19" s="76">
        <f>(getDistance(coord!$C17,coord!$D17,coord!$C$4,coord!$D$4)*1000)/$E$20</f>
        <v>7.6124360699406909E-2</v>
      </c>
      <c r="F19" s="76">
        <f>(getDistance(coord!$C17,coord!$D17,coord!$C$5,coord!$D$5)*1000)/$F$20</f>
        <v>5.1221079450713469E-2</v>
      </c>
      <c r="G19" s="76">
        <f>(getDistance(coord!$C17,coord!$D17,coord!$C$6,coord!$D$6)*1000)/$G$20</f>
        <v>6.6054212362709239E-2</v>
      </c>
      <c r="H19" s="76">
        <f>(getDistance(coord!$C17,coord!$D17,coord!$C$7,coord!$D$7)*1000)/$H$20</f>
        <v>6.3641605632909978E-2</v>
      </c>
      <c r="I19" s="76">
        <f>(getDistance(coord!$C17,coord!$D17,coord!$C$8,coord!$D$8)*1000)/$I$20</f>
        <v>5.6399985146804513E-2</v>
      </c>
      <c r="J19" s="76">
        <f>(getDistance(coord!$C17,coord!$D17,coord!$C$9,coord!$D$9)*1000)/$J$20</f>
        <v>3.9240100764582453E-2</v>
      </c>
      <c r="K19" s="76">
        <f>(getDistance(coord!$C17,coord!$D17,coord!$C$10,coord!$D$10)*1000)/$K$20</f>
        <v>5.6545865245065975E-2</v>
      </c>
      <c r="L19" s="76">
        <f>(getDistance(coord!$C17,coord!$D17,coord!$C$11,coord!$D$11)*1000)/$L$20</f>
        <v>7.5075206325497953E-2</v>
      </c>
      <c r="M19" s="76">
        <f>(getDistance(coord!$C17,coord!$D17,coord!$C$12,coord!$D$12)*1000)/$M$20</f>
        <v>6.7569810514766349E-2</v>
      </c>
      <c r="N19" s="76">
        <f>(getDistance(coord!$C17,coord!$D17,coord!$C$13,coord!$D$13)*1000)/$N$20</f>
        <v>7.4175616662935109E-2</v>
      </c>
      <c r="O19" s="76">
        <f>(getDistance(coord!$C17,coord!$D17,coord!$C$14,coord!$D$14)*1000)/$O$20</f>
        <v>6.5175347551160764E-2</v>
      </c>
      <c r="P19" s="76">
        <f>(getDistance(coord!$C17,coord!$D17,coord!$C$15,coord!$D$15)*1000)/$P$20</f>
        <v>9.6058656335458042E-3</v>
      </c>
      <c r="Q19" s="76">
        <f>(getDistance(coord!$C17,coord!$D17,coord!$C$16,coord!$D$16)*1000)/$Q$20</f>
        <v>1.757745352532147E-2</v>
      </c>
      <c r="R19" s="77">
        <f>(getDistance(coord!$C17,coord!$D17,coord!$C$17,coord!$D$17)*1000)/$R$20</f>
        <v>0</v>
      </c>
      <c r="S19" s="58" t="s">
        <v>30</v>
      </c>
      <c r="T19" s="60">
        <v>24</v>
      </c>
      <c r="U19" s="64">
        <v>2.7586206896551724E-2</v>
      </c>
      <c r="V19" s="64">
        <v>1.9607843137254902E-2</v>
      </c>
      <c r="W19" s="64">
        <v>3.0303030303030304E-2</v>
      </c>
      <c r="X19" s="64">
        <v>1.9047619047619049E-2</v>
      </c>
      <c r="Y19" s="64">
        <v>3.5087719298245612E-2</v>
      </c>
      <c r="Z19" s="64">
        <v>3.9577836411609502E-2</v>
      </c>
      <c r="AA19" s="64">
        <v>4.3478260869565216E-2</v>
      </c>
      <c r="AB19" s="64">
        <v>3.6363636363636362E-2</v>
      </c>
      <c r="AC19" s="64">
        <v>4.8000000000000001E-2</v>
      </c>
      <c r="AD19" s="64">
        <v>4.9295774647887321E-2</v>
      </c>
      <c r="AE19" s="64">
        <v>3.614457831325301E-2</v>
      </c>
      <c r="AF19" s="64">
        <v>1.1764705882352941E-2</v>
      </c>
      <c r="AG19" s="64">
        <v>1.2345679012345678E-2</v>
      </c>
      <c r="AH19" s="64">
        <v>2.6315789473684209E-2</v>
      </c>
      <c r="AI19" s="64">
        <v>2.7027027027027029E-2</v>
      </c>
      <c r="AJ19" s="64">
        <v>3.6585365853658534E-2</v>
      </c>
      <c r="AK19" s="65">
        <v>2.7522935779816515E-2</v>
      </c>
      <c r="AL19" s="82">
        <f t="shared" si="0"/>
        <v>3.0944353430443401E-2</v>
      </c>
    </row>
    <row r="20" spans="1:38" ht="15" thickBot="1">
      <c r="A20" s="4"/>
      <c r="B20" s="68">
        <v>3829.978895979646</v>
      </c>
      <c r="C20" s="68">
        <v>3616.0678119784002</v>
      </c>
      <c r="D20" s="68">
        <v>3314.493706896405</v>
      </c>
      <c r="E20" s="68">
        <v>5923.847449148986</v>
      </c>
      <c r="F20" s="68">
        <v>3181.8203817365966</v>
      </c>
      <c r="G20" s="68">
        <v>3344.9676701526337</v>
      </c>
      <c r="H20" s="68">
        <v>4701.4158231582978</v>
      </c>
      <c r="I20" s="68">
        <v>3279.0662518609661</v>
      </c>
      <c r="J20" s="68">
        <v>3381.4512311458216</v>
      </c>
      <c r="K20" s="68">
        <v>3016.9392764720842</v>
      </c>
      <c r="L20" s="68">
        <v>3662.8594091928085</v>
      </c>
      <c r="M20" s="68">
        <v>5570.3920268510847</v>
      </c>
      <c r="N20" s="68">
        <v>5231.7763035809749</v>
      </c>
      <c r="O20" s="68">
        <v>4220.6025649162793</v>
      </c>
      <c r="P20" s="68">
        <v>3427.4152805487406</v>
      </c>
      <c r="Q20" s="68">
        <v>4633.6298853195376</v>
      </c>
      <c r="R20" s="68">
        <v>3641.4965290232485</v>
      </c>
      <c r="U20" s="66">
        <v>725</v>
      </c>
      <c r="V20" s="66">
        <v>255</v>
      </c>
      <c r="W20" s="66">
        <v>165</v>
      </c>
      <c r="X20" s="66">
        <v>525</v>
      </c>
      <c r="Y20" s="66">
        <v>570</v>
      </c>
      <c r="Z20" s="66">
        <v>379</v>
      </c>
      <c r="AA20" s="66">
        <v>230</v>
      </c>
      <c r="AB20" s="66">
        <v>275</v>
      </c>
      <c r="AC20" s="66">
        <v>625</v>
      </c>
      <c r="AD20" s="66">
        <v>710</v>
      </c>
      <c r="AE20" s="66">
        <v>415</v>
      </c>
      <c r="AF20" s="66">
        <v>425</v>
      </c>
      <c r="AG20" s="66">
        <v>405</v>
      </c>
      <c r="AH20" s="66">
        <v>380</v>
      </c>
      <c r="AI20" s="66">
        <v>370</v>
      </c>
      <c r="AJ20" s="66">
        <v>820</v>
      </c>
      <c r="AK20" s="66">
        <v>545</v>
      </c>
    </row>
    <row r="21" spans="1:38" ht="15" thickBot="1">
      <c r="A21" s="69" t="s">
        <v>4</v>
      </c>
      <c r="B21" s="70" t="s">
        <v>7</v>
      </c>
      <c r="C21" s="70" t="s">
        <v>9</v>
      </c>
      <c r="D21" s="70" t="s">
        <v>2</v>
      </c>
      <c r="E21" s="70" t="s">
        <v>1</v>
      </c>
      <c r="F21" s="70" t="s">
        <v>0</v>
      </c>
      <c r="G21" s="42"/>
      <c r="H21" s="43"/>
      <c r="I21" s="135" t="s">
        <v>33</v>
      </c>
      <c r="J21" s="135" t="s">
        <v>34</v>
      </c>
      <c r="K21" s="135" t="s">
        <v>35</v>
      </c>
      <c r="L21" s="160" t="s">
        <v>37</v>
      </c>
      <c r="M21" s="161" t="s">
        <v>38</v>
      </c>
      <c r="T21" s="56" t="s">
        <v>12</v>
      </c>
      <c r="U21" s="54">
        <v>1</v>
      </c>
      <c r="V21" s="54">
        <v>2</v>
      </c>
      <c r="W21" s="54">
        <v>3</v>
      </c>
      <c r="X21" s="54">
        <v>4</v>
      </c>
      <c r="Y21" s="54">
        <v>5</v>
      </c>
      <c r="Z21" s="54">
        <v>6</v>
      </c>
      <c r="AA21" s="54">
        <v>7</v>
      </c>
      <c r="AB21" s="54">
        <v>8</v>
      </c>
      <c r="AC21" s="54">
        <v>9</v>
      </c>
      <c r="AD21" s="54">
        <v>10</v>
      </c>
      <c r="AE21" s="54">
        <v>11</v>
      </c>
      <c r="AF21" s="54">
        <v>12</v>
      </c>
      <c r="AG21" s="54">
        <v>13</v>
      </c>
      <c r="AH21" s="54">
        <v>14</v>
      </c>
      <c r="AI21" s="54">
        <v>15</v>
      </c>
      <c r="AJ21" s="54">
        <v>16</v>
      </c>
      <c r="AK21" s="55">
        <v>17</v>
      </c>
    </row>
    <row r="22" spans="1:38">
      <c r="A22" s="59">
        <v>8</v>
      </c>
      <c r="B22" s="59">
        <v>10</v>
      </c>
      <c r="C22" s="89" t="str">
        <f t="shared" ref="C22:C38" si="1">VLOOKUP(B22,$A$3:$S$19,19,1)</f>
        <v>Peter Pan</v>
      </c>
      <c r="D22" s="94">
        <f>ABS(E22)</f>
        <v>0</v>
      </c>
      <c r="E22" s="8"/>
      <c r="F22" s="78">
        <f t="shared" ref="F22:F38" si="2">INDEX($T$2:$AK$19,MATCH(A22,$T$2:$T$19,0),MATCH(B22,$T$2:$AK$2,0))</f>
        <v>4.9295774647887321E-2</v>
      </c>
      <c r="G22" s="8"/>
      <c r="H22" s="79">
        <f>INDEX($T$21:$AK$38,MATCH(A22,$T$21:$T$38,0),MATCH(B22,$T$21:$AK$21,0))</f>
        <v>35</v>
      </c>
      <c r="I22" s="136">
        <v>1</v>
      </c>
      <c r="J22" s="137">
        <v>1</v>
      </c>
      <c r="K22" s="138">
        <v>8</v>
      </c>
      <c r="L22" s="154">
        <f>VLOOKUP(C22,coord!B:D,2,0)</f>
        <v>33.813205000000004</v>
      </c>
      <c r="M22" s="162">
        <f>VLOOKUP(C22,coord!B:D,3,0)</f>
        <v>-117.918857</v>
      </c>
      <c r="O22" s="66" t="s">
        <v>17</v>
      </c>
      <c r="T22" s="59">
        <v>8</v>
      </c>
      <c r="U22" s="82">
        <f t="shared" ref="U22:AK22" si="3">U3*U$20</f>
        <v>10</v>
      </c>
      <c r="V22" s="82">
        <f t="shared" si="3"/>
        <v>5</v>
      </c>
      <c r="W22" s="82">
        <f t="shared" si="3"/>
        <v>10</v>
      </c>
      <c r="X22" s="82">
        <f t="shared" si="3"/>
        <v>5.0000000000000009</v>
      </c>
      <c r="Y22" s="82">
        <f t="shared" si="3"/>
        <v>15</v>
      </c>
      <c r="Z22" s="82">
        <f t="shared" si="3"/>
        <v>5</v>
      </c>
      <c r="AA22" s="82">
        <f t="shared" si="3"/>
        <v>5</v>
      </c>
      <c r="AB22" s="82">
        <f t="shared" si="3"/>
        <v>5</v>
      </c>
      <c r="AC22" s="82">
        <f t="shared" si="3"/>
        <v>5</v>
      </c>
      <c r="AD22" s="82">
        <f t="shared" si="3"/>
        <v>35</v>
      </c>
      <c r="AE22" s="82">
        <f t="shared" si="3"/>
        <v>5</v>
      </c>
      <c r="AF22" s="82">
        <f t="shared" si="3"/>
        <v>5</v>
      </c>
      <c r="AG22" s="82">
        <f t="shared" si="3"/>
        <v>5</v>
      </c>
      <c r="AH22" s="82">
        <f t="shared" si="3"/>
        <v>5</v>
      </c>
      <c r="AI22" s="82">
        <f t="shared" si="3"/>
        <v>5</v>
      </c>
      <c r="AJ22" s="82">
        <f t="shared" si="3"/>
        <v>14.999999999999998</v>
      </c>
      <c r="AK22" s="82">
        <f t="shared" si="3"/>
        <v>5</v>
      </c>
    </row>
    <row r="23" spans="1:38">
      <c r="A23" s="59">
        <v>9</v>
      </c>
      <c r="B23" s="59">
        <v>7</v>
      </c>
      <c r="C23" s="89" t="str">
        <f t="shared" si="1"/>
        <v>Small World</v>
      </c>
      <c r="D23" s="94">
        <f t="shared" ref="D23:D38" si="4">ABS(E23)</f>
        <v>3.8029499528976364E-2</v>
      </c>
      <c r="E23" s="83">
        <f t="shared" ref="E23:E38" si="5">INDEX($A$2:$R$19,MATCH(B22,$A$2:$A$19,0),MATCH(B23,$A$2:$R$2,0))</f>
        <v>3.8029499528976364E-2</v>
      </c>
      <c r="F23" s="78">
        <f t="shared" si="2"/>
        <v>2.1739130434782608E-2</v>
      </c>
      <c r="G23" s="83">
        <f>INDEX($T$39:$AK$56,MATCH(B22,$T$39:$T$56,0),MATCH(B23,$T$39:$AK$39,0))</f>
        <v>178.79249083232051</v>
      </c>
      <c r="H23" s="79">
        <f t="shared" ref="H23:H38" si="6">INDEX($T$21:$AK$38,MATCH(A23,$T$21:$T$38,0),MATCH(B23,$T$21:$AK$21,0))</f>
        <v>5</v>
      </c>
      <c r="I23" s="139">
        <v>1</v>
      </c>
      <c r="J23" s="8">
        <v>1</v>
      </c>
      <c r="K23" s="39">
        <v>9</v>
      </c>
      <c r="L23" s="154">
        <f>VLOOKUP(C23,coord!B:D,2,0)</f>
        <v>33.814573000000003</v>
      </c>
      <c r="M23" s="162">
        <f>VLOOKUP(C23,coord!B:D,3,0)</f>
        <v>-117.91784</v>
      </c>
      <c r="O23" s="66" t="s">
        <v>14</v>
      </c>
      <c r="T23" s="59">
        <v>9</v>
      </c>
      <c r="U23" s="82">
        <f t="shared" ref="U23:AK23" si="7">U4*U$20</f>
        <v>25</v>
      </c>
      <c r="V23" s="82">
        <f t="shared" si="7"/>
        <v>5</v>
      </c>
      <c r="W23" s="82">
        <f t="shared" si="7"/>
        <v>10</v>
      </c>
      <c r="X23" s="82">
        <f t="shared" si="7"/>
        <v>5.0000000000000009</v>
      </c>
      <c r="Y23" s="82">
        <f t="shared" si="7"/>
        <v>25</v>
      </c>
      <c r="Z23" s="82">
        <f t="shared" si="7"/>
        <v>5</v>
      </c>
      <c r="AA23" s="82">
        <f t="shared" si="7"/>
        <v>5</v>
      </c>
      <c r="AB23" s="82">
        <f t="shared" si="7"/>
        <v>5</v>
      </c>
      <c r="AC23" s="82">
        <f t="shared" si="7"/>
        <v>10</v>
      </c>
      <c r="AD23" s="82">
        <f t="shared" si="7"/>
        <v>40</v>
      </c>
      <c r="AE23" s="82">
        <f t="shared" si="7"/>
        <v>10</v>
      </c>
      <c r="AF23" s="82">
        <f t="shared" si="7"/>
        <v>10</v>
      </c>
      <c r="AG23" s="82">
        <f t="shared" si="7"/>
        <v>10</v>
      </c>
      <c r="AH23" s="82">
        <f t="shared" si="7"/>
        <v>15</v>
      </c>
      <c r="AI23" s="82">
        <f t="shared" si="7"/>
        <v>15</v>
      </c>
      <c r="AJ23" s="82">
        <f t="shared" si="7"/>
        <v>20</v>
      </c>
      <c r="AK23" s="82">
        <f t="shared" si="7"/>
        <v>20</v>
      </c>
    </row>
    <row r="24" spans="1:38">
      <c r="A24" s="59">
        <v>10</v>
      </c>
      <c r="B24" s="59">
        <v>12</v>
      </c>
      <c r="C24" s="89" t="str">
        <f t="shared" si="1"/>
        <v>Toon Spin</v>
      </c>
      <c r="D24" s="94">
        <f t="shared" si="4"/>
        <v>1.4538514946681543E-2</v>
      </c>
      <c r="E24" s="83">
        <f t="shared" si="5"/>
        <v>1.4538514946681543E-2</v>
      </c>
      <c r="F24" s="78">
        <f t="shared" si="2"/>
        <v>3.5294117647058823E-2</v>
      </c>
      <c r="G24" s="83">
        <f t="shared" ref="G24:G38" si="8">INDEX($T$39:$AK$56,MATCH(B23,$T$39:$T$56,0),MATCH(B24,$T$39:$AK$39,0))</f>
        <v>80.985227741250185</v>
      </c>
      <c r="H24" s="79">
        <f t="shared" si="6"/>
        <v>15</v>
      </c>
      <c r="I24" s="139">
        <v>1</v>
      </c>
      <c r="J24" s="8">
        <v>1</v>
      </c>
      <c r="K24" s="39">
        <v>10</v>
      </c>
      <c r="L24" s="154">
        <f>VLOOKUP(C24,coord!B:D,2,0)</f>
        <v>33.815263999999999</v>
      </c>
      <c r="M24" s="162">
        <f>VLOOKUP(C24,coord!B:D,3,0)</f>
        <v>-117.918117</v>
      </c>
      <c r="O24" s="66" t="s">
        <v>25</v>
      </c>
      <c r="T24" s="59">
        <v>10</v>
      </c>
      <c r="U24" s="82">
        <f t="shared" ref="U24:AK24" si="9">U5*U$20</f>
        <v>35</v>
      </c>
      <c r="V24" s="82">
        <f t="shared" si="9"/>
        <v>10</v>
      </c>
      <c r="W24" s="82">
        <f t="shared" si="9"/>
        <v>10</v>
      </c>
      <c r="X24" s="82">
        <f t="shared" si="9"/>
        <v>10.000000000000002</v>
      </c>
      <c r="Y24" s="82">
        <f t="shared" si="9"/>
        <v>35</v>
      </c>
      <c r="Z24" s="82">
        <f t="shared" si="9"/>
        <v>10</v>
      </c>
      <c r="AA24" s="82">
        <f t="shared" si="9"/>
        <v>10</v>
      </c>
      <c r="AB24" s="82">
        <f t="shared" si="9"/>
        <v>10</v>
      </c>
      <c r="AC24" s="82">
        <f t="shared" si="9"/>
        <v>15</v>
      </c>
      <c r="AD24" s="82">
        <f t="shared" si="9"/>
        <v>45</v>
      </c>
      <c r="AE24" s="82">
        <f t="shared" si="9"/>
        <v>15</v>
      </c>
      <c r="AF24" s="82">
        <f t="shared" si="9"/>
        <v>15</v>
      </c>
      <c r="AG24" s="82">
        <f t="shared" si="9"/>
        <v>15</v>
      </c>
      <c r="AH24" s="82">
        <f t="shared" si="9"/>
        <v>25</v>
      </c>
      <c r="AI24" s="82">
        <f t="shared" si="9"/>
        <v>25</v>
      </c>
      <c r="AJ24" s="82">
        <f t="shared" si="9"/>
        <v>25</v>
      </c>
      <c r="AK24" s="82">
        <f t="shared" si="9"/>
        <v>35</v>
      </c>
    </row>
    <row r="25" spans="1:38">
      <c r="A25" s="59">
        <v>11</v>
      </c>
      <c r="B25" s="59">
        <v>9</v>
      </c>
      <c r="C25" s="89" t="str">
        <f t="shared" si="1"/>
        <v>Matterhorn</v>
      </c>
      <c r="D25" s="94">
        <f t="shared" si="4"/>
        <v>7.2221246955502236E-2</v>
      </c>
      <c r="E25" s="83">
        <f t="shared" si="5"/>
        <v>7.2221246955502236E-2</v>
      </c>
      <c r="F25" s="78">
        <f t="shared" si="2"/>
        <v>3.2000000000000001E-2</v>
      </c>
      <c r="G25" s="83">
        <f t="shared" si="8"/>
        <v>244.21262443256944</v>
      </c>
      <c r="H25" s="79">
        <f t="shared" si="6"/>
        <v>20</v>
      </c>
      <c r="I25" s="139">
        <v>1</v>
      </c>
      <c r="J25" s="8">
        <v>1</v>
      </c>
      <c r="K25" s="39">
        <v>11</v>
      </c>
      <c r="L25" s="154">
        <f>VLOOKUP(C25,coord!B:D,2,0)</f>
        <v>33.813076000000002</v>
      </c>
      <c r="M25" s="162">
        <f>VLOOKUP(C25,coord!B:D,3,0)</f>
        <v>-117.917888</v>
      </c>
      <c r="O25" s="66" t="s">
        <v>29</v>
      </c>
      <c r="T25" s="59">
        <v>11</v>
      </c>
      <c r="U25" s="82">
        <f t="shared" ref="U25:AK25" si="10">U6*U$20</f>
        <v>40</v>
      </c>
      <c r="V25" s="82">
        <f t="shared" si="10"/>
        <v>15</v>
      </c>
      <c r="W25" s="82">
        <f t="shared" si="10"/>
        <v>10</v>
      </c>
      <c r="X25" s="82">
        <f t="shared" si="10"/>
        <v>15</v>
      </c>
      <c r="Y25" s="82">
        <f t="shared" si="10"/>
        <v>40</v>
      </c>
      <c r="Z25" s="82">
        <f t="shared" si="10"/>
        <v>15.000000000000002</v>
      </c>
      <c r="AA25" s="82">
        <f t="shared" si="10"/>
        <v>15</v>
      </c>
      <c r="AB25" s="82">
        <f t="shared" si="10"/>
        <v>10</v>
      </c>
      <c r="AC25" s="82">
        <f t="shared" si="10"/>
        <v>20</v>
      </c>
      <c r="AD25" s="82">
        <f t="shared" si="10"/>
        <v>45</v>
      </c>
      <c r="AE25" s="82">
        <f t="shared" si="10"/>
        <v>20</v>
      </c>
      <c r="AF25" s="82">
        <f t="shared" si="10"/>
        <v>20</v>
      </c>
      <c r="AG25" s="82">
        <f t="shared" si="10"/>
        <v>25</v>
      </c>
      <c r="AH25" s="82">
        <f t="shared" si="10"/>
        <v>30</v>
      </c>
      <c r="AI25" s="82">
        <f t="shared" si="10"/>
        <v>30</v>
      </c>
      <c r="AJ25" s="82">
        <f t="shared" si="10"/>
        <v>29.999999999999996</v>
      </c>
      <c r="AK25" s="82">
        <f t="shared" si="10"/>
        <v>50</v>
      </c>
    </row>
    <row r="26" spans="1:38">
      <c r="A26" s="59">
        <v>12</v>
      </c>
      <c r="B26" s="59">
        <v>8</v>
      </c>
      <c r="C26" s="89" t="str">
        <f t="shared" si="1"/>
        <v>Mad Tea</v>
      </c>
      <c r="D26" s="94">
        <f t="shared" si="4"/>
        <v>1.9454992196515256E-2</v>
      </c>
      <c r="E26" s="83">
        <f t="shared" si="5"/>
        <v>1.9454992196515256E-2</v>
      </c>
      <c r="F26" s="78">
        <f t="shared" si="2"/>
        <v>5.4545454545454543E-2</v>
      </c>
      <c r="G26" s="83">
        <f t="shared" si="8"/>
        <v>63.794208341811625</v>
      </c>
      <c r="H26" s="79">
        <f t="shared" si="6"/>
        <v>15</v>
      </c>
      <c r="I26" s="139">
        <v>1</v>
      </c>
      <c r="J26" s="8">
        <v>1</v>
      </c>
      <c r="K26" s="39">
        <v>12</v>
      </c>
      <c r="L26" s="154">
        <f>VLOOKUP(C26,coord!B:D,2,0)</f>
        <v>33.813509000000003</v>
      </c>
      <c r="M26" s="162">
        <f>VLOOKUP(C26,coord!B:D,3,0)</f>
        <v>-117.918341</v>
      </c>
      <c r="O26" s="66" t="s">
        <v>28</v>
      </c>
      <c r="T26" s="59">
        <v>12</v>
      </c>
      <c r="U26" s="82">
        <f t="shared" ref="U26:AK26" si="11">U7*U$20</f>
        <v>45</v>
      </c>
      <c r="V26" s="82">
        <f t="shared" si="11"/>
        <v>15</v>
      </c>
      <c r="W26" s="82">
        <f t="shared" si="11"/>
        <v>10</v>
      </c>
      <c r="X26" s="82">
        <f t="shared" si="11"/>
        <v>25</v>
      </c>
      <c r="Y26" s="82">
        <f t="shared" si="11"/>
        <v>40</v>
      </c>
      <c r="Z26" s="82">
        <f t="shared" si="11"/>
        <v>24</v>
      </c>
      <c r="AA26" s="82">
        <f t="shared" si="11"/>
        <v>15</v>
      </c>
      <c r="AB26" s="82">
        <f t="shared" si="11"/>
        <v>15</v>
      </c>
      <c r="AC26" s="82">
        <f t="shared" si="11"/>
        <v>25</v>
      </c>
      <c r="AD26" s="82">
        <f t="shared" si="11"/>
        <v>45</v>
      </c>
      <c r="AE26" s="82">
        <f t="shared" si="11"/>
        <v>25</v>
      </c>
      <c r="AF26" s="82">
        <f t="shared" si="11"/>
        <v>25</v>
      </c>
      <c r="AG26" s="82">
        <f t="shared" si="11"/>
        <v>35</v>
      </c>
      <c r="AH26" s="82">
        <f t="shared" si="11"/>
        <v>35</v>
      </c>
      <c r="AI26" s="82">
        <f t="shared" si="11"/>
        <v>30</v>
      </c>
      <c r="AJ26" s="82">
        <f t="shared" si="11"/>
        <v>35</v>
      </c>
      <c r="AK26" s="82">
        <f t="shared" si="11"/>
        <v>50</v>
      </c>
    </row>
    <row r="27" spans="1:38">
      <c r="A27" s="59">
        <v>13</v>
      </c>
      <c r="B27" s="59">
        <v>6</v>
      </c>
      <c r="C27" s="89" t="str">
        <f t="shared" si="1"/>
        <v>Dumbo</v>
      </c>
      <c r="D27" s="94">
        <f t="shared" si="4"/>
        <v>1.6387876424078383E-2</v>
      </c>
      <c r="E27" s="83">
        <f t="shared" si="5"/>
        <v>1.6387876424078383E-2</v>
      </c>
      <c r="F27" s="78">
        <f t="shared" si="2"/>
        <v>7.9155672823219003E-2</v>
      </c>
      <c r="G27" s="83">
        <f t="shared" si="8"/>
        <v>54.816916820998742</v>
      </c>
      <c r="H27" s="79">
        <f t="shared" si="6"/>
        <v>30.000000000000004</v>
      </c>
      <c r="I27" s="139">
        <v>1</v>
      </c>
      <c r="J27" s="8">
        <v>1</v>
      </c>
      <c r="K27" s="39">
        <v>13</v>
      </c>
      <c r="L27" s="154">
        <f>VLOOKUP(C27,coord!B:D,2,0)</f>
        <v>33.813699999999997</v>
      </c>
      <c r="M27" s="162">
        <f>VLOOKUP(C27,coord!B:D,3,0)</f>
        <v>-117.918888</v>
      </c>
      <c r="O27" s="66" t="s">
        <v>30</v>
      </c>
      <c r="T27" s="59">
        <v>13</v>
      </c>
      <c r="U27" s="82">
        <f t="shared" ref="U27:AK27" si="12">U8*U$20</f>
        <v>55</v>
      </c>
      <c r="V27" s="82">
        <f t="shared" si="12"/>
        <v>20</v>
      </c>
      <c r="W27" s="82">
        <f t="shared" si="12"/>
        <v>10</v>
      </c>
      <c r="X27" s="82">
        <f t="shared" si="12"/>
        <v>35</v>
      </c>
      <c r="Y27" s="82">
        <f t="shared" si="12"/>
        <v>40</v>
      </c>
      <c r="Z27" s="82">
        <f t="shared" si="12"/>
        <v>30.000000000000004</v>
      </c>
      <c r="AA27" s="82">
        <f t="shared" si="12"/>
        <v>20</v>
      </c>
      <c r="AB27" s="82">
        <f t="shared" si="12"/>
        <v>15</v>
      </c>
      <c r="AC27" s="82">
        <f t="shared" si="12"/>
        <v>35</v>
      </c>
      <c r="AD27" s="82">
        <f t="shared" si="12"/>
        <v>45</v>
      </c>
      <c r="AE27" s="82">
        <f t="shared" si="12"/>
        <v>30</v>
      </c>
      <c r="AF27" s="82">
        <f t="shared" si="12"/>
        <v>30</v>
      </c>
      <c r="AG27" s="82">
        <f t="shared" si="12"/>
        <v>40</v>
      </c>
      <c r="AH27" s="82">
        <f t="shared" si="12"/>
        <v>35</v>
      </c>
      <c r="AI27" s="82">
        <f t="shared" si="12"/>
        <v>30</v>
      </c>
      <c r="AJ27" s="82">
        <f t="shared" si="12"/>
        <v>45</v>
      </c>
      <c r="AK27" s="82">
        <f t="shared" si="12"/>
        <v>50</v>
      </c>
    </row>
    <row r="28" spans="1:38">
      <c r="A28" s="59">
        <v>14</v>
      </c>
      <c r="B28" s="59">
        <v>11</v>
      </c>
      <c r="C28" s="89" t="str">
        <f t="shared" si="1"/>
        <v>Thunder Mtn</v>
      </c>
      <c r="D28" s="94">
        <f t="shared" si="4"/>
        <v>4.1130588610241409E-2</v>
      </c>
      <c r="E28" s="83">
        <f t="shared" si="5"/>
        <v>4.1130588610241409E-2</v>
      </c>
      <c r="F28" s="78">
        <f t="shared" si="2"/>
        <v>8.4337349397590355E-2</v>
      </c>
      <c r="G28" s="83">
        <f t="shared" si="8"/>
        <v>150.6555634966613</v>
      </c>
      <c r="H28" s="79">
        <f t="shared" si="6"/>
        <v>35</v>
      </c>
      <c r="I28" s="139">
        <v>1</v>
      </c>
      <c r="J28" s="8">
        <v>1</v>
      </c>
      <c r="K28" s="39">
        <v>14</v>
      </c>
      <c r="L28" s="154">
        <f>VLOOKUP(C28,coord!B:D,2,0)</f>
        <v>33.813229</v>
      </c>
      <c r="M28" s="162">
        <f>VLOOKUP(C28,coord!B:D,3,0)</f>
        <v>-117.920417</v>
      </c>
      <c r="O28" s="66" t="s">
        <v>24</v>
      </c>
      <c r="T28" s="59">
        <v>14</v>
      </c>
      <c r="U28" s="82">
        <f t="shared" ref="U28:AK28" si="13">U9*U$20</f>
        <v>55</v>
      </c>
      <c r="V28" s="82">
        <f t="shared" si="13"/>
        <v>20</v>
      </c>
      <c r="W28" s="82">
        <f t="shared" si="13"/>
        <v>10</v>
      </c>
      <c r="X28" s="82">
        <f t="shared" si="13"/>
        <v>45</v>
      </c>
      <c r="Y28" s="82">
        <f t="shared" si="13"/>
        <v>40</v>
      </c>
      <c r="Z28" s="82">
        <f t="shared" si="13"/>
        <v>30.000000000000004</v>
      </c>
      <c r="AA28" s="82">
        <f t="shared" si="13"/>
        <v>20</v>
      </c>
      <c r="AB28" s="82">
        <f t="shared" si="13"/>
        <v>20</v>
      </c>
      <c r="AC28" s="82">
        <f t="shared" si="13"/>
        <v>45</v>
      </c>
      <c r="AD28" s="82">
        <f t="shared" si="13"/>
        <v>45</v>
      </c>
      <c r="AE28" s="82">
        <f t="shared" si="13"/>
        <v>35</v>
      </c>
      <c r="AF28" s="82">
        <f t="shared" si="13"/>
        <v>35</v>
      </c>
      <c r="AG28" s="82">
        <f t="shared" si="13"/>
        <v>40</v>
      </c>
      <c r="AH28" s="82">
        <f t="shared" si="13"/>
        <v>35</v>
      </c>
      <c r="AI28" s="82">
        <f t="shared" si="13"/>
        <v>30</v>
      </c>
      <c r="AJ28" s="82">
        <f t="shared" si="13"/>
        <v>55</v>
      </c>
      <c r="AK28" s="82">
        <f t="shared" si="13"/>
        <v>45</v>
      </c>
    </row>
    <row r="29" spans="1:38">
      <c r="A29" s="59">
        <v>15</v>
      </c>
      <c r="B29" s="59">
        <v>2</v>
      </c>
      <c r="C29" s="90" t="str">
        <f t="shared" si="1"/>
        <v>Jungle Cruise</v>
      </c>
      <c r="D29" s="95">
        <f t="shared" si="4"/>
        <v>5.5340149093294128E-2</v>
      </c>
      <c r="E29" s="92">
        <f t="shared" si="5"/>
        <v>5.5340149093294128E-2</v>
      </c>
      <c r="F29" s="84">
        <f t="shared" si="2"/>
        <v>9.8039215686274508E-2</v>
      </c>
      <c r="G29" s="83">
        <f t="shared" si="8"/>
        <v>200.11373184634655</v>
      </c>
      <c r="H29" s="79">
        <f t="shared" si="6"/>
        <v>25</v>
      </c>
      <c r="I29" s="139">
        <v>1</v>
      </c>
      <c r="J29" s="8">
        <v>1</v>
      </c>
      <c r="K29" s="39">
        <v>15</v>
      </c>
      <c r="L29" s="154">
        <f>VLOOKUP(C29,coord!B:D,2,0)</f>
        <v>33.811466000000003</v>
      </c>
      <c r="M29" s="162">
        <f>VLOOKUP(C29,coord!B:D,3,0)</f>
        <v>-117.919982</v>
      </c>
      <c r="O29" s="66" t="s">
        <v>26</v>
      </c>
      <c r="T29" s="59">
        <v>15</v>
      </c>
      <c r="U29" s="82">
        <f t="shared" ref="U29:AK29" si="14">U10*U$20</f>
        <v>60</v>
      </c>
      <c r="V29" s="82">
        <f t="shared" si="14"/>
        <v>25</v>
      </c>
      <c r="W29" s="82">
        <f t="shared" si="14"/>
        <v>10</v>
      </c>
      <c r="X29" s="82">
        <f t="shared" si="14"/>
        <v>60</v>
      </c>
      <c r="Y29" s="82">
        <f t="shared" si="14"/>
        <v>40</v>
      </c>
      <c r="Z29" s="82">
        <f t="shared" si="14"/>
        <v>30.000000000000004</v>
      </c>
      <c r="AA29" s="82">
        <f t="shared" si="14"/>
        <v>20</v>
      </c>
      <c r="AB29" s="82">
        <f t="shared" si="14"/>
        <v>20</v>
      </c>
      <c r="AC29" s="82">
        <f t="shared" si="14"/>
        <v>60</v>
      </c>
      <c r="AD29" s="82">
        <f t="shared" si="14"/>
        <v>45</v>
      </c>
      <c r="AE29" s="82">
        <f t="shared" si="14"/>
        <v>40</v>
      </c>
      <c r="AF29" s="82">
        <f t="shared" si="14"/>
        <v>40</v>
      </c>
      <c r="AG29" s="82">
        <f t="shared" si="14"/>
        <v>40</v>
      </c>
      <c r="AH29" s="82">
        <f t="shared" si="14"/>
        <v>35</v>
      </c>
      <c r="AI29" s="82">
        <f t="shared" si="14"/>
        <v>30</v>
      </c>
      <c r="AJ29" s="82">
        <f t="shared" si="14"/>
        <v>65</v>
      </c>
      <c r="AK29" s="82">
        <f t="shared" si="14"/>
        <v>45</v>
      </c>
    </row>
    <row r="30" spans="1:38">
      <c r="A30" s="59">
        <v>16</v>
      </c>
      <c r="B30" s="59">
        <v>3</v>
      </c>
      <c r="C30" s="89" t="str">
        <f t="shared" si="1"/>
        <v>Tiki room</v>
      </c>
      <c r="D30" s="94">
        <f t="shared" si="4"/>
        <v>1.3406673571440857E-2</v>
      </c>
      <c r="E30" s="83">
        <f t="shared" si="5"/>
        <v>1.3406673571440857E-2</v>
      </c>
      <c r="F30" s="85">
        <f t="shared" si="2"/>
        <v>6.0606060606060608E-2</v>
      </c>
      <c r="G30" s="83">
        <f t="shared" si="8"/>
        <v>44.436335182955069</v>
      </c>
      <c r="H30" s="79">
        <f t="shared" si="6"/>
        <v>10</v>
      </c>
      <c r="I30" s="139">
        <v>1</v>
      </c>
      <c r="J30" s="8">
        <v>1</v>
      </c>
      <c r="K30" s="39">
        <v>16</v>
      </c>
      <c r="L30" s="154">
        <f>VLOOKUP(C30,coord!B:D,2,0)</f>
        <v>33.811774999999997</v>
      </c>
      <c r="M30" s="162">
        <f>VLOOKUP(C30,coord!B:D,3,0)</f>
        <v>-117.91967699999999</v>
      </c>
      <c r="O30" s="66" t="s">
        <v>22</v>
      </c>
      <c r="T30" s="59">
        <v>16</v>
      </c>
      <c r="U30" s="82">
        <f t="shared" ref="U30:AK30" si="15">U11*U$20</f>
        <v>60</v>
      </c>
      <c r="V30" s="82">
        <f t="shared" si="15"/>
        <v>25</v>
      </c>
      <c r="W30" s="82">
        <f t="shared" si="15"/>
        <v>10</v>
      </c>
      <c r="X30" s="82">
        <f t="shared" si="15"/>
        <v>60</v>
      </c>
      <c r="Y30" s="82">
        <f t="shared" si="15"/>
        <v>40</v>
      </c>
      <c r="Z30" s="82">
        <f t="shared" si="15"/>
        <v>30.000000000000004</v>
      </c>
      <c r="AA30" s="82">
        <f t="shared" si="15"/>
        <v>20</v>
      </c>
      <c r="AB30" s="82">
        <f t="shared" si="15"/>
        <v>20</v>
      </c>
      <c r="AC30" s="82">
        <f t="shared" si="15"/>
        <v>60</v>
      </c>
      <c r="AD30" s="82">
        <f t="shared" si="15"/>
        <v>45</v>
      </c>
      <c r="AE30" s="82">
        <f t="shared" si="15"/>
        <v>40</v>
      </c>
      <c r="AF30" s="82">
        <f t="shared" si="15"/>
        <v>40</v>
      </c>
      <c r="AG30" s="82">
        <f t="shared" si="15"/>
        <v>40</v>
      </c>
      <c r="AH30" s="82">
        <f t="shared" si="15"/>
        <v>35</v>
      </c>
      <c r="AI30" s="82">
        <f t="shared" si="15"/>
        <v>30</v>
      </c>
      <c r="AJ30" s="82">
        <f t="shared" si="15"/>
        <v>75</v>
      </c>
      <c r="AK30" s="82">
        <f t="shared" si="15"/>
        <v>40</v>
      </c>
    </row>
    <row r="31" spans="1:38">
      <c r="A31" s="59">
        <v>17</v>
      </c>
      <c r="B31" s="59">
        <v>14</v>
      </c>
      <c r="C31" s="89" t="str">
        <f t="shared" si="1"/>
        <v>Pirates</v>
      </c>
      <c r="D31" s="94">
        <f t="shared" si="4"/>
        <v>2.7735254089680056E-2</v>
      </c>
      <c r="E31" s="83">
        <f t="shared" si="5"/>
        <v>2.7735254089680056E-2</v>
      </c>
      <c r="F31" s="85">
        <f t="shared" si="2"/>
        <v>7.8947368421052627E-2</v>
      </c>
      <c r="G31" s="83">
        <f t="shared" si="8"/>
        <v>117.05948454950837</v>
      </c>
      <c r="H31" s="79">
        <f t="shared" si="6"/>
        <v>30</v>
      </c>
      <c r="I31" s="139">
        <v>1</v>
      </c>
      <c r="J31" s="8">
        <v>1</v>
      </c>
      <c r="K31" s="39">
        <v>17</v>
      </c>
      <c r="L31" s="154">
        <f>VLOOKUP(C31,coord!B:D,2,0)</f>
        <v>33.811318999999997</v>
      </c>
      <c r="M31" s="162">
        <f>VLOOKUP(C31,coord!B:D,3,0)</f>
        <v>-117.92081899999999</v>
      </c>
      <c r="T31" s="59">
        <v>17</v>
      </c>
      <c r="U31" s="82">
        <f t="shared" ref="U31:AK31" si="16">U12*U$20</f>
        <v>60</v>
      </c>
      <c r="V31" s="82">
        <f t="shared" si="16"/>
        <v>25</v>
      </c>
      <c r="W31" s="82">
        <f t="shared" si="16"/>
        <v>10</v>
      </c>
      <c r="X31" s="82">
        <f t="shared" si="16"/>
        <v>60</v>
      </c>
      <c r="Y31" s="82">
        <f t="shared" si="16"/>
        <v>40</v>
      </c>
      <c r="Z31" s="82">
        <f t="shared" si="16"/>
        <v>30.000000000000004</v>
      </c>
      <c r="AA31" s="82">
        <f t="shared" si="16"/>
        <v>20</v>
      </c>
      <c r="AB31" s="82">
        <f t="shared" si="16"/>
        <v>20</v>
      </c>
      <c r="AC31" s="82">
        <f t="shared" si="16"/>
        <v>60</v>
      </c>
      <c r="AD31" s="82">
        <f t="shared" si="16"/>
        <v>40</v>
      </c>
      <c r="AE31" s="82">
        <f t="shared" si="16"/>
        <v>40</v>
      </c>
      <c r="AF31" s="82">
        <f t="shared" si="16"/>
        <v>40</v>
      </c>
      <c r="AG31" s="82">
        <f t="shared" si="16"/>
        <v>35</v>
      </c>
      <c r="AH31" s="82">
        <f t="shared" si="16"/>
        <v>30</v>
      </c>
      <c r="AI31" s="82">
        <f t="shared" si="16"/>
        <v>30</v>
      </c>
      <c r="AJ31" s="82">
        <f t="shared" si="16"/>
        <v>80</v>
      </c>
      <c r="AK31" s="82">
        <f t="shared" si="16"/>
        <v>40</v>
      </c>
    </row>
    <row r="32" spans="1:38">
      <c r="A32" s="59">
        <v>18</v>
      </c>
      <c r="B32" s="59">
        <v>17</v>
      </c>
      <c r="C32" s="91" t="str">
        <f t="shared" si="1"/>
        <v>Star Tours</v>
      </c>
      <c r="D32" s="96">
        <f t="shared" si="4"/>
        <v>7.5540162362182181E-2</v>
      </c>
      <c r="E32" s="93">
        <f t="shared" si="5"/>
        <v>7.5540162362182181E-2</v>
      </c>
      <c r="F32" s="86">
        <f t="shared" si="2"/>
        <v>6.4220183486238536E-2</v>
      </c>
      <c r="G32" s="83">
        <f t="shared" si="8"/>
        <v>275.07923904373905</v>
      </c>
      <c r="H32" s="79">
        <f t="shared" si="6"/>
        <v>35</v>
      </c>
      <c r="I32" s="139">
        <v>1</v>
      </c>
      <c r="J32" s="8">
        <v>1</v>
      </c>
      <c r="K32" s="39">
        <v>18</v>
      </c>
      <c r="L32" s="154">
        <f>VLOOKUP(C32,coord!B:D,2,0)</f>
        <v>33.811883000000002</v>
      </c>
      <c r="M32" s="162">
        <f>VLOOKUP(C32,coord!B:D,3,0)</f>
        <v>-117.91792</v>
      </c>
      <c r="T32" s="59">
        <v>18</v>
      </c>
      <c r="U32" s="82">
        <f t="shared" ref="U32:AK32" si="17">U13*U$20</f>
        <v>60</v>
      </c>
      <c r="V32" s="82">
        <f t="shared" si="17"/>
        <v>25</v>
      </c>
      <c r="W32" s="82">
        <f t="shared" si="17"/>
        <v>10</v>
      </c>
      <c r="X32" s="82">
        <f t="shared" si="17"/>
        <v>60</v>
      </c>
      <c r="Y32" s="82">
        <f t="shared" si="17"/>
        <v>40</v>
      </c>
      <c r="Z32" s="82">
        <f t="shared" si="17"/>
        <v>30.000000000000004</v>
      </c>
      <c r="AA32" s="82">
        <f t="shared" si="17"/>
        <v>15</v>
      </c>
      <c r="AB32" s="82">
        <f t="shared" si="17"/>
        <v>20</v>
      </c>
      <c r="AC32" s="82">
        <f t="shared" si="17"/>
        <v>60</v>
      </c>
      <c r="AD32" s="82">
        <f t="shared" si="17"/>
        <v>40</v>
      </c>
      <c r="AE32" s="82">
        <f t="shared" si="17"/>
        <v>35</v>
      </c>
      <c r="AF32" s="82">
        <f t="shared" si="17"/>
        <v>40</v>
      </c>
      <c r="AG32" s="82">
        <f t="shared" si="17"/>
        <v>30</v>
      </c>
      <c r="AH32" s="82">
        <f t="shared" si="17"/>
        <v>25</v>
      </c>
      <c r="AI32" s="82">
        <f t="shared" si="17"/>
        <v>25</v>
      </c>
      <c r="AJ32" s="82">
        <f t="shared" si="17"/>
        <v>80</v>
      </c>
      <c r="AK32" s="82">
        <f t="shared" si="17"/>
        <v>35</v>
      </c>
    </row>
    <row r="33" spans="1:37">
      <c r="A33" s="59">
        <v>19</v>
      </c>
      <c r="B33" s="59">
        <v>15</v>
      </c>
      <c r="C33" s="89" t="str">
        <f t="shared" si="1"/>
        <v>Buzz Lightyear</v>
      </c>
      <c r="D33" s="94">
        <f t="shared" si="4"/>
        <v>9.6058656335458042E-3</v>
      </c>
      <c r="E33" s="83">
        <f t="shared" si="5"/>
        <v>9.6058656335458042E-3</v>
      </c>
      <c r="F33" s="78">
        <f t="shared" si="2"/>
        <v>5.4054054054054057E-2</v>
      </c>
      <c r="G33" s="83">
        <f t="shared" si="8"/>
        <v>32.923290655312897</v>
      </c>
      <c r="H33" s="79">
        <f t="shared" si="6"/>
        <v>20</v>
      </c>
      <c r="I33" s="139">
        <v>1</v>
      </c>
      <c r="J33" s="8">
        <v>1</v>
      </c>
      <c r="K33" s="39">
        <v>19</v>
      </c>
      <c r="L33" s="154">
        <f>VLOOKUP(C33,coord!B:D,2,0)</f>
        <v>33.812175000000003</v>
      </c>
      <c r="M33" s="162">
        <f>VLOOKUP(C33,coord!B:D,3,0)</f>
        <v>-117.917979</v>
      </c>
      <c r="T33" s="59">
        <v>19</v>
      </c>
      <c r="U33" s="82">
        <f t="shared" ref="U33:AK33" si="18">U14*U$20</f>
        <v>60</v>
      </c>
      <c r="V33" s="82">
        <f t="shared" si="18"/>
        <v>25</v>
      </c>
      <c r="W33" s="82">
        <f t="shared" si="18"/>
        <v>10</v>
      </c>
      <c r="X33" s="82">
        <f t="shared" si="18"/>
        <v>50</v>
      </c>
      <c r="Y33" s="82">
        <f t="shared" si="18"/>
        <v>40</v>
      </c>
      <c r="Z33" s="82">
        <f t="shared" si="18"/>
        <v>30.000000000000004</v>
      </c>
      <c r="AA33" s="82">
        <f t="shared" si="18"/>
        <v>15</v>
      </c>
      <c r="AB33" s="82">
        <f t="shared" si="18"/>
        <v>20</v>
      </c>
      <c r="AC33" s="82">
        <f t="shared" si="18"/>
        <v>60</v>
      </c>
      <c r="AD33" s="82">
        <f t="shared" si="18"/>
        <v>45</v>
      </c>
      <c r="AE33" s="82">
        <f t="shared" si="18"/>
        <v>30</v>
      </c>
      <c r="AF33" s="82">
        <f t="shared" si="18"/>
        <v>35</v>
      </c>
      <c r="AG33" s="82">
        <f t="shared" si="18"/>
        <v>25</v>
      </c>
      <c r="AH33" s="82">
        <f t="shared" si="18"/>
        <v>20</v>
      </c>
      <c r="AI33" s="82">
        <f t="shared" si="18"/>
        <v>20</v>
      </c>
      <c r="AJ33" s="82">
        <f t="shared" si="18"/>
        <v>70</v>
      </c>
      <c r="AK33" s="82">
        <f t="shared" si="18"/>
        <v>30</v>
      </c>
    </row>
    <row r="34" spans="1:37">
      <c r="A34" s="59">
        <v>20</v>
      </c>
      <c r="B34" s="59">
        <v>5</v>
      </c>
      <c r="C34" s="89" t="str">
        <f t="shared" si="1"/>
        <v>Alice in Wonderland</v>
      </c>
      <c r="D34" s="94">
        <f t="shared" si="4"/>
        <v>4.088898791800083E-2</v>
      </c>
      <c r="E34" s="83">
        <f t="shared" si="5"/>
        <v>4.088898791800083E-2</v>
      </c>
      <c r="F34" s="78">
        <f t="shared" si="2"/>
        <v>6.1403508771929821E-2</v>
      </c>
      <c r="G34" s="83">
        <f t="shared" si="8"/>
        <v>130.10141514607648</v>
      </c>
      <c r="H34" s="79">
        <f t="shared" si="6"/>
        <v>35</v>
      </c>
      <c r="I34" s="139">
        <v>1</v>
      </c>
      <c r="J34" s="8">
        <v>1</v>
      </c>
      <c r="K34" s="39">
        <v>20</v>
      </c>
      <c r="L34" s="154">
        <f>VLOOKUP(C34,coord!B:D,2,0)</f>
        <v>33.813315000000003</v>
      </c>
      <c r="M34" s="162">
        <f>VLOOKUP(C34,coord!B:D,3,0)</f>
        <v>-117.918296</v>
      </c>
      <c r="T34" s="59">
        <v>20</v>
      </c>
      <c r="U34" s="82">
        <f t="shared" ref="U34:AK34" si="19">U15*U$20</f>
        <v>45</v>
      </c>
      <c r="V34" s="82">
        <f t="shared" si="19"/>
        <v>15</v>
      </c>
      <c r="W34" s="82">
        <f t="shared" si="19"/>
        <v>10</v>
      </c>
      <c r="X34" s="82">
        <f t="shared" si="19"/>
        <v>35</v>
      </c>
      <c r="Y34" s="82">
        <f t="shared" si="19"/>
        <v>35</v>
      </c>
      <c r="Z34" s="82">
        <f t="shared" si="19"/>
        <v>30.000000000000004</v>
      </c>
      <c r="AA34" s="82">
        <f t="shared" si="19"/>
        <v>10</v>
      </c>
      <c r="AB34" s="82">
        <f t="shared" si="19"/>
        <v>45</v>
      </c>
      <c r="AC34" s="82">
        <f t="shared" si="19"/>
        <v>45</v>
      </c>
      <c r="AD34" s="82">
        <f t="shared" si="19"/>
        <v>45</v>
      </c>
      <c r="AE34" s="82">
        <f t="shared" si="19"/>
        <v>25</v>
      </c>
      <c r="AF34" s="82">
        <f t="shared" si="19"/>
        <v>30</v>
      </c>
      <c r="AG34" s="82">
        <f t="shared" si="19"/>
        <v>20</v>
      </c>
      <c r="AH34" s="82">
        <f t="shared" si="19"/>
        <v>15</v>
      </c>
      <c r="AI34" s="82">
        <f t="shared" si="19"/>
        <v>20</v>
      </c>
      <c r="AJ34" s="82">
        <f t="shared" si="19"/>
        <v>65</v>
      </c>
      <c r="AK34" s="82">
        <f t="shared" si="19"/>
        <v>25</v>
      </c>
    </row>
    <row r="35" spans="1:37">
      <c r="A35" s="59">
        <v>21</v>
      </c>
      <c r="B35" s="59">
        <v>4</v>
      </c>
      <c r="C35" s="89" t="str">
        <f t="shared" si="1"/>
        <v>Splash Mtn</v>
      </c>
      <c r="D35" s="94">
        <f t="shared" si="4"/>
        <v>7.2686753478064511E-2</v>
      </c>
      <c r="E35" s="83">
        <f t="shared" si="5"/>
        <v>7.2686753478064511E-2</v>
      </c>
      <c r="F35" s="78">
        <f t="shared" si="2"/>
        <v>4.7619047619047616E-2</v>
      </c>
      <c r="G35" s="83">
        <f t="shared" si="8"/>
        <v>430.58523917795367</v>
      </c>
      <c r="H35" s="79">
        <f t="shared" si="6"/>
        <v>25</v>
      </c>
      <c r="I35" s="139">
        <v>1</v>
      </c>
      <c r="J35" s="8">
        <v>1</v>
      </c>
      <c r="K35" s="39">
        <v>21</v>
      </c>
      <c r="L35" s="154">
        <f>VLOOKUP(C35,coord!B:D,2,0)</f>
        <v>33.812258999999997</v>
      </c>
      <c r="M35" s="162">
        <f>VLOOKUP(C35,coord!B:D,3,0)</f>
        <v>-117.92278</v>
      </c>
      <c r="T35" s="59">
        <v>21</v>
      </c>
      <c r="U35" s="82">
        <f t="shared" ref="U35:AK35" si="20">U16*U$20</f>
        <v>40</v>
      </c>
      <c r="V35" s="82">
        <f t="shared" si="20"/>
        <v>10</v>
      </c>
      <c r="W35" s="82">
        <f t="shared" si="20"/>
        <v>10</v>
      </c>
      <c r="X35" s="82">
        <f t="shared" si="20"/>
        <v>25</v>
      </c>
      <c r="Y35" s="82">
        <f t="shared" si="20"/>
        <v>30</v>
      </c>
      <c r="Z35" s="82">
        <f t="shared" si="20"/>
        <v>25</v>
      </c>
      <c r="AA35" s="82">
        <f t="shared" si="20"/>
        <v>10</v>
      </c>
      <c r="AB35" s="82">
        <f t="shared" si="20"/>
        <v>15</v>
      </c>
      <c r="AC35" s="82">
        <f t="shared" si="20"/>
        <v>35</v>
      </c>
      <c r="AD35" s="82">
        <f t="shared" si="20"/>
        <v>40</v>
      </c>
      <c r="AE35" s="82">
        <f t="shared" si="20"/>
        <v>20</v>
      </c>
      <c r="AF35" s="82">
        <f t="shared" si="20"/>
        <v>25</v>
      </c>
      <c r="AG35" s="82">
        <f t="shared" si="20"/>
        <v>15</v>
      </c>
      <c r="AH35" s="82">
        <f t="shared" si="20"/>
        <v>10</v>
      </c>
      <c r="AI35" s="82">
        <f t="shared" si="20"/>
        <v>15</v>
      </c>
      <c r="AJ35" s="82">
        <f t="shared" si="20"/>
        <v>59.999999999999993</v>
      </c>
      <c r="AK35" s="82">
        <f t="shared" si="20"/>
        <v>20</v>
      </c>
    </row>
    <row r="36" spans="1:37">
      <c r="A36" s="59">
        <v>22</v>
      </c>
      <c r="B36" s="59">
        <v>13</v>
      </c>
      <c r="C36" s="89" t="str">
        <f t="shared" si="1"/>
        <v>Haunted Mansion</v>
      </c>
      <c r="D36" s="94">
        <f t="shared" si="4"/>
        <v>1.6348341587255268E-2</v>
      </c>
      <c r="E36" s="83">
        <f t="shared" si="5"/>
        <v>1.6348341587255268E-2</v>
      </c>
      <c r="F36" s="78">
        <f t="shared" si="2"/>
        <v>3.7037037037037035E-2</v>
      </c>
      <c r="G36" s="83">
        <f t="shared" si="8"/>
        <v>85.530866119049492</v>
      </c>
      <c r="H36" s="79">
        <f t="shared" si="6"/>
        <v>15</v>
      </c>
      <c r="I36" s="139">
        <v>1</v>
      </c>
      <c r="J36" s="8">
        <v>1</v>
      </c>
      <c r="K36" s="39">
        <v>22</v>
      </c>
      <c r="L36" s="154">
        <f>VLOOKUP(C36,coord!B:D,2,0)</f>
        <v>33.811723000000001</v>
      </c>
      <c r="M36" s="162">
        <f>VLOOKUP(C36,coord!B:D,3,0)</f>
        <v>-117.922116</v>
      </c>
      <c r="T36" s="59">
        <v>22</v>
      </c>
      <c r="U36" s="82">
        <f t="shared" ref="U36:AK36" si="21">U17*U$20</f>
        <v>35</v>
      </c>
      <c r="V36" s="82">
        <f t="shared" si="21"/>
        <v>5</v>
      </c>
      <c r="W36" s="82">
        <f t="shared" si="21"/>
        <v>10</v>
      </c>
      <c r="X36" s="82">
        <f t="shared" si="21"/>
        <v>15</v>
      </c>
      <c r="Y36" s="82">
        <f t="shared" si="21"/>
        <v>30</v>
      </c>
      <c r="Z36" s="82">
        <f t="shared" si="21"/>
        <v>25</v>
      </c>
      <c r="AA36" s="82">
        <f t="shared" si="21"/>
        <v>10</v>
      </c>
      <c r="AB36" s="82">
        <f t="shared" si="21"/>
        <v>15</v>
      </c>
      <c r="AC36" s="82">
        <f t="shared" si="21"/>
        <v>30</v>
      </c>
      <c r="AD36" s="82">
        <f t="shared" si="21"/>
        <v>40</v>
      </c>
      <c r="AE36" s="82">
        <f t="shared" si="21"/>
        <v>15</v>
      </c>
      <c r="AF36" s="82">
        <f t="shared" si="21"/>
        <v>20</v>
      </c>
      <c r="AG36" s="82">
        <f t="shared" si="21"/>
        <v>15</v>
      </c>
      <c r="AH36" s="82">
        <f t="shared" si="21"/>
        <v>10</v>
      </c>
      <c r="AI36" s="82">
        <f t="shared" si="21"/>
        <v>15</v>
      </c>
      <c r="AJ36" s="82">
        <f t="shared" si="21"/>
        <v>35</v>
      </c>
      <c r="AK36" s="82">
        <f t="shared" si="21"/>
        <v>20</v>
      </c>
    </row>
    <row r="37" spans="1:37">
      <c r="A37" s="59">
        <v>23</v>
      </c>
      <c r="B37" s="59">
        <v>1</v>
      </c>
      <c r="C37" s="89" t="str">
        <f t="shared" si="1"/>
        <v>Indiana Jones</v>
      </c>
      <c r="D37" s="94">
        <f t="shared" si="4"/>
        <v>4.3406939779412235E-2</v>
      </c>
      <c r="E37" s="83">
        <f t="shared" si="5"/>
        <v>4.3406939779412235E-2</v>
      </c>
      <c r="F37" s="78">
        <f t="shared" si="2"/>
        <v>2.7586206896551724E-2</v>
      </c>
      <c r="G37" s="83">
        <f t="shared" si="8"/>
        <v>166.24766329420825</v>
      </c>
      <c r="H37" s="79">
        <f t="shared" si="6"/>
        <v>20</v>
      </c>
      <c r="I37" s="139">
        <v>1</v>
      </c>
      <c r="J37" s="8">
        <v>1</v>
      </c>
      <c r="K37" s="39">
        <v>23</v>
      </c>
      <c r="L37" s="154">
        <f>VLOOKUP(C37,coord!B:D,2,0)</f>
        <v>33.811404000000003</v>
      </c>
      <c r="M37" s="162">
        <f>VLOOKUP(C37,coord!B:D,3,0)</f>
        <v>-117.92035799999999</v>
      </c>
      <c r="T37" s="59">
        <v>23</v>
      </c>
      <c r="U37" s="82">
        <f t="shared" ref="U37:AK37" si="22">U18*U$20</f>
        <v>20</v>
      </c>
      <c r="V37" s="82">
        <f t="shared" si="22"/>
        <v>5</v>
      </c>
      <c r="W37" s="82">
        <f t="shared" si="22"/>
        <v>10</v>
      </c>
      <c r="X37" s="82">
        <f t="shared" si="22"/>
        <v>10.000000000000002</v>
      </c>
      <c r="Y37" s="82">
        <f t="shared" si="22"/>
        <v>20</v>
      </c>
      <c r="Z37" s="82">
        <f t="shared" si="22"/>
        <v>15.000000000000002</v>
      </c>
      <c r="AA37" s="82">
        <f t="shared" si="22"/>
        <v>10</v>
      </c>
      <c r="AB37" s="82">
        <f t="shared" si="22"/>
        <v>10</v>
      </c>
      <c r="AC37" s="82">
        <f t="shared" si="22"/>
        <v>30</v>
      </c>
      <c r="AD37" s="82">
        <f t="shared" si="22"/>
        <v>35</v>
      </c>
      <c r="AE37" s="82">
        <f t="shared" si="22"/>
        <v>15</v>
      </c>
      <c r="AF37" s="82">
        <f t="shared" si="22"/>
        <v>10</v>
      </c>
      <c r="AG37" s="82">
        <f t="shared" si="22"/>
        <v>10</v>
      </c>
      <c r="AH37" s="82">
        <f t="shared" si="22"/>
        <v>10</v>
      </c>
      <c r="AI37" s="82">
        <f t="shared" si="22"/>
        <v>10</v>
      </c>
      <c r="AJ37" s="82">
        <f t="shared" si="22"/>
        <v>35</v>
      </c>
      <c r="AK37" s="82">
        <f t="shared" si="22"/>
        <v>20</v>
      </c>
    </row>
    <row r="38" spans="1:37" ht="15" thickBot="1">
      <c r="A38" s="60">
        <v>24</v>
      </c>
      <c r="B38" s="60">
        <v>16</v>
      </c>
      <c r="C38" s="156" t="str">
        <f t="shared" si="1"/>
        <v>Space Mtn</v>
      </c>
      <c r="D38" s="97">
        <f t="shared" si="4"/>
        <v>6.1611762184374974E-2</v>
      </c>
      <c r="E38" s="105">
        <f t="shared" si="5"/>
        <v>6.1611762184374974E-2</v>
      </c>
      <c r="F38" s="80">
        <f t="shared" si="2"/>
        <v>3.6585365853658534E-2</v>
      </c>
      <c r="G38" s="105">
        <f t="shared" si="8"/>
        <v>285.48610254472004</v>
      </c>
      <c r="H38" s="81">
        <f t="shared" si="6"/>
        <v>29.999999999999996</v>
      </c>
      <c r="I38" s="157">
        <v>1</v>
      </c>
      <c r="J38" s="16">
        <v>1</v>
      </c>
      <c r="K38" s="147">
        <v>24</v>
      </c>
      <c r="L38" s="158">
        <f>VLOOKUP(C38,coord!B:D,2,0)</f>
        <v>33.811390000000003</v>
      </c>
      <c r="M38" s="163">
        <f>VLOOKUP(C38,coord!B:D,3,0)</f>
        <v>-117.91726800000001</v>
      </c>
      <c r="T38" s="60">
        <v>24</v>
      </c>
      <c r="U38" s="82">
        <f t="shared" ref="U38:AK38" si="23">U19*U$20</f>
        <v>20</v>
      </c>
      <c r="V38" s="82">
        <f t="shared" si="23"/>
        <v>5</v>
      </c>
      <c r="W38" s="82">
        <f t="shared" si="23"/>
        <v>5</v>
      </c>
      <c r="X38" s="82">
        <f t="shared" si="23"/>
        <v>10.000000000000002</v>
      </c>
      <c r="Y38" s="82">
        <f t="shared" si="23"/>
        <v>20</v>
      </c>
      <c r="Z38" s="82">
        <f t="shared" si="23"/>
        <v>15.000000000000002</v>
      </c>
      <c r="AA38" s="82">
        <f t="shared" si="23"/>
        <v>10</v>
      </c>
      <c r="AB38" s="82">
        <f t="shared" si="23"/>
        <v>10</v>
      </c>
      <c r="AC38" s="82">
        <f t="shared" si="23"/>
        <v>30</v>
      </c>
      <c r="AD38" s="82">
        <f t="shared" si="23"/>
        <v>35</v>
      </c>
      <c r="AE38" s="82">
        <f t="shared" si="23"/>
        <v>15</v>
      </c>
      <c r="AF38" s="82">
        <f t="shared" si="23"/>
        <v>5</v>
      </c>
      <c r="AG38" s="82">
        <f t="shared" si="23"/>
        <v>5</v>
      </c>
      <c r="AH38" s="82">
        <f t="shared" si="23"/>
        <v>10</v>
      </c>
      <c r="AI38" s="82">
        <f t="shared" si="23"/>
        <v>10</v>
      </c>
      <c r="AJ38" s="82">
        <f t="shared" si="23"/>
        <v>29.999999999999996</v>
      </c>
      <c r="AK38" s="82">
        <f t="shared" si="23"/>
        <v>15</v>
      </c>
    </row>
    <row r="39" spans="1:37" ht="15">
      <c r="A39" s="12"/>
      <c r="B39" s="8"/>
      <c r="C39" s="8"/>
      <c r="D39" s="94">
        <f>SUM(D22:D38)</f>
        <v>0.61833360835924611</v>
      </c>
      <c r="E39" s="8"/>
      <c r="F39" s="78">
        <f>SUM(F22:F38)</f>
        <v>0.92246554792789759</v>
      </c>
      <c r="G39" s="87">
        <f>SUM(G23:G38)</f>
        <v>2540.8203992254817</v>
      </c>
      <c r="H39" s="88">
        <f>SUM(H22:H38)</f>
        <v>400</v>
      </c>
      <c r="K39" s="82">
        <f>D39-SUM(D29:D32)</f>
        <v>0.44631136924264891</v>
      </c>
      <c r="L39" s="66" t="s">
        <v>31</v>
      </c>
      <c r="U39" s="54">
        <v>1</v>
      </c>
      <c r="V39" s="54">
        <v>2</v>
      </c>
      <c r="W39" s="54">
        <v>3</v>
      </c>
      <c r="X39" s="54">
        <v>4</v>
      </c>
      <c r="Y39" s="54">
        <v>5</v>
      </c>
      <c r="Z39" s="54">
        <v>6</v>
      </c>
      <c r="AA39" s="54">
        <v>7</v>
      </c>
      <c r="AB39" s="54">
        <v>8</v>
      </c>
      <c r="AC39" s="54">
        <v>9</v>
      </c>
      <c r="AD39" s="54">
        <v>10</v>
      </c>
      <c r="AE39" s="54">
        <v>11</v>
      </c>
      <c r="AF39" s="54">
        <v>12</v>
      </c>
      <c r="AG39" s="54">
        <v>13</v>
      </c>
      <c r="AH39" s="54">
        <v>14</v>
      </c>
      <c r="AI39" s="54">
        <v>15</v>
      </c>
      <c r="AJ39" s="54">
        <v>16</v>
      </c>
      <c r="AK39" s="55">
        <v>17</v>
      </c>
    </row>
    <row r="40" spans="1:37">
      <c r="A40" s="12"/>
      <c r="B40" s="61" t="s">
        <v>3</v>
      </c>
      <c r="C40" s="8"/>
      <c r="D40" s="71">
        <v>1</v>
      </c>
      <c r="E40" s="8"/>
      <c r="F40" s="71">
        <v>0</v>
      </c>
      <c r="G40" s="8"/>
      <c r="H40" s="14"/>
      <c r="K40" s="82">
        <f>F39-SUM(F29:F32)</f>
        <v>0.6206527197282713</v>
      </c>
      <c r="L40" s="66" t="s">
        <v>32</v>
      </c>
      <c r="T40" s="59">
        <v>1</v>
      </c>
      <c r="U40" s="82">
        <f t="shared" ref="U40:U56" si="24">B3*B$20</f>
        <v>0</v>
      </c>
      <c r="V40" s="82">
        <f t="shared" ref="V40:V56" si="25">C3*C$20</f>
        <v>35.41571747416252</v>
      </c>
      <c r="W40" s="82">
        <f t="shared" ref="W40:W56" si="26">D3*D$20</f>
        <v>75.235308449802986</v>
      </c>
      <c r="X40" s="82">
        <f t="shared" ref="X40:X56" si="27">E3*E$20</f>
        <v>243.12415046854719</v>
      </c>
      <c r="Y40" s="82">
        <f t="shared" ref="Y40:Y56" si="28">F3*F$20</f>
        <v>285.38608101250298</v>
      </c>
      <c r="Z40" s="82">
        <f t="shared" ref="Z40:Z56" si="29">G3*G$20</f>
        <v>289.17855867575389</v>
      </c>
      <c r="AA40" s="82">
        <f t="shared" ref="AA40:AA56" si="30">H3*H$20</f>
        <v>422.239931684601</v>
      </c>
      <c r="AB40" s="82">
        <f t="shared" ref="AB40:AB56" si="31">I3*I$20</f>
        <v>299.18469658294089</v>
      </c>
      <c r="AC40" s="82">
        <f t="shared" ref="AC40:AC56" si="32">J3*J$20</f>
        <v>294.34674965435448</v>
      </c>
      <c r="AD40" s="82">
        <f t="shared" ref="AD40:AD56" si="33">K3*K$20</f>
        <v>243.58872607986009</v>
      </c>
      <c r="AE40" s="82">
        <f t="shared" ref="AE40:AE56" si="34">L3*L$20</f>
        <v>203.00393542072791</v>
      </c>
      <c r="AF40" s="82">
        <f t="shared" ref="AF40:AF56" si="35">M3*M$20</f>
        <v>476.53795812918798</v>
      </c>
      <c r="AG40" s="82">
        <f t="shared" ref="AG40:AG56" si="36">N3*N$20</f>
        <v>166.24766329420825</v>
      </c>
      <c r="AH40" s="82">
        <f t="shared" ref="AH40:AH56" si="37">O3*O$20</f>
        <v>43.627434418712667</v>
      </c>
      <c r="AI40" s="82">
        <f t="shared" ref="AI40:AI56" si="38">P3*P$20</f>
        <v>235.9205617282789</v>
      </c>
      <c r="AJ40" s="82">
        <f t="shared" ref="AJ40:AJ56" si="39">Q3*Q$20</f>
        <v>285.48610254472004</v>
      </c>
      <c r="AK40" s="82">
        <f t="shared" ref="AK40:AK56" si="40">R3*R$20</f>
        <v>231.45532036128384</v>
      </c>
    </row>
    <row r="41" spans="1:37">
      <c r="A41" s="12"/>
      <c r="B41" s="8"/>
      <c r="C41" s="8"/>
      <c r="D41" s="8"/>
      <c r="E41" s="8"/>
      <c r="F41" s="8"/>
      <c r="G41" s="8"/>
      <c r="H41" s="14"/>
      <c r="T41" s="59">
        <v>2</v>
      </c>
      <c r="U41" s="82">
        <f t="shared" si="24"/>
        <v>35.41571747416252</v>
      </c>
      <c r="V41" s="82">
        <f t="shared" si="25"/>
        <v>0</v>
      </c>
      <c r="W41" s="82">
        <f t="shared" si="26"/>
        <v>44.436335182955069</v>
      </c>
      <c r="X41" s="82">
        <f t="shared" si="27"/>
        <v>273.1282170184997</v>
      </c>
      <c r="Y41" s="82">
        <f t="shared" si="28"/>
        <v>257.94215654492939</v>
      </c>
      <c r="Z41" s="82">
        <f t="shared" si="29"/>
        <v>268.18432904191525</v>
      </c>
      <c r="AA41" s="82">
        <f t="shared" si="30"/>
        <v>398.14575455830294</v>
      </c>
      <c r="AB41" s="82">
        <f t="shared" si="31"/>
        <v>273.11509923526529</v>
      </c>
      <c r="AC41" s="82">
        <f t="shared" si="32"/>
        <v>263.58393767409399</v>
      </c>
      <c r="AD41" s="82">
        <f t="shared" si="33"/>
        <v>219.53121870866025</v>
      </c>
      <c r="AE41" s="82">
        <f t="shared" si="34"/>
        <v>200.11373184634655</v>
      </c>
      <c r="AF41" s="82">
        <f t="shared" si="35"/>
        <v>456.11462948302591</v>
      </c>
      <c r="AG41" s="82">
        <f t="shared" si="36"/>
        <v>199.21786127021554</v>
      </c>
      <c r="AH41" s="82">
        <f t="shared" si="37"/>
        <v>79.03822260954027</v>
      </c>
      <c r="AI41" s="82">
        <f t="shared" si="38"/>
        <v>201.14756751767686</v>
      </c>
      <c r="AJ41" s="82">
        <f t="shared" si="39"/>
        <v>250.88589035856424</v>
      </c>
      <c r="AK41" s="82">
        <f t="shared" si="40"/>
        <v>196.0671434542468</v>
      </c>
    </row>
    <row r="42" spans="1:37" ht="15" thickBot="1">
      <c r="A42" s="41"/>
      <c r="B42" s="16"/>
      <c r="C42" s="97">
        <f>D39*D40</f>
        <v>0.61833360835924611</v>
      </c>
      <c r="D42" s="16"/>
      <c r="E42" s="80">
        <f>F39*F40</f>
        <v>0</v>
      </c>
      <c r="F42" s="16"/>
      <c r="G42" s="64" t="s">
        <v>8</v>
      </c>
      <c r="H42" s="98">
        <f>E42+C42</f>
        <v>0.61833360835924611</v>
      </c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59">
        <v>3</v>
      </c>
      <c r="U42" s="82">
        <f t="shared" si="24"/>
        <v>75.235308449802986</v>
      </c>
      <c r="V42" s="82">
        <f t="shared" si="25"/>
        <v>44.436335182955069</v>
      </c>
      <c r="W42" s="82">
        <f t="shared" si="26"/>
        <v>0</v>
      </c>
      <c r="X42" s="82">
        <f t="shared" si="27"/>
        <v>291.68873208474383</v>
      </c>
      <c r="Y42" s="82">
        <f t="shared" si="28"/>
        <v>213.54567105456343</v>
      </c>
      <c r="Z42" s="82">
        <f t="shared" si="29"/>
        <v>226.12164826396045</v>
      </c>
      <c r="AA42" s="82">
        <f t="shared" si="30"/>
        <v>354.40223799523591</v>
      </c>
      <c r="AB42" s="82">
        <f t="shared" si="31"/>
        <v>228.93534948956807</v>
      </c>
      <c r="AC42" s="82">
        <f t="shared" si="32"/>
        <v>219.64957303895184</v>
      </c>
      <c r="AD42" s="82">
        <f t="shared" si="33"/>
        <v>176.13361760590169</v>
      </c>
      <c r="AE42" s="82">
        <f t="shared" si="34"/>
        <v>175.53810902631469</v>
      </c>
      <c r="AF42" s="82">
        <f t="shared" si="35"/>
        <v>413.86441663557724</v>
      </c>
      <c r="AG42" s="82">
        <f t="shared" si="36"/>
        <v>225.40989687633373</v>
      </c>
      <c r="AH42" s="82">
        <f t="shared" si="37"/>
        <v>117.05948454950837</v>
      </c>
      <c r="AI42" s="82">
        <f t="shared" si="38"/>
        <v>163.05880626550467</v>
      </c>
      <c r="AJ42" s="82">
        <f t="shared" si="39"/>
        <v>226.64433982944462</v>
      </c>
      <c r="AK42" s="82">
        <f t="shared" si="40"/>
        <v>162.77018054803818</v>
      </c>
    </row>
    <row r="43" spans="1:37">
      <c r="T43" s="59">
        <v>4</v>
      </c>
      <c r="U43" s="82">
        <f t="shared" si="24"/>
        <v>243.12415046854719</v>
      </c>
      <c r="V43" s="82">
        <f t="shared" si="25"/>
        <v>273.1282170184997</v>
      </c>
      <c r="W43" s="82">
        <f t="shared" si="26"/>
        <v>291.68873208474383</v>
      </c>
      <c r="X43" s="82">
        <f t="shared" si="27"/>
        <v>0</v>
      </c>
      <c r="Y43" s="82">
        <f t="shared" si="28"/>
        <v>430.58523917795372</v>
      </c>
      <c r="Z43" s="82">
        <f t="shared" si="29"/>
        <v>393.65678799828754</v>
      </c>
      <c r="AA43" s="82">
        <f t="shared" si="30"/>
        <v>523.92586826058493</v>
      </c>
      <c r="AB43" s="82">
        <f t="shared" si="31"/>
        <v>433.02117322658592</v>
      </c>
      <c r="AC43" s="82">
        <f t="shared" si="32"/>
        <v>460.99990848306385</v>
      </c>
      <c r="AD43" s="82">
        <f t="shared" si="33"/>
        <v>377.39239285121079</v>
      </c>
      <c r="AE43" s="82">
        <f t="shared" si="34"/>
        <v>243.50268764516562</v>
      </c>
      <c r="AF43" s="82">
        <f t="shared" si="35"/>
        <v>545.19424297983869</v>
      </c>
      <c r="AG43" s="82">
        <f t="shared" si="36"/>
        <v>85.530866119049492</v>
      </c>
      <c r="AH43" s="82">
        <f t="shared" si="37"/>
        <v>209.16282830150311</v>
      </c>
      <c r="AI43" s="82">
        <f t="shared" si="38"/>
        <v>443.65343531531391</v>
      </c>
      <c r="AJ43" s="82">
        <f t="shared" si="39"/>
        <v>518.33181927135797</v>
      </c>
      <c r="AK43" s="82">
        <f t="shared" si="40"/>
        <v>450.94909994727891</v>
      </c>
    </row>
    <row r="44" spans="1:37">
      <c r="T44" s="59">
        <v>5</v>
      </c>
      <c r="U44" s="82">
        <f t="shared" si="24"/>
        <v>285.38608101250298</v>
      </c>
      <c r="V44" s="82">
        <f t="shared" si="25"/>
        <v>257.94215654492939</v>
      </c>
      <c r="W44" s="82">
        <f t="shared" si="26"/>
        <v>213.54567105456346</v>
      </c>
      <c r="X44" s="82">
        <f t="shared" si="27"/>
        <v>430.58523917795367</v>
      </c>
      <c r="Y44" s="82">
        <f t="shared" si="28"/>
        <v>0</v>
      </c>
      <c r="Z44" s="82">
        <f t="shared" si="29"/>
        <v>69.455125502039664</v>
      </c>
      <c r="AA44" s="82">
        <f t="shared" si="30"/>
        <v>146.08932876096961</v>
      </c>
      <c r="AB44" s="82">
        <f t="shared" si="31"/>
        <v>21.968778976333269</v>
      </c>
      <c r="AC44" s="82">
        <f t="shared" si="32"/>
        <v>46.120406617537434</v>
      </c>
      <c r="AD44" s="82">
        <f t="shared" si="33"/>
        <v>53.25280228115453</v>
      </c>
      <c r="AE44" s="82">
        <f t="shared" si="34"/>
        <v>196.18586926043142</v>
      </c>
      <c r="AF44" s="82">
        <f t="shared" si="35"/>
        <v>217.34893875517614</v>
      </c>
      <c r="AG44" s="82">
        <f t="shared" si="36"/>
        <v>394.82939421009377</v>
      </c>
      <c r="AH44" s="82">
        <f t="shared" si="37"/>
        <v>321.85836784012554</v>
      </c>
      <c r="AI44" s="82">
        <f t="shared" si="38"/>
        <v>130.10141514607648</v>
      </c>
      <c r="AJ44" s="82">
        <f t="shared" si="39"/>
        <v>234.1745320258795</v>
      </c>
      <c r="AK44" s="82">
        <f t="shared" si="40"/>
        <v>162.97627457082967</v>
      </c>
    </row>
    <row r="45" spans="1:37">
      <c r="C45" s="66" t="s">
        <v>64</v>
      </c>
      <c r="G45" s="82">
        <f>G39*3</f>
        <v>7622.4611976764445</v>
      </c>
      <c r="T45" s="59">
        <v>6</v>
      </c>
      <c r="U45" s="82">
        <f t="shared" si="24"/>
        <v>289.17855867575389</v>
      </c>
      <c r="V45" s="82">
        <f t="shared" si="25"/>
        <v>268.18432904191525</v>
      </c>
      <c r="W45" s="82">
        <f t="shared" si="26"/>
        <v>226.1216482639604</v>
      </c>
      <c r="X45" s="82">
        <f t="shared" si="27"/>
        <v>393.65678799828754</v>
      </c>
      <c r="Y45" s="82">
        <f t="shared" si="28"/>
        <v>69.455125502039664</v>
      </c>
      <c r="Z45" s="82">
        <f t="shared" si="29"/>
        <v>0</v>
      </c>
      <c r="AA45" s="82">
        <f t="shared" si="30"/>
        <v>137.10365996034804</v>
      </c>
      <c r="AB45" s="82">
        <f t="shared" si="31"/>
        <v>54.816916820998749</v>
      </c>
      <c r="AC45" s="82">
        <f t="shared" si="32"/>
        <v>115.54084629340073</v>
      </c>
      <c r="AD45" s="82">
        <f t="shared" si="33"/>
        <v>55.11594960765737</v>
      </c>
      <c r="AE45" s="82">
        <f t="shared" si="34"/>
        <v>150.6555634966613</v>
      </c>
      <c r="AF45" s="82">
        <f t="shared" si="35"/>
        <v>187.93059434003794</v>
      </c>
      <c r="AG45" s="82">
        <f t="shared" si="36"/>
        <v>370.49370442246158</v>
      </c>
      <c r="AH45" s="82">
        <f t="shared" si="37"/>
        <v>319.2524065418915</v>
      </c>
      <c r="AI45" s="82">
        <f t="shared" si="38"/>
        <v>189.22843379725697</v>
      </c>
      <c r="AJ45" s="82">
        <f t="shared" si="39"/>
        <v>297.2839405593038</v>
      </c>
      <c r="AK45" s="82">
        <f t="shared" si="40"/>
        <v>220.94920483065883</v>
      </c>
    </row>
    <row r="46" spans="1:37">
      <c r="C46" s="66" t="s">
        <v>65</v>
      </c>
      <c r="G46" s="82">
        <f>G45/5280</f>
        <v>1.4436479541053873</v>
      </c>
      <c r="T46" s="59">
        <v>7</v>
      </c>
      <c r="U46" s="82">
        <f t="shared" si="24"/>
        <v>422.239931684601</v>
      </c>
      <c r="V46" s="82">
        <f t="shared" si="25"/>
        <v>398.14575455830294</v>
      </c>
      <c r="W46" s="82">
        <f t="shared" si="26"/>
        <v>354.40223799523591</v>
      </c>
      <c r="X46" s="82">
        <f t="shared" si="27"/>
        <v>523.92586826058493</v>
      </c>
      <c r="Y46" s="82">
        <f t="shared" si="28"/>
        <v>146.08932876096961</v>
      </c>
      <c r="Z46" s="82">
        <f t="shared" si="29"/>
        <v>137.10365996034804</v>
      </c>
      <c r="AA46" s="82">
        <f t="shared" si="30"/>
        <v>0</v>
      </c>
      <c r="AB46" s="82">
        <f t="shared" si="31"/>
        <v>127.04302098859858</v>
      </c>
      <c r="AC46" s="82">
        <f t="shared" si="32"/>
        <v>166.51786372548233</v>
      </c>
      <c r="AD46" s="82">
        <f t="shared" si="33"/>
        <v>178.79249083232051</v>
      </c>
      <c r="AE46" s="82">
        <f t="shared" si="34"/>
        <v>281.09763747137629</v>
      </c>
      <c r="AF46" s="82">
        <f t="shared" si="35"/>
        <v>80.985227741250185</v>
      </c>
      <c r="AG46" s="82">
        <f t="shared" si="36"/>
        <v>506.4497087106385</v>
      </c>
      <c r="AH46" s="82">
        <f t="shared" si="37"/>
        <v>454.60608976349624</v>
      </c>
      <c r="AI46" s="82">
        <f t="shared" si="38"/>
        <v>266.95448741353545</v>
      </c>
      <c r="AJ46" s="82">
        <f t="shared" si="39"/>
        <v>357.85686355779404</v>
      </c>
      <c r="AK46" s="82">
        <f t="shared" si="40"/>
        <v>299.2056517337632</v>
      </c>
    </row>
    <row r="47" spans="1:37">
      <c r="C47" s="66" t="s">
        <v>66</v>
      </c>
      <c r="G47" s="82">
        <f>H39/60</f>
        <v>6.666666666666667</v>
      </c>
      <c r="T47" s="59">
        <v>8</v>
      </c>
      <c r="U47" s="82">
        <f t="shared" si="24"/>
        <v>299.18469658294089</v>
      </c>
      <c r="V47" s="82">
        <f t="shared" si="25"/>
        <v>273.11509923526529</v>
      </c>
      <c r="W47" s="82">
        <f t="shared" si="26"/>
        <v>228.93534948956807</v>
      </c>
      <c r="X47" s="82">
        <f t="shared" si="27"/>
        <v>433.02117322658592</v>
      </c>
      <c r="Y47" s="82">
        <f t="shared" si="28"/>
        <v>21.968778976333269</v>
      </c>
      <c r="Z47" s="82">
        <f t="shared" si="29"/>
        <v>54.816916820998742</v>
      </c>
      <c r="AA47" s="82">
        <f t="shared" si="30"/>
        <v>127.04302098859857</v>
      </c>
      <c r="AB47" s="82">
        <f t="shared" si="31"/>
        <v>0</v>
      </c>
      <c r="AC47" s="82">
        <f t="shared" si="32"/>
        <v>63.794208341811625</v>
      </c>
      <c r="AD47" s="82">
        <f t="shared" si="33"/>
        <v>58.440074323805938</v>
      </c>
      <c r="AE47" s="82">
        <f t="shared" si="34"/>
        <v>194.30568622833704</v>
      </c>
      <c r="AF47" s="82">
        <f t="shared" si="35"/>
        <v>196.24129880676139</v>
      </c>
      <c r="AG47" s="82">
        <f t="shared" si="36"/>
        <v>401.34210495569926</v>
      </c>
      <c r="AH47" s="82">
        <f t="shared" si="37"/>
        <v>334.23445421028055</v>
      </c>
      <c r="AI47" s="82">
        <f t="shared" si="38"/>
        <v>152.05756119461753</v>
      </c>
      <c r="AJ47" s="82">
        <f t="shared" si="39"/>
        <v>255.62654057901639</v>
      </c>
      <c r="AK47" s="82">
        <f t="shared" si="40"/>
        <v>184.93928790034644</v>
      </c>
    </row>
    <row r="48" spans="1:37">
      <c r="C48" s="66" t="s">
        <v>67</v>
      </c>
      <c r="G48" s="82">
        <f>SUM(D29:D32)/D39</f>
        <v>0.27820295838853043</v>
      </c>
      <c r="T48" s="59">
        <v>9</v>
      </c>
      <c r="U48" s="82">
        <f t="shared" si="24"/>
        <v>294.34674965435448</v>
      </c>
      <c r="V48" s="82">
        <f t="shared" si="25"/>
        <v>263.58393767409399</v>
      </c>
      <c r="W48" s="82">
        <f t="shared" si="26"/>
        <v>219.64957303895184</v>
      </c>
      <c r="X48" s="82">
        <f t="shared" si="27"/>
        <v>460.99990848306379</v>
      </c>
      <c r="Y48" s="82">
        <f t="shared" si="28"/>
        <v>46.120406617537434</v>
      </c>
      <c r="Z48" s="82">
        <f t="shared" si="29"/>
        <v>115.54084629340075</v>
      </c>
      <c r="AA48" s="82">
        <f t="shared" si="30"/>
        <v>166.51786372548233</v>
      </c>
      <c r="AB48" s="82">
        <f t="shared" si="31"/>
        <v>63.794208341811625</v>
      </c>
      <c r="AC48" s="82">
        <f t="shared" si="32"/>
        <v>0</v>
      </c>
      <c r="AD48" s="82">
        <f t="shared" si="33"/>
        <v>90.664956666995778</v>
      </c>
      <c r="AE48" s="82">
        <f t="shared" si="34"/>
        <v>234.26543137137057</v>
      </c>
      <c r="AF48" s="82">
        <f t="shared" si="35"/>
        <v>244.21262443256944</v>
      </c>
      <c r="AG48" s="82">
        <f t="shared" si="36"/>
        <v>418.58691675179392</v>
      </c>
      <c r="AH48" s="82">
        <f t="shared" si="37"/>
        <v>333.91043574757589</v>
      </c>
      <c r="AI48" s="82">
        <f t="shared" si="38"/>
        <v>100.53876287995733</v>
      </c>
      <c r="AJ48" s="82">
        <f t="shared" si="39"/>
        <v>196.03012242617947</v>
      </c>
      <c r="AK48" s="82">
        <f t="shared" si="40"/>
        <v>132.68848704068344</v>
      </c>
    </row>
    <row r="49" spans="3:37">
      <c r="C49" s="66" t="s">
        <v>68</v>
      </c>
      <c r="G49" s="82">
        <f>SUM(F29:F32)/F39</f>
        <v>0.32718059647601799</v>
      </c>
      <c r="T49" s="59">
        <v>10</v>
      </c>
      <c r="U49" s="82">
        <f t="shared" si="24"/>
        <v>243.58872607986012</v>
      </c>
      <c r="V49" s="82">
        <f t="shared" si="25"/>
        <v>219.53121870866028</v>
      </c>
      <c r="W49" s="82">
        <f t="shared" si="26"/>
        <v>176.13361760590169</v>
      </c>
      <c r="X49" s="82">
        <f t="shared" si="27"/>
        <v>377.39239285121079</v>
      </c>
      <c r="Y49" s="82">
        <f t="shared" si="28"/>
        <v>53.252802281154523</v>
      </c>
      <c r="Z49" s="82">
        <f t="shared" si="29"/>
        <v>55.115949607657363</v>
      </c>
      <c r="AA49" s="82">
        <f t="shared" si="30"/>
        <v>178.79249083232051</v>
      </c>
      <c r="AB49" s="82">
        <f t="shared" si="31"/>
        <v>58.440074323805938</v>
      </c>
      <c r="AC49" s="82">
        <f t="shared" si="32"/>
        <v>90.664956666995778</v>
      </c>
      <c r="AD49" s="82">
        <f t="shared" si="33"/>
        <v>0</v>
      </c>
      <c r="AE49" s="82">
        <f t="shared" si="34"/>
        <v>144.14840241197871</v>
      </c>
      <c r="AF49" s="82">
        <f t="shared" si="35"/>
        <v>238.93956076898073</v>
      </c>
      <c r="AG49" s="82">
        <f t="shared" si="36"/>
        <v>343.23800472175236</v>
      </c>
      <c r="AH49" s="82">
        <f t="shared" si="37"/>
        <v>277.19471876766289</v>
      </c>
      <c r="AI49" s="82">
        <f t="shared" si="38"/>
        <v>140.34652822183338</v>
      </c>
      <c r="AJ49" s="82">
        <f t="shared" si="39"/>
        <v>249.56439084237218</v>
      </c>
      <c r="AK49" s="82">
        <f t="shared" si="40"/>
        <v>170.59544177993732</v>
      </c>
    </row>
    <row r="50" spans="3:37">
      <c r="T50" s="59">
        <v>11</v>
      </c>
      <c r="U50" s="82">
        <f t="shared" si="24"/>
        <v>203.00393542072791</v>
      </c>
      <c r="V50" s="82">
        <f t="shared" si="25"/>
        <v>200.11373184634655</v>
      </c>
      <c r="W50" s="82">
        <f t="shared" si="26"/>
        <v>175.53810902631469</v>
      </c>
      <c r="X50" s="82">
        <f t="shared" si="27"/>
        <v>243.50268764516565</v>
      </c>
      <c r="Y50" s="82">
        <f t="shared" si="28"/>
        <v>196.18586926043142</v>
      </c>
      <c r="Z50" s="82">
        <f t="shared" si="29"/>
        <v>150.6555634966613</v>
      </c>
      <c r="AA50" s="82">
        <f t="shared" si="30"/>
        <v>281.09763747137629</v>
      </c>
      <c r="AB50" s="82">
        <f t="shared" si="31"/>
        <v>194.30568622833704</v>
      </c>
      <c r="AC50" s="82">
        <f t="shared" si="32"/>
        <v>234.26543137137054</v>
      </c>
      <c r="AD50" s="82">
        <f t="shared" si="33"/>
        <v>144.14840241197871</v>
      </c>
      <c r="AE50" s="82">
        <f t="shared" si="34"/>
        <v>0</v>
      </c>
      <c r="AF50" s="82">
        <f t="shared" si="35"/>
        <v>310.40995171196965</v>
      </c>
      <c r="AG50" s="82">
        <f t="shared" si="36"/>
        <v>229.52406256746684</v>
      </c>
      <c r="AH50" s="82">
        <f t="shared" si="37"/>
        <v>215.60524896378325</v>
      </c>
      <c r="AI50" s="82">
        <f t="shared" si="38"/>
        <v>253.90774206554252</v>
      </c>
      <c r="AJ50" s="82">
        <f t="shared" si="39"/>
        <v>355.60542381889445</v>
      </c>
      <c r="AK50" s="82">
        <f t="shared" si="40"/>
        <v>274.98992588644165</v>
      </c>
    </row>
    <row r="51" spans="3:37">
      <c r="T51" s="59">
        <v>12</v>
      </c>
      <c r="U51" s="82">
        <f t="shared" si="24"/>
        <v>476.53795812918798</v>
      </c>
      <c r="V51" s="82">
        <f t="shared" si="25"/>
        <v>456.11462948302585</v>
      </c>
      <c r="W51" s="82">
        <f t="shared" si="26"/>
        <v>413.86441663557724</v>
      </c>
      <c r="X51" s="82">
        <f t="shared" si="27"/>
        <v>545.19424297983869</v>
      </c>
      <c r="Y51" s="82">
        <f t="shared" si="28"/>
        <v>217.34893875517614</v>
      </c>
      <c r="Z51" s="82">
        <f t="shared" si="29"/>
        <v>187.93059434003794</v>
      </c>
      <c r="AA51" s="82">
        <f t="shared" si="30"/>
        <v>80.985227741250185</v>
      </c>
      <c r="AB51" s="82">
        <f t="shared" si="31"/>
        <v>196.24129880676139</v>
      </c>
      <c r="AC51" s="82">
        <f t="shared" si="32"/>
        <v>244.21262443256944</v>
      </c>
      <c r="AD51" s="82">
        <f t="shared" si="33"/>
        <v>238.93956076898073</v>
      </c>
      <c r="AE51" s="82">
        <f t="shared" si="34"/>
        <v>310.40995171196965</v>
      </c>
      <c r="AF51" s="82">
        <f t="shared" si="35"/>
        <v>0</v>
      </c>
      <c r="AG51" s="82">
        <f t="shared" si="36"/>
        <v>539.93396275766452</v>
      </c>
      <c r="AH51" s="82">
        <f t="shared" si="37"/>
        <v>504.71867173682426</v>
      </c>
      <c r="AI51" s="82">
        <f t="shared" si="38"/>
        <v>343.71766130424044</v>
      </c>
      <c r="AJ51" s="82">
        <f t="shared" si="39"/>
        <v>437.85195352068683</v>
      </c>
      <c r="AK51" s="82">
        <f t="shared" si="40"/>
        <v>376.39033374729303</v>
      </c>
    </row>
    <row r="52" spans="3:37">
      <c r="T52" s="59">
        <v>13</v>
      </c>
      <c r="U52" s="82">
        <f t="shared" si="24"/>
        <v>166.24766329420825</v>
      </c>
      <c r="V52" s="82">
        <f t="shared" si="25"/>
        <v>199.21786127021554</v>
      </c>
      <c r="W52" s="82">
        <f t="shared" si="26"/>
        <v>225.40989687633373</v>
      </c>
      <c r="X52" s="82">
        <f t="shared" si="27"/>
        <v>85.530866119049492</v>
      </c>
      <c r="Y52" s="82">
        <f t="shared" si="28"/>
        <v>394.82939421009377</v>
      </c>
      <c r="Z52" s="82">
        <f t="shared" si="29"/>
        <v>370.49370442246158</v>
      </c>
      <c r="AA52" s="82">
        <f t="shared" si="30"/>
        <v>506.44970871063845</v>
      </c>
      <c r="AB52" s="82">
        <f t="shared" si="31"/>
        <v>401.34210495569926</v>
      </c>
      <c r="AC52" s="82">
        <f t="shared" si="32"/>
        <v>418.58691675179392</v>
      </c>
      <c r="AD52" s="82">
        <f t="shared" si="33"/>
        <v>343.23800472175242</v>
      </c>
      <c r="AE52" s="82">
        <f t="shared" si="34"/>
        <v>229.52406256746684</v>
      </c>
      <c r="AF52" s="82">
        <f t="shared" si="35"/>
        <v>539.93396275766452</v>
      </c>
      <c r="AG52" s="82">
        <f t="shared" si="36"/>
        <v>0</v>
      </c>
      <c r="AH52" s="82">
        <f t="shared" si="37"/>
        <v>127.9721607205676</v>
      </c>
      <c r="AI52" s="82">
        <f t="shared" si="38"/>
        <v>385.50102343587747</v>
      </c>
      <c r="AJ52" s="82">
        <f t="shared" si="39"/>
        <v>449.4287392065018</v>
      </c>
      <c r="AK52" s="82">
        <f t="shared" si="40"/>
        <v>388.07023356065002</v>
      </c>
    </row>
    <row r="53" spans="3:37">
      <c r="T53" s="59">
        <v>14</v>
      </c>
      <c r="U53" s="82">
        <f t="shared" si="24"/>
        <v>43.627434418712667</v>
      </c>
      <c r="V53" s="82">
        <f t="shared" si="25"/>
        <v>79.03822260954027</v>
      </c>
      <c r="W53" s="82">
        <f t="shared" si="26"/>
        <v>117.05948454950837</v>
      </c>
      <c r="X53" s="82">
        <f t="shared" si="27"/>
        <v>209.16282830150311</v>
      </c>
      <c r="Y53" s="82">
        <f t="shared" si="28"/>
        <v>321.85836784012554</v>
      </c>
      <c r="Z53" s="82">
        <f t="shared" si="29"/>
        <v>319.2524065418915</v>
      </c>
      <c r="AA53" s="82">
        <f t="shared" si="30"/>
        <v>454.60608976349624</v>
      </c>
      <c r="AB53" s="82">
        <f t="shared" si="31"/>
        <v>334.23445421028055</v>
      </c>
      <c r="AC53" s="82">
        <f t="shared" si="32"/>
        <v>333.91043574757589</v>
      </c>
      <c r="AD53" s="82">
        <f t="shared" si="33"/>
        <v>277.19471876766289</v>
      </c>
      <c r="AE53" s="82">
        <f t="shared" si="34"/>
        <v>215.60524896378325</v>
      </c>
      <c r="AF53" s="82">
        <f t="shared" si="35"/>
        <v>504.71867173682426</v>
      </c>
      <c r="AG53" s="82">
        <f t="shared" si="36"/>
        <v>127.9721607205676</v>
      </c>
      <c r="AH53" s="82">
        <f t="shared" si="37"/>
        <v>0</v>
      </c>
      <c r="AI53" s="82">
        <f t="shared" si="38"/>
        <v>279.11449624635367</v>
      </c>
      <c r="AJ53" s="82">
        <f t="shared" si="39"/>
        <v>328.16830545471561</v>
      </c>
      <c r="AK53" s="82">
        <f t="shared" si="40"/>
        <v>275.07923904373905</v>
      </c>
    </row>
    <row r="54" spans="3:37">
      <c r="T54" s="59">
        <v>15</v>
      </c>
      <c r="U54" s="82">
        <f t="shared" si="24"/>
        <v>235.9205617282789</v>
      </c>
      <c r="V54" s="82">
        <f t="shared" si="25"/>
        <v>201.14756751767686</v>
      </c>
      <c r="W54" s="82">
        <f t="shared" si="26"/>
        <v>163.05880626550467</v>
      </c>
      <c r="X54" s="82">
        <f t="shared" si="27"/>
        <v>443.65343531531403</v>
      </c>
      <c r="Y54" s="82">
        <f t="shared" si="28"/>
        <v>130.10141514607648</v>
      </c>
      <c r="Z54" s="82">
        <f t="shared" si="29"/>
        <v>189.22843379725697</v>
      </c>
      <c r="AA54" s="82">
        <f t="shared" si="30"/>
        <v>266.95448741353545</v>
      </c>
      <c r="AB54" s="82">
        <f t="shared" si="31"/>
        <v>152.05756119461753</v>
      </c>
      <c r="AC54" s="82">
        <f t="shared" si="32"/>
        <v>100.53876287995733</v>
      </c>
      <c r="AD54" s="82">
        <f t="shared" si="33"/>
        <v>140.34652822183338</v>
      </c>
      <c r="AE54" s="82">
        <f t="shared" si="34"/>
        <v>253.90774206554249</v>
      </c>
      <c r="AF54" s="82">
        <f t="shared" si="35"/>
        <v>343.71766130424044</v>
      </c>
      <c r="AG54" s="82">
        <f t="shared" si="36"/>
        <v>385.50102343587753</v>
      </c>
      <c r="AH54" s="82">
        <f t="shared" si="37"/>
        <v>279.11449624635367</v>
      </c>
      <c r="AI54" s="82">
        <f t="shared" si="38"/>
        <v>0</v>
      </c>
      <c r="AJ54" s="82">
        <f t="shared" si="39"/>
        <v>109.24350736136221</v>
      </c>
      <c r="AK54" s="82">
        <f t="shared" si="40"/>
        <v>32.923290655312897</v>
      </c>
    </row>
    <row r="55" spans="3:37">
      <c r="T55" s="59">
        <v>16</v>
      </c>
      <c r="U55" s="82">
        <f t="shared" si="24"/>
        <v>285.48610254472004</v>
      </c>
      <c r="V55" s="82">
        <f t="shared" si="25"/>
        <v>250.88589035856424</v>
      </c>
      <c r="W55" s="82">
        <f t="shared" si="26"/>
        <v>226.64433982944459</v>
      </c>
      <c r="X55" s="82">
        <f t="shared" si="27"/>
        <v>518.33181927135797</v>
      </c>
      <c r="Y55" s="82">
        <f t="shared" si="28"/>
        <v>234.17453202587953</v>
      </c>
      <c r="Z55" s="82">
        <f t="shared" si="29"/>
        <v>297.2839405593038</v>
      </c>
      <c r="AA55" s="82">
        <f t="shared" si="30"/>
        <v>357.85686355779404</v>
      </c>
      <c r="AB55" s="82">
        <f t="shared" si="31"/>
        <v>255.62654057901639</v>
      </c>
      <c r="AC55" s="82">
        <f t="shared" si="32"/>
        <v>196.03012242617947</v>
      </c>
      <c r="AD55" s="82">
        <f t="shared" si="33"/>
        <v>249.56439084237218</v>
      </c>
      <c r="AE55" s="82">
        <f t="shared" si="34"/>
        <v>355.60542381889445</v>
      </c>
      <c r="AF55" s="82">
        <f t="shared" si="35"/>
        <v>437.85195352068683</v>
      </c>
      <c r="AG55" s="82">
        <f t="shared" si="36"/>
        <v>449.42873920650186</v>
      </c>
      <c r="AH55" s="82">
        <f t="shared" si="37"/>
        <v>328.16830545471561</v>
      </c>
      <c r="AI55" s="82">
        <f t="shared" si="38"/>
        <v>109.24350736136221</v>
      </c>
      <c r="AJ55" s="82">
        <f t="shared" si="39"/>
        <v>0</v>
      </c>
      <c r="AK55" s="82">
        <f t="shared" si="40"/>
        <v>81.447413962744818</v>
      </c>
    </row>
    <row r="56" spans="3:37" ht="15" thickBot="1">
      <c r="T56" s="60">
        <v>17</v>
      </c>
      <c r="U56" s="82">
        <f t="shared" si="24"/>
        <v>231.45532036128384</v>
      </c>
      <c r="V56" s="82">
        <f t="shared" si="25"/>
        <v>196.0671434542468</v>
      </c>
      <c r="W56" s="82">
        <f t="shared" si="26"/>
        <v>162.77018054803818</v>
      </c>
      <c r="X56" s="82">
        <f t="shared" si="27"/>
        <v>450.94909994727897</v>
      </c>
      <c r="Y56" s="82">
        <f t="shared" si="28"/>
        <v>162.97627457082967</v>
      </c>
      <c r="Z56" s="82">
        <f t="shared" si="29"/>
        <v>220.9492048306588</v>
      </c>
      <c r="AA56" s="82">
        <f t="shared" si="30"/>
        <v>299.2056517337632</v>
      </c>
      <c r="AB56" s="82">
        <f t="shared" si="31"/>
        <v>184.93928790034644</v>
      </c>
      <c r="AC56" s="82">
        <f t="shared" si="32"/>
        <v>132.68848704068344</v>
      </c>
      <c r="AD56" s="82">
        <f t="shared" si="33"/>
        <v>170.59544177993732</v>
      </c>
      <c r="AE56" s="82">
        <f t="shared" si="34"/>
        <v>274.98992588644165</v>
      </c>
      <c r="AF56" s="82">
        <f t="shared" si="35"/>
        <v>376.39033374729303</v>
      </c>
      <c r="AG56" s="82">
        <f t="shared" si="36"/>
        <v>388.07023356065002</v>
      </c>
      <c r="AH56" s="82">
        <f t="shared" si="37"/>
        <v>275.07923904373905</v>
      </c>
      <c r="AI56" s="82">
        <f t="shared" si="38"/>
        <v>32.923290655312897</v>
      </c>
      <c r="AJ56" s="82">
        <f t="shared" si="39"/>
        <v>81.447413962744832</v>
      </c>
      <c r="AK56" s="82">
        <f t="shared" si="40"/>
        <v>0</v>
      </c>
    </row>
  </sheetData>
  <conditionalFormatting sqref="C22:C38">
    <cfRule type="expression" dxfId="0" priority="1">
      <formula>MATCH(C22,$O$22:$O$30,0)</formula>
    </cfRule>
  </conditionalFormatting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2ACD9A-2AAD-4DC3-890B-16BB78121F2D}">
  <dimension ref="A1:AH51"/>
  <sheetViews>
    <sheetView topLeftCell="A15" zoomScaleNormal="100" workbookViewId="0">
      <selection activeCell="A19" sqref="A19:M34"/>
    </sheetView>
  </sheetViews>
  <sheetFormatPr defaultRowHeight="14.25"/>
  <cols>
    <col min="1" max="1" width="11.625" bestFit="1" customWidth="1"/>
    <col min="2" max="2" width="14.75" bestFit="1" customWidth="1"/>
    <col min="3" max="3" width="18.5" customWidth="1"/>
    <col min="4" max="4" width="7.625" customWidth="1"/>
    <col min="5" max="5" width="7.75" bestFit="1" customWidth="1"/>
    <col min="6" max="6" width="9.75" customWidth="1"/>
    <col min="7" max="7" width="7.875" customWidth="1"/>
    <col min="8" max="8" width="8" customWidth="1"/>
    <col min="9" max="12" width="7.375" bestFit="1" customWidth="1"/>
    <col min="13" max="13" width="7.625" customWidth="1"/>
    <col min="14" max="16" width="7.375" bestFit="1" customWidth="1"/>
    <col min="17" max="17" width="37.875" bestFit="1" customWidth="1"/>
    <col min="18" max="18" width="18.25" customWidth="1"/>
    <col min="19" max="19" width="12.75" bestFit="1" customWidth="1"/>
    <col min="20" max="34" width="6.125" customWidth="1"/>
    <col min="35" max="35" width="15.75" bestFit="1" customWidth="1"/>
  </cols>
  <sheetData>
    <row r="1" spans="1:34" ht="48.75" customHeight="1" thickBot="1">
      <c r="A1" s="125" t="s">
        <v>41</v>
      </c>
      <c r="B1" s="116" t="s">
        <v>5</v>
      </c>
      <c r="C1" s="25"/>
      <c r="D1" s="25"/>
      <c r="E1" s="25"/>
      <c r="F1" s="25"/>
      <c r="G1" s="25"/>
      <c r="H1" s="25"/>
      <c r="I1" s="25"/>
      <c r="J1" s="25"/>
      <c r="K1" s="25"/>
      <c r="L1" s="25"/>
      <c r="M1" s="25"/>
      <c r="N1" s="25"/>
      <c r="O1" s="25"/>
      <c r="P1" s="25"/>
      <c r="Q1" s="117" t="s">
        <v>40</v>
      </c>
      <c r="R1" s="117" t="s">
        <v>11</v>
      </c>
      <c r="S1" s="118" t="s">
        <v>6</v>
      </c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</row>
    <row r="2" spans="1:34">
      <c r="A2" s="121" t="s">
        <v>5</v>
      </c>
      <c r="B2" s="119">
        <v>1</v>
      </c>
      <c r="C2" s="119">
        <v>2</v>
      </c>
      <c r="D2" s="119">
        <v>3</v>
      </c>
      <c r="E2" s="119">
        <v>4</v>
      </c>
      <c r="F2" s="119">
        <v>5</v>
      </c>
      <c r="G2" s="119">
        <v>6</v>
      </c>
      <c r="H2" s="119">
        <v>7</v>
      </c>
      <c r="I2" s="119">
        <v>8</v>
      </c>
      <c r="J2" s="119">
        <v>9</v>
      </c>
      <c r="K2" s="119">
        <v>10</v>
      </c>
      <c r="L2" s="119">
        <v>11</v>
      </c>
      <c r="M2" s="119">
        <v>12</v>
      </c>
      <c r="N2" s="119">
        <v>13</v>
      </c>
      <c r="O2" s="119">
        <v>14</v>
      </c>
      <c r="P2" s="120">
        <v>15</v>
      </c>
      <c r="R2" s="121" t="s">
        <v>12</v>
      </c>
      <c r="S2" s="119">
        <v>1</v>
      </c>
      <c r="T2" s="119">
        <v>2</v>
      </c>
      <c r="U2" s="119">
        <v>3</v>
      </c>
      <c r="V2" s="119">
        <v>4</v>
      </c>
      <c r="W2" s="119">
        <v>5</v>
      </c>
      <c r="X2" s="119">
        <v>6</v>
      </c>
      <c r="Y2" s="119">
        <v>7</v>
      </c>
      <c r="Z2" s="119">
        <v>8</v>
      </c>
      <c r="AA2" s="119">
        <v>9</v>
      </c>
      <c r="AB2" s="119">
        <v>10</v>
      </c>
      <c r="AC2" s="119">
        <v>11</v>
      </c>
      <c r="AD2" s="119">
        <v>12</v>
      </c>
      <c r="AE2" s="119">
        <v>13</v>
      </c>
      <c r="AF2" s="119">
        <v>14</v>
      </c>
      <c r="AG2" s="120">
        <v>15</v>
      </c>
      <c r="AH2" s="122" t="s">
        <v>13</v>
      </c>
    </row>
    <row r="3" spans="1:34" ht="15.75" customHeight="1">
      <c r="A3" s="124">
        <v>1</v>
      </c>
      <c r="B3" s="72">
        <f>(getDistance(coord!C1,coord!D1,coord!$C$1,coord!$D$1)*1000)/$B$18</f>
        <v>0</v>
      </c>
      <c r="C3" s="73">
        <f>(getDistance(coord!C1,coord!D1,coord!$C$2,coord!$D$2)*1000)/$C$18</f>
        <v>1.117527131493248E-2</v>
      </c>
      <c r="D3" s="73">
        <f>(getDistance(coord!$C1,coord!$D1,coord!$C$3,coord!$D$3)*1000)/$D$18</f>
        <v>2.5720776653345583E-2</v>
      </c>
      <c r="E3" s="73">
        <f>(getDistance(coord!$C1,coord!$D1,coord!$C$4,coord!$D$4)*1000)/$E$18</f>
        <v>4.9070720717916162E-2</v>
      </c>
      <c r="F3" s="73">
        <f>(getDistance(coord!$C1,coord!$D1,coord!$C$5,coord!$D$5)*1000)/$F$18</f>
        <v>0.10248471975285137</v>
      </c>
      <c r="G3" s="73">
        <f>(getDistance(coord!$C1,coord!$D1,coord!$C$6,coord!$D$6)*1000)/$G$18</f>
        <v>0.10230127949494407</v>
      </c>
      <c r="H3" s="73">
        <f>(getDistance(coord!$C1,coord!$D1,coord!$C$7,coord!$D$7)*1000)/$H$18</f>
        <v>0.10440233568696755</v>
      </c>
      <c r="I3" s="73">
        <f>(getDistance(coord!$C1,coord!$D1,coord!$C$8,coord!$D$8)*1000)/$I$18</f>
        <v>0.10540237870618735</v>
      </c>
      <c r="J3" s="73">
        <f>(getDistance(coord!$C1,coord!$D1,coord!$C$9,coord!$D$9)*1000)/$J$18</f>
        <v>9.6420743685199664E-2</v>
      </c>
      <c r="K3" s="73">
        <f>(getDistance(coord!$C1,coord!$D1,coord!$C$10,coord!$D$10)*1000)/$K$18</f>
        <v>9.3804164484117755E-2</v>
      </c>
      <c r="L3" s="73">
        <f>(getDistance(coord!$C1,coord!$D1,coord!$C$11,coord!$D$11)*1000)/$L$18</f>
        <v>6.6947974001657556E-2</v>
      </c>
      <c r="M3" s="73">
        <f>(getDistance(coord!$C1,coord!$D1,coord!$C$12,coord!$D$12)*1000)/$M$18</f>
        <v>0.10019406120946865</v>
      </c>
      <c r="N3" s="73">
        <f>(getDistance(coord!$C1,coord!$D1,coord!$C$13,coord!$D$13)*1000)/$N$18</f>
        <v>3.7832765385205913E-2</v>
      </c>
      <c r="O3" s="73">
        <f>(getDistance(coord!$C1,coord!$D1,coord!$C$14,coord!$D$14)*1000)/$O$18</f>
        <v>1.2060589622102796E-2</v>
      </c>
      <c r="P3" s="101">
        <f>(getDistance(coord!$C1,coord!$D1,coord!$C$15,coord!$D$15)*1000)/$P$18</f>
        <v>7.1812090617403165E-2</v>
      </c>
      <c r="Q3" s="123" t="s">
        <v>69</v>
      </c>
      <c r="R3" s="124">
        <v>8</v>
      </c>
      <c r="S3" s="103">
        <f t="shared" ref="S3:AG3" si="0">S20/S$18</f>
        <v>2.7027027027027029E-2</v>
      </c>
      <c r="T3" s="103">
        <f t="shared" si="0"/>
        <v>3.6231884057971016E-2</v>
      </c>
      <c r="U3" s="103">
        <f t="shared" si="0"/>
        <v>8.6206896551724137E-3</v>
      </c>
      <c r="V3" s="103">
        <f t="shared" si="0"/>
        <v>3.3333333333333333E-2</v>
      </c>
      <c r="W3" s="103">
        <f t="shared" si="0"/>
        <v>0.04</v>
      </c>
      <c r="X3" s="103">
        <f t="shared" si="0"/>
        <v>3.6363636363636362E-2</v>
      </c>
      <c r="Y3" s="103">
        <f t="shared" si="0"/>
        <v>5.0314465408805034E-2</v>
      </c>
      <c r="Z3" s="103">
        <f t="shared" si="0"/>
        <v>2.9411764705882353E-2</v>
      </c>
      <c r="AA3" s="103">
        <f t="shared" si="0"/>
        <v>6.2111801242236021E-3</v>
      </c>
      <c r="AB3" s="103">
        <f t="shared" si="0"/>
        <v>1.8518518518518517E-2</v>
      </c>
      <c r="AC3" s="103">
        <f t="shared" si="0"/>
        <v>7.9051383399209481E-3</v>
      </c>
      <c r="AD3" s="103">
        <f t="shared" si="0"/>
        <v>6.8965517241379309E-2</v>
      </c>
      <c r="AE3" s="103">
        <f t="shared" si="0"/>
        <v>1.2048192771084338E-2</v>
      </c>
      <c r="AF3" s="103">
        <f t="shared" si="0"/>
        <v>1.2048192771084338E-2</v>
      </c>
      <c r="AG3" s="104">
        <f t="shared" si="0"/>
        <v>4.2253521126760563E-2</v>
      </c>
      <c r="AH3" s="82">
        <f t="shared" ref="AH3:AH17" si="1">AVERAGE(S3:AG3)</f>
        <v>2.8616870762986604E-2</v>
      </c>
    </row>
    <row r="4" spans="1:34" ht="15.75" customHeight="1">
      <c r="A4" s="124">
        <v>2</v>
      </c>
      <c r="B4" s="73">
        <f>(getDistance(coord!C2,coord!D2,coord!$C$1,coord!$D$1)*1000)/$B$18</f>
        <v>1.0689802865799129E-2</v>
      </c>
      <c r="C4" s="72">
        <f>(getDistance(coord!C2,coord!D2,coord!$C$2,coord!$D$2)*1000)/$C$18</f>
        <v>0</v>
      </c>
      <c r="D4" s="73">
        <f>(getDistance(coord!$C2,coord!$D2,coord!$C$3,coord!$D$3)*1000)/$D$18</f>
        <v>1.5191498195246419E-2</v>
      </c>
      <c r="E4" s="73">
        <f>(getDistance(coord!$C2,coord!$D2,coord!$C$4,coord!$D$4)*1000)/$E$18</f>
        <v>5.5126561601008373E-2</v>
      </c>
      <c r="F4" s="73">
        <f>(getDistance(coord!$C2,coord!$D2,coord!$C$5,coord!$D$5)*1000)/$F$18</f>
        <v>9.2629358559344246E-2</v>
      </c>
      <c r="G4" s="73">
        <f>(getDistance(coord!$C2,coord!$D2,coord!$C$6,coord!$D$6)*1000)/$G$18</f>
        <v>9.4874253911209322E-2</v>
      </c>
      <c r="H4" s="73">
        <f>(getDistance(coord!$C2,coord!$D2,coord!$C$7,coord!$D$7)*1000)/$H$18</f>
        <v>9.8444849955087482E-2</v>
      </c>
      <c r="I4" s="73">
        <f>(getDistance(coord!$C2,coord!$D2,coord!$C$8,coord!$D$8)*1000)/$I$18</f>
        <v>9.6218093534717122E-2</v>
      </c>
      <c r="J4" s="73">
        <f>(getDistance(coord!$C2,coord!$D2,coord!$C$9,coord!$D$9)*1000)/$J$18</f>
        <v>8.6343604350493902E-2</v>
      </c>
      <c r="K4" s="73">
        <f>(getDistance(coord!$C2,coord!$D2,coord!$C$10,coord!$D$10)*1000)/$K$18</f>
        <v>8.4539801494731906E-2</v>
      </c>
      <c r="L4" s="73">
        <f>(getDistance(coord!$C2,coord!$D2,coord!$C$11,coord!$D$11)*1000)/$L$18</f>
        <v>6.5994823643482664E-2</v>
      </c>
      <c r="M4" s="73">
        <f>(getDistance(coord!$C2,coord!$D2,coord!$C$12,coord!$D$12)*1000)/$M$18</f>
        <v>9.5899972552799834E-2</v>
      </c>
      <c r="N4" s="73">
        <f>(getDistance(coord!$C2,coord!$D2,coord!$C$13,coord!$D$13)*1000)/$N$18</f>
        <v>4.5335750630313601E-2</v>
      </c>
      <c r="O4" s="73">
        <f>(getDistance(coord!$C2,coord!$D2,coord!$C$14,coord!$D$14)*1000)/$O$18</f>
        <v>2.1849727815881039E-2</v>
      </c>
      <c r="P4" s="101">
        <f>(getDistance(coord!$C2,coord!$D2,coord!$C$15,coord!$D$15)*1000)/$P$18</f>
        <v>6.122750488652378E-2</v>
      </c>
      <c r="Q4" s="123" t="s">
        <v>70</v>
      </c>
      <c r="R4" s="124">
        <v>9</v>
      </c>
      <c r="S4" s="103">
        <f t="shared" ref="S4:S17" si="2">S21/$S$18</f>
        <v>6.7567567567567571E-2</v>
      </c>
      <c r="T4" s="103">
        <f t="shared" ref="T4:AG4" si="3">T21/T$18</f>
        <v>9.420289855072464E-2</v>
      </c>
      <c r="U4" s="103">
        <f t="shared" si="3"/>
        <v>6.0344827586206899E-2</v>
      </c>
      <c r="V4" s="103">
        <f t="shared" si="3"/>
        <v>0.05</v>
      </c>
      <c r="W4" s="103">
        <f t="shared" si="3"/>
        <v>6.4000000000000001E-2</v>
      </c>
      <c r="X4" s="103">
        <f t="shared" si="3"/>
        <v>1.8181818181818181E-2</v>
      </c>
      <c r="Y4" s="103">
        <f t="shared" si="3"/>
        <v>4.40251572327044E-2</v>
      </c>
      <c r="Z4" s="103">
        <f t="shared" si="3"/>
        <v>8.8235294117647065E-2</v>
      </c>
      <c r="AA4" s="103">
        <f t="shared" si="3"/>
        <v>6.2111801242236021E-3</v>
      </c>
      <c r="AB4" s="103">
        <f t="shared" si="3"/>
        <v>5.5555555555555552E-2</v>
      </c>
      <c r="AC4" s="103">
        <f t="shared" si="3"/>
        <v>7.9051383399209481E-3</v>
      </c>
      <c r="AD4" s="103">
        <f t="shared" si="3"/>
        <v>5.9113300492610835E-2</v>
      </c>
      <c r="AE4" s="103">
        <f t="shared" si="3"/>
        <v>1.2048192771084338E-2</v>
      </c>
      <c r="AF4" s="103">
        <f t="shared" si="3"/>
        <v>1.2048192771084338E-2</v>
      </c>
      <c r="AG4" s="104">
        <f t="shared" si="3"/>
        <v>5.6338028169014086E-2</v>
      </c>
      <c r="AH4" s="82">
        <f t="shared" si="1"/>
        <v>4.6385143430677504E-2</v>
      </c>
    </row>
    <row r="5" spans="1:34" ht="15.75" customHeight="1">
      <c r="A5" s="124">
        <v>3</v>
      </c>
      <c r="B5" s="73">
        <f>(getDistance(coord!C3,coord!D3,coord!$C$1,coord!$D$1)*1000)/$B$18</f>
        <v>2.2708861297606776E-2</v>
      </c>
      <c r="C5" s="73">
        <f>(getDistance(coord!C3,coord!D3,coord!$C$2,coord!$D$2)*1000)/$C$18</f>
        <v>1.4021686904213865E-2</v>
      </c>
      <c r="D5" s="72">
        <f>(getDistance(coord!$C3,coord!$D3,coord!$C$3,coord!$D$3)*1000)/$D$18</f>
        <v>0</v>
      </c>
      <c r="E5" s="73">
        <f>(getDistance(coord!$C3,coord!$D3,coord!$C$4,coord!$D$4)*1000)/$E$18</f>
        <v>5.8872704670058063E-2</v>
      </c>
      <c r="F5" s="73">
        <f>(getDistance(coord!$C3,coord!$D3,coord!$C$5,coord!$D$5)*1000)/$F$18</f>
        <v>7.6686179560042075E-2</v>
      </c>
      <c r="G5" s="73">
        <f>(getDistance(coord!$C3,coord!$D3,coord!$C$6,coord!$D$6)*1000)/$G$18</f>
        <v>7.9993945764307434E-2</v>
      </c>
      <c r="H5" s="73">
        <f>(getDistance(coord!$C3,coord!$D3,coord!$C$7,coord!$D$7)*1000)/$H$18</f>
        <v>8.7628901586288749E-2</v>
      </c>
      <c r="I5" s="73">
        <f>(getDistance(coord!$C3,coord!$D3,coord!$C$8,coord!$D$8)*1000)/$I$18</f>
        <v>8.0653625274724985E-2</v>
      </c>
      <c r="J5" s="73">
        <f>(getDistance(coord!$C3,coord!$D3,coord!$C$9,coord!$D$9)*1000)/$J$18</f>
        <v>7.1951788859303298E-2</v>
      </c>
      <c r="K5" s="73">
        <f>(getDistance(coord!$C3,coord!$D3,coord!$C$10,coord!$D$10)*1000)/$K$18</f>
        <v>6.7827715604826352E-2</v>
      </c>
      <c r="L5" s="73">
        <f>(getDistance(coord!$C3,coord!$D3,coord!$C$11,coord!$D$11)*1000)/$L$18</f>
        <v>5.7890112992331204E-2</v>
      </c>
      <c r="M5" s="73">
        <f>(getDistance(coord!$C3,coord!$D3,coord!$C$12,coord!$D$12)*1000)/$M$18</f>
        <v>8.7016691924391362E-2</v>
      </c>
      <c r="N5" s="73">
        <f>(getDistance(coord!$C3,coord!$D3,coord!$C$13,coord!$D$13)*1000)/$N$18</f>
        <v>5.1296238245069445E-2</v>
      </c>
      <c r="O5" s="73">
        <f>(getDistance(coord!$C3,coord!$D3,coord!$C$14,coord!$D$14)*1000)/$O$18</f>
        <v>3.2360518635515992E-2</v>
      </c>
      <c r="P5" s="101">
        <f>(getDistance(coord!$C3,coord!$D3,coord!$C$15,coord!$D$15)*1000)/$P$18</f>
        <v>4.9633629581598372E-2</v>
      </c>
      <c r="Q5" s="123" t="s">
        <v>71</v>
      </c>
      <c r="R5" s="124">
        <v>10</v>
      </c>
      <c r="S5" s="103">
        <f t="shared" si="2"/>
        <v>6.7567567567567571E-2</v>
      </c>
      <c r="T5" s="103">
        <f t="shared" ref="T5:AG5" si="4">T22/T$18</f>
        <v>6.5217391304347824E-2</v>
      </c>
      <c r="U5" s="103">
        <f t="shared" si="4"/>
        <v>5.1724137931034482E-2</v>
      </c>
      <c r="V5" s="103">
        <f t="shared" si="4"/>
        <v>0.05</v>
      </c>
      <c r="W5" s="103">
        <f t="shared" si="4"/>
        <v>6.4000000000000001E-2</v>
      </c>
      <c r="X5" s="103">
        <f t="shared" si="4"/>
        <v>1.8181818181818181E-2</v>
      </c>
      <c r="Y5" s="103">
        <f t="shared" si="4"/>
        <v>7.5471698113207544E-2</v>
      </c>
      <c r="Z5" s="103">
        <f t="shared" si="4"/>
        <v>5.8823529411764705E-2</v>
      </c>
      <c r="AA5" s="103">
        <f t="shared" si="4"/>
        <v>2.4844720496894408E-2</v>
      </c>
      <c r="AB5" s="103">
        <f t="shared" si="4"/>
        <v>8.3333333333333329E-2</v>
      </c>
      <c r="AC5" s="103">
        <f t="shared" si="4"/>
        <v>4.7430830039525688E-2</v>
      </c>
      <c r="AD5" s="103">
        <f t="shared" si="4"/>
        <v>4.9261083743842367E-2</v>
      </c>
      <c r="AE5" s="103">
        <f t="shared" si="4"/>
        <v>4.8192771084337352E-2</v>
      </c>
      <c r="AF5" s="103">
        <f t="shared" si="4"/>
        <v>2.4096385542168676E-2</v>
      </c>
      <c r="AG5" s="104">
        <f t="shared" si="4"/>
        <v>5.6338028169014086E-2</v>
      </c>
      <c r="AH5" s="82">
        <f t="shared" si="1"/>
        <v>5.2298886327923753E-2</v>
      </c>
    </row>
    <row r="6" spans="1:34" ht="15.75" customHeight="1">
      <c r="A6" s="124">
        <v>4</v>
      </c>
      <c r="B6" s="73">
        <f>(getDistance(coord!C4,coord!D4,coord!$C$1,coord!$D$1)*1000)/$B$18</f>
        <v>7.3384062946620046E-2</v>
      </c>
      <c r="C6" s="73">
        <f>(getDistance(coord!C4,coord!D4,coord!$C$2,coord!$D$2)*1000)/$C$18</f>
        <v>8.6184387798222087E-2</v>
      </c>
      <c r="D6" s="73">
        <f>(getDistance(coord!$C4,coord!$D4,coord!$C$3,coord!$D$3)*1000)/$D$18</f>
        <v>9.9719943798129013E-2</v>
      </c>
      <c r="E6" s="72">
        <f>(getDistance(coord!$C4,coord!$D4,coord!$C$4,coord!$D$4)*1000)/$E$18</f>
        <v>0</v>
      </c>
      <c r="F6" s="73">
        <f>(getDistance(coord!$C4,coord!$D4,coord!$C$5,coord!$D$5)*1000)/$F$18</f>
        <v>0.15462704911993852</v>
      </c>
      <c r="G6" s="73">
        <f>(getDistance(coord!$C4,coord!$D4,coord!$C$6,coord!$D$6)*1000)/$G$18</f>
        <v>0.13926202993234338</v>
      </c>
      <c r="H6" s="73">
        <f>(getDistance(coord!$C4,coord!$D4,coord!$C$7,coord!$D$7)*1000)/$H$18</f>
        <v>0.12954502942200619</v>
      </c>
      <c r="I6" s="73">
        <f>(getDistance(coord!$C4,coord!$D4,coord!$C$8,coord!$D$8)*1000)/$I$18</f>
        <v>0.15255279501093499</v>
      </c>
      <c r="J6" s="73">
        <f>(getDistance(coord!$C4,coord!$D4,coord!$C$9,coord!$D$9)*1000)/$J$18</f>
        <v>0.15101221286439442</v>
      </c>
      <c r="K6" s="73">
        <f>(getDistance(coord!$C4,coord!$D4,coord!$C$10,coord!$D$10)*1000)/$K$18</f>
        <v>0.14533093819154677</v>
      </c>
      <c r="L6" s="73">
        <f>(getDistance(coord!$C4,coord!$D4,coord!$C$11,coord!$D$11)*1000)/$L$18</f>
        <v>8.0303919074357799E-2</v>
      </c>
      <c r="M6" s="73">
        <f>(getDistance(coord!$C4,coord!$D4,coord!$C$12,coord!$D$12)*1000)/$M$18</f>
        <v>0.11462932683604429</v>
      </c>
      <c r="N6" s="73">
        <f>(getDistance(coord!$C4,coord!$D4,coord!$C$13,coord!$D$13)*1000)/$N$18</f>
        <v>1.9464148409406176E-2</v>
      </c>
      <c r="O6" s="73">
        <f>(getDistance(coord!$C4,coord!$D4,coord!$C$14,coord!$D$14)*1000)/$O$18</f>
        <v>5.7822034918027933E-2</v>
      </c>
      <c r="P6" s="101">
        <f>(getDistance(coord!$C4,coord!$D4,coord!$C$15,coord!$D$15)*1000)/$P$18</f>
        <v>0.13504410326167277</v>
      </c>
      <c r="Q6" s="123" t="s">
        <v>72</v>
      </c>
      <c r="R6" s="124">
        <v>11</v>
      </c>
      <c r="S6" s="103">
        <f t="shared" si="2"/>
        <v>6.7567567567567571E-2</v>
      </c>
      <c r="T6" s="103">
        <f t="shared" ref="T6:AG6" si="5">T23/T$18</f>
        <v>6.5217391304347824E-2</v>
      </c>
      <c r="U6" s="103">
        <f t="shared" si="5"/>
        <v>6.0344827586206899E-2</v>
      </c>
      <c r="V6" s="103">
        <f t="shared" si="5"/>
        <v>0.05</v>
      </c>
      <c r="W6" s="103">
        <f t="shared" si="5"/>
        <v>6.4000000000000001E-2</v>
      </c>
      <c r="X6" s="103">
        <f t="shared" si="5"/>
        <v>3.6363636363636362E-2</v>
      </c>
      <c r="Y6" s="103">
        <f t="shared" si="5"/>
        <v>5.6603773584905662E-2</v>
      </c>
      <c r="Z6" s="103">
        <f t="shared" si="5"/>
        <v>5.8823529411764705E-2</v>
      </c>
      <c r="AA6" s="103">
        <f t="shared" si="5"/>
        <v>5.5900621118012424E-2</v>
      </c>
      <c r="AB6" s="103">
        <f t="shared" si="5"/>
        <v>7.407407407407407E-2</v>
      </c>
      <c r="AC6" s="103">
        <f t="shared" si="5"/>
        <v>7.1146245059288543E-2</v>
      </c>
      <c r="AD6" s="103">
        <f t="shared" si="5"/>
        <v>7.3891625615763554E-2</v>
      </c>
      <c r="AE6" s="103">
        <f t="shared" si="5"/>
        <v>0.12048192771084337</v>
      </c>
      <c r="AF6" s="103">
        <f t="shared" si="5"/>
        <v>4.8192771084337352E-2</v>
      </c>
      <c r="AG6" s="104">
        <f t="shared" si="5"/>
        <v>7.0422535211267609E-2</v>
      </c>
      <c r="AH6" s="82">
        <f t="shared" si="1"/>
        <v>6.4868701712801069E-2</v>
      </c>
    </row>
    <row r="7" spans="1:34" ht="15.75" customHeight="1">
      <c r="A7" s="124">
        <v>5</v>
      </c>
      <c r="B7" s="73">
        <f>(getDistance(coord!C5,coord!D5,coord!$C$1,coord!$D$1)*1000)/$B$18</f>
        <v>8.6140311823197854E-2</v>
      </c>
      <c r="C7" s="73">
        <f>(getDistance(coord!C5,coord!D5,coord!$C$2,coord!$D$2)*1000)/$C$18</f>
        <v>8.139249430853264E-2</v>
      </c>
      <c r="D7" s="73">
        <f>(getDistance(coord!$C5,coord!$D5,coord!$C$3,coord!$D$3)*1000)/$D$18</f>
        <v>7.3005090610452794E-2</v>
      </c>
      <c r="E7" s="73">
        <f>(getDistance(coord!$C5,coord!$D5,coord!$C$4,coord!$D$4)*1000)/$E$18</f>
        <v>8.6906742815300697E-2</v>
      </c>
      <c r="F7" s="72">
        <f>(getDistance(coord!$C5,coord!$D5,coord!$C$5,coord!$D$5)*1000)/$F$18</f>
        <v>0</v>
      </c>
      <c r="G7" s="73">
        <f>(getDistance(coord!$C5,coord!$D5,coord!$C$6,coord!$D$6)*1000)/$G$18</f>
        <v>2.4570798882456439E-2</v>
      </c>
      <c r="H7" s="73">
        <f>(getDistance(coord!$C5,coord!$D5,coord!$C$7,coord!$D$7)*1000)/$H$18</f>
        <v>3.612180184080574E-2</v>
      </c>
      <c r="I7" s="73">
        <f>(getDistance(coord!$C5,coord!$D5,coord!$C$8,coord!$D$8)*1000)/$I$18</f>
        <v>7.7395722034668945E-3</v>
      </c>
      <c r="J7" s="73">
        <f>(getDistance(coord!$C5,coord!$D5,coord!$C$9,coord!$D$9)*1000)/$J$18</f>
        <v>1.5107908989478376E-2</v>
      </c>
      <c r="K7" s="73">
        <f>(getDistance(coord!$C5,coord!$D5,coord!$C$10,coord!$D$10)*1000)/$K$18</f>
        <v>2.0507248856763218E-2</v>
      </c>
      <c r="L7" s="73">
        <f>(getDistance(coord!$C5,coord!$D5,coord!$C$11,coord!$D$11)*1000)/$L$18</f>
        <v>6.4699467266578256E-2</v>
      </c>
      <c r="M7" s="73">
        <f>(getDistance(coord!$C5,coord!$D5,coord!$C$12,coord!$D$12)*1000)/$M$18</f>
        <v>4.5698506282568732E-2</v>
      </c>
      <c r="N7" s="73">
        <f>(getDistance(coord!$C5,coord!$D5,coord!$C$13,coord!$D$13)*1000)/$N$18</f>
        <v>8.9850813793987627E-2</v>
      </c>
      <c r="O7" s="73">
        <f>(getDistance(coord!$C5,coord!$D5,coord!$C$14,coord!$D$14)*1000)/$O$18</f>
        <v>8.8976162423490601E-2</v>
      </c>
      <c r="P7" s="101">
        <f>(getDistance(coord!$C5,coord!$D5,coord!$C$15,coord!$D$15)*1000)/$P$18</f>
        <v>3.9601697052090989E-2</v>
      </c>
      <c r="Q7" s="123" t="s">
        <v>73</v>
      </c>
      <c r="R7" s="124">
        <v>12</v>
      </c>
      <c r="S7" s="103">
        <f t="shared" si="2"/>
        <v>9.45945945945946E-2</v>
      </c>
      <c r="T7" s="103">
        <f t="shared" ref="T7:AG7" si="6">T24/T$18</f>
        <v>7.2463768115942032E-2</v>
      </c>
      <c r="U7" s="103">
        <f t="shared" si="6"/>
        <v>8.6206896551724144E-2</v>
      </c>
      <c r="V7" s="103">
        <f t="shared" si="6"/>
        <v>6.6666666666666666E-2</v>
      </c>
      <c r="W7" s="103">
        <f t="shared" si="6"/>
        <v>7.1999999999999995E-2</v>
      </c>
      <c r="X7" s="103">
        <f t="shared" si="6"/>
        <v>3.6363636363636362E-2</v>
      </c>
      <c r="Y7" s="103">
        <f t="shared" si="6"/>
        <v>6.2893081761006289E-2</v>
      </c>
      <c r="Z7" s="103">
        <f t="shared" si="6"/>
        <v>8.8235294117647065E-2</v>
      </c>
      <c r="AA7" s="103">
        <f t="shared" si="6"/>
        <v>9.3167701863354033E-2</v>
      </c>
      <c r="AB7" s="103">
        <f t="shared" si="6"/>
        <v>5.5555555555555552E-2</v>
      </c>
      <c r="AC7" s="103">
        <f t="shared" si="6"/>
        <v>5.9288537549407112E-2</v>
      </c>
      <c r="AD7" s="103">
        <f t="shared" si="6"/>
        <v>9.3596059113300489E-2</v>
      </c>
      <c r="AE7" s="103">
        <f t="shared" si="6"/>
        <v>8.4337349397590355E-2</v>
      </c>
      <c r="AF7" s="103">
        <f t="shared" si="6"/>
        <v>7.2289156626506021E-2</v>
      </c>
      <c r="AG7" s="104">
        <f t="shared" si="6"/>
        <v>5.6338028169014086E-2</v>
      </c>
      <c r="AH7" s="82">
        <f t="shared" si="1"/>
        <v>7.2933088429729648E-2</v>
      </c>
    </row>
    <row r="8" spans="1:34" ht="15.75" customHeight="1">
      <c r="A8" s="124">
        <v>6</v>
      </c>
      <c r="B8" s="73">
        <f>(getDistance(coord!C6,coord!D6,coord!$C$1,coord!$D$1)*1000)/$B$18</f>
        <v>8.7285025003798394E-2</v>
      </c>
      <c r="C8" s="73">
        <f>(getDistance(coord!C6,coord!D6,coord!$C$2,coord!$D$2)*1000)/$C$18</f>
        <v>8.4624366049989241E-2</v>
      </c>
      <c r="D8" s="73">
        <f>(getDistance(coord!$C6,coord!$D6,coord!$C$3,coord!$D$3)*1000)/$D$18</f>
        <v>7.7304453604575149E-2</v>
      </c>
      <c r="E8" s="73">
        <f>(getDistance(coord!$C6,coord!$D6,coord!$C$4,coord!$D$4)*1000)/$E$18</f>
        <v>7.9453325658303667E-2</v>
      </c>
      <c r="F8" s="73">
        <f>(getDistance(coord!$C6,coord!$D6,coord!$C$5,coord!$D$5)*1000)/$F$18</f>
        <v>2.4941962997010375E-2</v>
      </c>
      <c r="G8" s="72">
        <f>(getDistance(coord!$C6,coord!$D6,coord!$C$6,coord!$D$6)*1000)/$G$18</f>
        <v>0</v>
      </c>
      <c r="H8" s="73">
        <f>(getDistance(coord!$C6,coord!$D6,coord!$C$7,coord!$D$7)*1000)/$H$18</f>
        <v>3.3900020478840311E-2</v>
      </c>
      <c r="I8" s="73">
        <f>(getDistance(coord!$C6,coord!$D6,coord!$C$8,coord!$D$8)*1000)/$I$18</f>
        <v>1.9311928358176342E-2</v>
      </c>
      <c r="J8" s="73">
        <f>(getDistance(coord!$C6,coord!$D6,coord!$C$9,coord!$D$9)*1000)/$J$18</f>
        <v>3.7848334791225485E-2</v>
      </c>
      <c r="K8" s="73">
        <f>(getDistance(coord!$C6,coord!$D6,coord!$C$10,coord!$D$10)*1000)/$K$18</f>
        <v>2.1224732711973001E-2</v>
      </c>
      <c r="L8" s="73">
        <f>(getDistance(coord!$C6,coord!$D6,coord!$C$11,coord!$D$11)*1000)/$L$18</f>
        <v>4.9684183349825349E-2</v>
      </c>
      <c r="M8" s="73">
        <f>(getDistance(coord!$C6,coord!$D6,coord!$C$12,coord!$D$12)*1000)/$M$18</f>
        <v>3.9513178648683756E-2</v>
      </c>
      <c r="N8" s="73">
        <f>(getDistance(coord!$C6,coord!$D6,coord!$C$13,coord!$D$13)*1000)/$N$18</f>
        <v>8.4312772392507576E-2</v>
      </c>
      <c r="O8" s="73">
        <f>(getDistance(coord!$C6,coord!$D6,coord!$C$14,coord!$D$14)*1000)/$O$18</f>
        <v>8.82557572424882E-2</v>
      </c>
      <c r="P8" s="101">
        <f>(getDistance(coord!$C6,coord!$D6,coord!$C$15,coord!$D$15)*1000)/$P$18</f>
        <v>5.7599428111267691E-2</v>
      </c>
      <c r="Q8" s="123" t="s">
        <v>74</v>
      </c>
      <c r="R8" s="124">
        <v>13</v>
      </c>
      <c r="S8" s="103">
        <f t="shared" si="2"/>
        <v>9.45945945945946E-2</v>
      </c>
      <c r="T8" s="103">
        <f t="shared" ref="T8:AG8" si="7">T25/T$18</f>
        <v>6.5217391304347824E-2</v>
      </c>
      <c r="U8" s="103">
        <f t="shared" si="7"/>
        <v>7.7586206896551727E-2</v>
      </c>
      <c r="V8" s="103">
        <f t="shared" si="7"/>
        <v>0.11666666666666667</v>
      </c>
      <c r="W8" s="103">
        <f t="shared" si="7"/>
        <v>7.1999999999999995E-2</v>
      </c>
      <c r="X8" s="103">
        <f t="shared" si="7"/>
        <v>5.4545454545454543E-2</v>
      </c>
      <c r="Y8" s="103">
        <f t="shared" si="7"/>
        <v>6.9182389937106917E-2</v>
      </c>
      <c r="Z8" s="103">
        <f t="shared" si="7"/>
        <v>8.8235294117647065E-2</v>
      </c>
      <c r="AA8" s="103">
        <f t="shared" si="7"/>
        <v>0.11180124223602485</v>
      </c>
      <c r="AB8" s="103">
        <f t="shared" si="7"/>
        <v>6.4814814814814811E-2</v>
      </c>
      <c r="AC8" s="103">
        <f t="shared" si="7"/>
        <v>5.9288537549407112E-2</v>
      </c>
      <c r="AD8" s="103">
        <f t="shared" si="7"/>
        <v>7.8817733990147784E-2</v>
      </c>
      <c r="AE8" s="103">
        <f t="shared" si="7"/>
        <v>8.4337349397590355E-2</v>
      </c>
      <c r="AF8" s="103">
        <f t="shared" si="7"/>
        <v>8.4337349397590355E-2</v>
      </c>
      <c r="AG8" s="104">
        <f t="shared" si="7"/>
        <v>5.6338028169014086E-2</v>
      </c>
      <c r="AH8" s="82">
        <f t="shared" si="1"/>
        <v>7.8517536907797239E-2</v>
      </c>
    </row>
    <row r="9" spans="1:34" ht="15.75" customHeight="1">
      <c r="A9" s="124">
        <v>7</v>
      </c>
      <c r="B9" s="73">
        <f>(getDistance(coord!C7,coord!D7,coord!$C$1,coord!$D$1)*1000)/$B$18</f>
        <v>0.12744797941958427</v>
      </c>
      <c r="C9" s="73">
        <f>(getDistance(coord!C7,coord!D7,coord!$C$2,coord!$D$2)*1000)/$C$18</f>
        <v>0.12563311284950232</v>
      </c>
      <c r="D9" s="73">
        <f>(getDistance(coord!$C7,coord!$D7,coord!$C$3,coord!$D$3)*1000)/$D$18</f>
        <v>0.12115987821068286</v>
      </c>
      <c r="E9" s="73">
        <f>(getDistance(coord!$C7,coord!$D7,coord!$C$4,coord!$D$4)*1000)/$E$18</f>
        <v>0.10574605570347448</v>
      </c>
      <c r="F9" s="73">
        <f>(getDistance(coord!$C7,coord!$D7,coord!$C$5,coord!$D$5)*1000)/$F$18</f>
        <v>5.2461997669375496E-2</v>
      </c>
      <c r="G9" s="73">
        <f>(getDistance(coord!$C7,coord!$D7,coord!$C$6,coord!$D$6)*1000)/$G$18</f>
        <v>4.8502488917617437E-2</v>
      </c>
      <c r="H9" s="72">
        <f>(getDistance(coord!$C7,coord!$D7,coord!$C$7,coord!$D$7)*1000)/$H$18</f>
        <v>0</v>
      </c>
      <c r="I9" s="73">
        <f>(getDistance(coord!$C7,coord!$D7,coord!$C$8,coord!$D$8)*1000)/$I$18</f>
        <v>4.475709073076263E-2</v>
      </c>
      <c r="J9" s="73">
        <f>(getDistance(coord!$C7,coord!$D7,coord!$C$9,coord!$D$9)*1000)/$J$18</f>
        <v>5.4547149836496299E-2</v>
      </c>
      <c r="K9" s="73">
        <f>(getDistance(coord!$C7,coord!$D7,coord!$C$10,coord!$D$10)*1000)/$K$18</f>
        <v>6.8851627447904185E-2</v>
      </c>
      <c r="L9" s="73">
        <f>(getDistance(coord!$C7,coord!$D7,coord!$C$11,coord!$D$11)*1000)/$L$18</f>
        <v>9.2702229079247384E-2</v>
      </c>
      <c r="M9" s="73">
        <f>(getDistance(coord!$C7,coord!$D7,coord!$C$12,coord!$D$12)*1000)/$M$18</f>
        <v>1.7027476462157992E-2</v>
      </c>
      <c r="N9" s="73">
        <f>(getDistance(coord!$C7,coord!$D7,coord!$C$13,coord!$D$13)*1000)/$N$18</f>
        <v>0.11525210417632964</v>
      </c>
      <c r="O9" s="73">
        <f>(getDistance(coord!$C7,coord!$D7,coord!$C$14,coord!$D$14)*1000)/$O$18</f>
        <v>0.12567361710352296</v>
      </c>
      <c r="P9" s="101">
        <f>(getDistance(coord!$C7,coord!$D7,coord!$C$15,coord!$D$15)*1000)/$P$18</f>
        <v>8.125853762141716E-2</v>
      </c>
      <c r="Q9" s="123" t="s">
        <v>75</v>
      </c>
      <c r="R9" s="124">
        <v>14</v>
      </c>
      <c r="S9" s="103">
        <f t="shared" si="2"/>
        <v>5.4054054054054057E-2</v>
      </c>
      <c r="T9" s="103">
        <f t="shared" ref="T9:AG9" si="8">T26/T$18</f>
        <v>5.7971014492753624E-2</v>
      </c>
      <c r="U9" s="103">
        <f t="shared" si="8"/>
        <v>7.7586206896551727E-2</v>
      </c>
      <c r="V9" s="103">
        <f t="shared" si="8"/>
        <v>0.11666666666666667</v>
      </c>
      <c r="W9" s="103">
        <f t="shared" si="8"/>
        <v>6.4000000000000001E-2</v>
      </c>
      <c r="X9" s="103">
        <f t="shared" si="8"/>
        <v>7.2727272727272724E-2</v>
      </c>
      <c r="Y9" s="103">
        <f t="shared" si="8"/>
        <v>8.1761006289308172E-2</v>
      </c>
      <c r="Z9" s="103">
        <f t="shared" si="8"/>
        <v>8.8235294117647065E-2</v>
      </c>
      <c r="AA9" s="103">
        <f t="shared" si="8"/>
        <v>8.6956521739130432E-2</v>
      </c>
      <c r="AB9" s="103">
        <f t="shared" si="8"/>
        <v>6.4814814814814811E-2</v>
      </c>
      <c r="AC9" s="103">
        <f t="shared" si="8"/>
        <v>7.5098814229249009E-2</v>
      </c>
      <c r="AD9" s="103">
        <f t="shared" si="8"/>
        <v>7.8817733990147784E-2</v>
      </c>
      <c r="AE9" s="103">
        <f t="shared" si="8"/>
        <v>8.4337349397590355E-2</v>
      </c>
      <c r="AF9" s="103">
        <f t="shared" si="8"/>
        <v>6.0240963855421686E-2</v>
      </c>
      <c r="AG9" s="104">
        <f t="shared" si="8"/>
        <v>5.6338028169014086E-2</v>
      </c>
      <c r="AH9" s="82">
        <f t="shared" si="1"/>
        <v>7.4640382762641469E-2</v>
      </c>
    </row>
    <row r="10" spans="1:34" ht="15.75" customHeight="1">
      <c r="A10" s="124">
        <v>8</v>
      </c>
      <c r="B10" s="73">
        <f>(getDistance(coord!C8,coord!D8,coord!$C$1,coord!$D$1)*1000)/$B$18</f>
        <v>9.0305255830799541E-2</v>
      </c>
      <c r="C10" s="73">
        <f>(getDistance(coord!C8,coord!D8,coord!$C$2,coord!$D$2)*1000)/$C$18</f>
        <v>8.6180248540368515E-2</v>
      </c>
      <c r="D10" s="73">
        <f>(getDistance(coord!$C8,coord!$D8,coord!$C$3,coord!$D$3)*1000)/$D$18</f>
        <v>7.826637670005078E-2</v>
      </c>
      <c r="E10" s="73">
        <f>(getDistance(coord!$C8,coord!$D8,coord!$C$4,coord!$D$4)*1000)/$E$18</f>
        <v>8.7398397137412806E-2</v>
      </c>
      <c r="F10" s="73">
        <f>(getDistance(coord!$C8,coord!$D8,coord!$C$5,coord!$D$5)*1000)/$F$18</f>
        <v>7.8891869873752157E-3</v>
      </c>
      <c r="G10" s="73">
        <f>(getDistance(coord!$C8,coord!$D8,coord!$C$6,coord!$D$6)*1000)/$G$18</f>
        <v>1.9392311637613405E-2</v>
      </c>
      <c r="H10" s="73">
        <f>(getDistance(coord!$C8,coord!$D8,coord!$C$7,coord!$D$7)*1000)/$H$18</f>
        <v>3.1412443799478405E-2</v>
      </c>
      <c r="I10" s="72">
        <f>(getDistance(coord!$C8,coord!$D8,coord!$C$8,coord!$D$8)*1000)/$I$18</f>
        <v>0</v>
      </c>
      <c r="J10" s="73">
        <f>(getDistance(coord!$C8,coord!$D8,coord!$C$9,coord!$D$9)*1000)/$J$18</f>
        <v>2.0897411024069883E-2</v>
      </c>
      <c r="K10" s="73">
        <f>(getDistance(coord!$C8,coord!$D8,coord!$C$10,coord!$D$10)*1000)/$K$18</f>
        <v>2.2504827840583726E-2</v>
      </c>
      <c r="L10" s="73">
        <f>(getDistance(coord!$C8,coord!$D8,coord!$C$11,coord!$D$11)*1000)/$L$18</f>
        <v>6.4079408130827339E-2</v>
      </c>
      <c r="M10" s="73">
        <f>(getDistance(coord!$C8,coord!$D8,coord!$C$12,coord!$D$12)*1000)/$M$18</f>
        <v>4.1260538366473448E-2</v>
      </c>
      <c r="N10" s="73">
        <f>(getDistance(coord!$C8,coord!$D8,coord!$C$13,coord!$D$13)*1000)/$N$18</f>
        <v>9.1332902942056787E-2</v>
      </c>
      <c r="O10" s="73">
        <f>(getDistance(coord!$C8,coord!$D8,coord!$C$14,coord!$D$14)*1000)/$O$18</f>
        <v>9.2397470616990912E-2</v>
      </c>
      <c r="P10" s="101">
        <f>(getDistance(coord!$C8,coord!$D8,coord!$C$15,coord!$D$15)*1000)/$P$18</f>
        <v>4.6284949830467929E-2</v>
      </c>
      <c r="Q10" s="123" t="s">
        <v>76</v>
      </c>
      <c r="R10" s="124">
        <v>15</v>
      </c>
      <c r="S10" s="103">
        <f t="shared" si="2"/>
        <v>0.10810810810810811</v>
      </c>
      <c r="T10" s="103">
        <f t="shared" ref="T10:AG10" si="9">T27/T$18</f>
        <v>5.7971014492753624E-2</v>
      </c>
      <c r="U10" s="103">
        <f t="shared" si="9"/>
        <v>7.7586206896551727E-2</v>
      </c>
      <c r="V10" s="103">
        <f t="shared" si="9"/>
        <v>0.11666666666666667</v>
      </c>
      <c r="W10" s="103">
        <f t="shared" si="9"/>
        <v>7.1999999999999995E-2</v>
      </c>
      <c r="X10" s="103">
        <f t="shared" si="9"/>
        <v>7.2727272727272724E-2</v>
      </c>
      <c r="Y10" s="103">
        <f t="shared" si="9"/>
        <v>9.4339622641509441E-2</v>
      </c>
      <c r="Z10" s="103">
        <f t="shared" si="9"/>
        <v>5.8823529411764705E-2</v>
      </c>
      <c r="AA10" s="103">
        <f t="shared" si="9"/>
        <v>8.0745341614906832E-2</v>
      </c>
      <c r="AB10" s="103">
        <f t="shared" si="9"/>
        <v>7.407407407407407E-2</v>
      </c>
      <c r="AC10" s="103">
        <f t="shared" si="9"/>
        <v>9.0909090909090912E-2</v>
      </c>
      <c r="AD10" s="103">
        <f t="shared" si="9"/>
        <v>6.8965517241379309E-2</v>
      </c>
      <c r="AE10" s="103">
        <f t="shared" si="9"/>
        <v>6.0240963855421686E-2</v>
      </c>
      <c r="AF10" s="103">
        <f t="shared" si="9"/>
        <v>9.6385542168674704E-2</v>
      </c>
      <c r="AG10" s="104">
        <f t="shared" si="9"/>
        <v>7.0422535211267609E-2</v>
      </c>
      <c r="AH10" s="82">
        <f t="shared" si="1"/>
        <v>7.9997699067962807E-2</v>
      </c>
    </row>
    <row r="11" spans="1:34" ht="15.75" customHeight="1">
      <c r="A11" s="124">
        <v>9</v>
      </c>
      <c r="B11" s="73">
        <f>(getDistance(coord!C9,coord!D9,coord!$C$1,coord!$D$1)*1000)/$B$18</f>
        <v>8.8844980488939906E-2</v>
      </c>
      <c r="C11" s="73">
        <f>(getDistance(coord!C9,coord!D9,coord!$C$2,coord!$D$2)*1000)/$C$18</f>
        <v>8.3172733120971704E-2</v>
      </c>
      <c r="D11" s="73">
        <f>(getDistance(coord!$C9,coord!$D9,coord!$C$3,coord!$D$3)*1000)/$D$18</f>
        <v>7.5091838214592879E-2</v>
      </c>
      <c r="E11" s="73">
        <f>(getDistance(coord!$C9,coord!$D9,coord!$C$4,coord!$D$4)*1000)/$E$18</f>
        <v>9.304545729645182E-2</v>
      </c>
      <c r="F11" s="73">
        <f>(getDistance(coord!$C9,coord!$D9,coord!$C$5,coord!$D$5)*1000)/$F$18</f>
        <v>1.656225464926861E-2</v>
      </c>
      <c r="G11" s="73">
        <f>(getDistance(coord!$C9,coord!$D9,coord!$C$6,coord!$D$6)*1000)/$G$18</f>
        <v>4.0874318150941821E-2</v>
      </c>
      <c r="H11" s="73">
        <f>(getDistance(coord!$C9,coord!$D9,coord!$C$7,coord!$D$7)*1000)/$H$18</f>
        <v>4.1172927054020134E-2</v>
      </c>
      <c r="I11" s="73">
        <f>(getDistance(coord!$C9,coord!$D9,coord!$C$8,coord!$D$8)*1000)/$I$18</f>
        <v>2.2474616461677813E-2</v>
      </c>
      <c r="J11" s="72">
        <f>(getDistance(coord!$C9,coord!$D9,coord!$C$9,coord!$D$9)*1000)/$J$18</f>
        <v>0</v>
      </c>
      <c r="K11" s="73">
        <f>(getDistance(coord!$C9,coord!$D9,coord!$C$10,coord!$D$10)*1000)/$K$18</f>
        <v>3.4914384770615425E-2</v>
      </c>
      <c r="L11" s="73">
        <f>(getDistance(coord!$C9,coord!$D9,coord!$C$11,coord!$D$11)*1000)/$L$18</f>
        <v>7.7257595900459664E-2</v>
      </c>
      <c r="M11" s="73">
        <f>(getDistance(coord!$C9,coord!$D9,coord!$C$12,coord!$D$12)*1000)/$M$18</f>
        <v>5.1346706433590052E-2</v>
      </c>
      <c r="N11" s="73">
        <f>(getDistance(coord!$C9,coord!$D9,coord!$C$13,coord!$D$13)*1000)/$N$18</f>
        <v>9.5257282424245929E-2</v>
      </c>
      <c r="O11" s="73">
        <f>(getDistance(coord!$C9,coord!$D9,coord!$C$14,coord!$D$14)*1000)/$O$18</f>
        <v>9.2307897306968603E-2</v>
      </c>
      <c r="P11" s="101">
        <f>(getDistance(coord!$C9,coord!$D9,coord!$C$15,coord!$D$15)*1000)/$P$18</f>
        <v>3.0603092403673621E-2</v>
      </c>
      <c r="Q11" s="123" t="s">
        <v>77</v>
      </c>
      <c r="R11" s="124">
        <v>16</v>
      </c>
      <c r="S11" s="103">
        <f t="shared" si="2"/>
        <v>8.1081081081081086E-2</v>
      </c>
      <c r="T11" s="103">
        <f t="shared" ref="T11:AG11" si="10">T28/T$18</f>
        <v>9.420289855072464E-2</v>
      </c>
      <c r="U11" s="103">
        <f t="shared" si="10"/>
        <v>6.8965517241379309E-2</v>
      </c>
      <c r="V11" s="103">
        <f t="shared" si="10"/>
        <v>3.3333333333333333E-2</v>
      </c>
      <c r="W11" s="103">
        <f t="shared" si="10"/>
        <v>0.08</v>
      </c>
      <c r="X11" s="103">
        <f t="shared" si="10"/>
        <v>7.2727272727272724E-2</v>
      </c>
      <c r="Y11" s="103">
        <f t="shared" si="10"/>
        <v>7.5471698113207544E-2</v>
      </c>
      <c r="Z11" s="103">
        <f t="shared" si="10"/>
        <v>5.8823529411764705E-2</v>
      </c>
      <c r="AA11" s="103">
        <f t="shared" si="10"/>
        <v>6.2111801242236024E-2</v>
      </c>
      <c r="AB11" s="103">
        <f t="shared" si="10"/>
        <v>7.407407407407407E-2</v>
      </c>
      <c r="AC11" s="103">
        <f t="shared" si="10"/>
        <v>0.10276679841897234</v>
      </c>
      <c r="AD11" s="103">
        <f t="shared" si="10"/>
        <v>6.8965517241379309E-2</v>
      </c>
      <c r="AE11" s="103">
        <f t="shared" si="10"/>
        <v>8.4337349397590355E-2</v>
      </c>
      <c r="AF11" s="103">
        <f t="shared" si="10"/>
        <v>8.4337349397590355E-2</v>
      </c>
      <c r="AG11" s="104">
        <f t="shared" si="10"/>
        <v>7.0422535211267609E-2</v>
      </c>
      <c r="AH11" s="82">
        <f t="shared" si="1"/>
        <v>7.4108050362791555E-2</v>
      </c>
    </row>
    <row r="12" spans="1:34" ht="15.75" customHeight="1">
      <c r="A12" s="124">
        <v>10</v>
      </c>
      <c r="B12" s="73">
        <f>(getDistance(coord!C10,coord!D10,coord!$C$1,coord!$D$1)*1000)/$B$18</f>
        <v>7.3524289435178872E-2</v>
      </c>
      <c r="C12" s="73">
        <f>(getDistance(coord!C10,coord!D10,coord!$C$2,coord!$D$2)*1000)/$C$18</f>
        <v>6.9272094599152942E-2</v>
      </c>
      <c r="D12" s="73">
        <f>(getDistance(coord!$C10,coord!$D10,coord!$C$3,coord!$D$3)*1000)/$D$18</f>
        <v>6.0214991244566876E-2</v>
      </c>
      <c r="E12" s="73">
        <f>(getDistance(coord!$C10,coord!$D10,coord!$C$4,coord!$D$4)*1000)/$E$18</f>
        <v>7.6170617665823573E-2</v>
      </c>
      <c r="F12" s="73">
        <f>(getDistance(coord!$C10,coord!$D10,coord!$C$5,coord!$D$5)*1000)/$F$18</f>
        <v>1.9123562363221994E-2</v>
      </c>
      <c r="G12" s="73">
        <f>(getDistance(coord!$C10,coord!$D10,coord!$C$6,coord!$D$6)*1000)/$G$18</f>
        <v>1.9498098998980046E-2</v>
      </c>
      <c r="H12" s="73">
        <f>(getDistance(coord!$C10,coord!$D10,coord!$C$7,coord!$D$7)*1000)/$H$18</f>
        <v>4.4207930717761038E-2</v>
      </c>
      <c r="I12" s="73">
        <f>(getDistance(coord!$C10,coord!$D10,coord!$C$8,coord!$D$8)*1000)/$I$18</f>
        <v>2.0588362024686353E-2</v>
      </c>
      <c r="J12" s="73">
        <f>(getDistance(coord!$C10,coord!$D10,coord!$C$9,coord!$D$9)*1000)/$J$18</f>
        <v>2.9699606189922838E-2</v>
      </c>
      <c r="K12" s="72">
        <f>(getDistance(coord!$C10,coord!$D10,coord!$C$10,coord!$D$10)*1000)/$K$18</f>
        <v>0</v>
      </c>
      <c r="L12" s="73">
        <f>(getDistance(coord!$C10,coord!$D10,coord!$C$11,coord!$D$11)*1000)/$L$18</f>
        <v>4.753820893696948E-2</v>
      </c>
      <c r="M12" s="73">
        <f>(getDistance(coord!$C10,coord!$D10,coord!$C$12,coord!$D$12)*1000)/$M$18</f>
        <v>5.0238023159868965E-2</v>
      </c>
      <c r="N12" s="73">
        <f>(getDistance(coord!$C10,coord!$D10,coord!$C$13,coord!$D$13)*1000)/$N$18</f>
        <v>7.8110228117574121E-2</v>
      </c>
      <c r="O12" s="73">
        <f>(getDistance(coord!$C10,coord!$D10,coord!$C$14,coord!$D$14)*1000)/$O$18</f>
        <v>7.6629116357964044E-2</v>
      </c>
      <c r="P12" s="101">
        <f>(getDistance(coord!$C10,coord!$D10,coord!$C$15,coord!$D$15)*1000)/$P$18</f>
        <v>4.2720217045397739E-2</v>
      </c>
      <c r="Q12" s="123" t="s">
        <v>78</v>
      </c>
      <c r="R12" s="124">
        <v>17</v>
      </c>
      <c r="S12" s="103">
        <f t="shared" si="2"/>
        <v>8.1081081081081086E-2</v>
      </c>
      <c r="T12" s="103">
        <f t="shared" ref="T12:AG12" si="11">T29/T$18</f>
        <v>6.5217391304347824E-2</v>
      </c>
      <c r="U12" s="103">
        <f t="shared" si="11"/>
        <v>6.8965517241379309E-2</v>
      </c>
      <c r="V12" s="103">
        <f t="shared" si="11"/>
        <v>0.05</v>
      </c>
      <c r="W12" s="103">
        <f t="shared" si="11"/>
        <v>7.1999999999999995E-2</v>
      </c>
      <c r="X12" s="103">
        <f t="shared" si="11"/>
        <v>0.12727272727272726</v>
      </c>
      <c r="Y12" s="103">
        <f t="shared" si="11"/>
        <v>3.7735849056603772E-2</v>
      </c>
      <c r="Z12" s="103">
        <f t="shared" si="11"/>
        <v>5.8823529411764705E-2</v>
      </c>
      <c r="AA12" s="103">
        <f t="shared" si="11"/>
        <v>6.2111801242236024E-2</v>
      </c>
      <c r="AB12" s="103">
        <f t="shared" si="11"/>
        <v>7.407407407407407E-2</v>
      </c>
      <c r="AC12" s="103">
        <f t="shared" si="11"/>
        <v>8.6956521739130432E-2</v>
      </c>
      <c r="AD12" s="103">
        <f t="shared" si="11"/>
        <v>5.9113300492610835E-2</v>
      </c>
      <c r="AE12" s="103">
        <f t="shared" si="11"/>
        <v>7.2289156626506021E-2</v>
      </c>
      <c r="AF12" s="103">
        <f t="shared" si="11"/>
        <v>0.12048192771084337</v>
      </c>
      <c r="AG12" s="104">
        <f t="shared" si="11"/>
        <v>7.0422535211267609E-2</v>
      </c>
      <c r="AH12" s="82">
        <f t="shared" si="1"/>
        <v>7.376969416430483E-2</v>
      </c>
    </row>
    <row r="13" spans="1:34" ht="15.75" customHeight="1">
      <c r="A13" s="124">
        <v>11</v>
      </c>
      <c r="B13" s="73">
        <f>(getDistance(coord!C11,coord!D11,coord!$C$1,coord!$D$1)*1000)/$B$18</f>
        <v>6.127426480099326E-2</v>
      </c>
      <c r="C13" s="73">
        <f>(getDistance(coord!C11,coord!D11,coord!$C$2,coord!$D$2)*1000)/$C$18</f>
        <v>6.3144993430051921E-2</v>
      </c>
      <c r="D13" s="73">
        <f>(getDistance(coord!$C11,coord!$D11,coord!$C$3,coord!$D$3)*1000)/$D$18</f>
        <v>6.0011404079360689E-2</v>
      </c>
      <c r="E13" s="73">
        <f>(getDistance(coord!$C11,coord!$D11,coord!$C$4,coord!$D$4)*1000)/$E$18</f>
        <v>4.9147122391873257E-2</v>
      </c>
      <c r="F13" s="73">
        <f>(getDistance(coord!$C11,coord!$D11,coord!$C$5,coord!$D$5)*1000)/$F$18</f>
        <v>7.0452117914412193E-2</v>
      </c>
      <c r="G13" s="73">
        <f>(getDistance(coord!$C11,coord!$D11,coord!$C$6,coord!$D$6)*1000)/$G$18</f>
        <v>5.3296679322693087E-2</v>
      </c>
      <c r="H13" s="73">
        <f>(getDistance(coord!$C11,coord!$D11,coord!$C$7,coord!$D$7)*1000)/$H$18</f>
        <v>6.9503729292049857E-2</v>
      </c>
      <c r="I13" s="73">
        <f>(getDistance(coord!$C11,coord!$D11,coord!$C$8,coord!$D$8)*1000)/$I$18</f>
        <v>6.8453640037458213E-2</v>
      </c>
      <c r="J13" s="73">
        <f>(getDistance(coord!$C11,coord!$D11,coord!$C$9,coord!$D$9)*1000)/$J$18</f>
        <v>7.6739583973957054E-2</v>
      </c>
      <c r="K13" s="73">
        <f>(getDistance(coord!$C11,coord!$D11,coord!$C$10,coord!$D$10)*1000)/$K$18</f>
        <v>5.5510452669894815E-2</v>
      </c>
      <c r="L13" s="72">
        <f>(getDistance(coord!$C11,coord!$D11,coord!$C$11,coord!$D$11)*1000)/$L$18</f>
        <v>0</v>
      </c>
      <c r="M13" s="73">
        <f>(getDistance(coord!$C11,coord!$D11,coord!$C$12,coord!$D$12)*1000)/$M$18</f>
        <v>6.5264966140275119E-2</v>
      </c>
      <c r="N13" s="73">
        <f>(getDistance(coord!$C11,coord!$D11,coord!$C$13,coord!$D$13)*1000)/$N$18</f>
        <v>5.2232493602072869E-2</v>
      </c>
      <c r="O13" s="73">
        <f>(getDistance(coord!$C11,coord!$D11,coord!$C$14,coord!$D$14)*1000)/$O$18</f>
        <v>5.9603010416953664E-2</v>
      </c>
      <c r="P13" s="101">
        <f>(getDistance(coord!$C11,coord!$D11,coord!$C$15,coord!$D$15)*1000)/$P$18</f>
        <v>7.7287226039549434E-2</v>
      </c>
      <c r="Q13" s="123" t="s">
        <v>79</v>
      </c>
      <c r="R13" s="124">
        <v>18</v>
      </c>
      <c r="S13" s="103">
        <f t="shared" si="2"/>
        <v>4.0540540540540543E-2</v>
      </c>
      <c r="T13" s="103">
        <f t="shared" ref="T13:AG13" si="12">T30/T$18</f>
        <v>7.2463768115942032E-2</v>
      </c>
      <c r="U13" s="103">
        <f t="shared" si="12"/>
        <v>7.7586206896551727E-2</v>
      </c>
      <c r="V13" s="103">
        <f t="shared" si="12"/>
        <v>6.6666666666666666E-2</v>
      </c>
      <c r="W13" s="103">
        <f t="shared" si="12"/>
        <v>5.6000000000000001E-2</v>
      </c>
      <c r="X13" s="103">
        <f t="shared" si="12"/>
        <v>0.12727272727272726</v>
      </c>
      <c r="Y13" s="103">
        <f t="shared" si="12"/>
        <v>5.0314465408805034E-2</v>
      </c>
      <c r="Z13" s="103">
        <f t="shared" si="12"/>
        <v>8.8235294117647065E-2</v>
      </c>
      <c r="AA13" s="103">
        <f t="shared" si="12"/>
        <v>9.3167701863354033E-2</v>
      </c>
      <c r="AB13" s="103">
        <f t="shared" si="12"/>
        <v>5.5555555555555552E-2</v>
      </c>
      <c r="AC13" s="103">
        <f t="shared" si="12"/>
        <v>6.7193675889328064E-2</v>
      </c>
      <c r="AD13" s="103">
        <f t="shared" si="12"/>
        <v>5.9113300492610835E-2</v>
      </c>
      <c r="AE13" s="103">
        <f t="shared" si="12"/>
        <v>4.8192771084337352E-2</v>
      </c>
      <c r="AF13" s="103">
        <f t="shared" si="12"/>
        <v>7.2289156626506021E-2</v>
      </c>
      <c r="AG13" s="104">
        <f t="shared" si="12"/>
        <v>5.6338028169014086E-2</v>
      </c>
      <c r="AH13" s="82">
        <f t="shared" si="1"/>
        <v>6.8728657246639083E-2</v>
      </c>
    </row>
    <row r="14" spans="1:34" ht="15.75" customHeight="1">
      <c r="A14" s="124">
        <v>12</v>
      </c>
      <c r="B14" s="73">
        <f>(getDistance(coord!C12,coord!D12,coord!$C$1,coord!$D$1)*1000)/$B$18</f>
        <v>0.14383717721341799</v>
      </c>
      <c r="C14" s="73">
        <f>(getDistance(coord!C12,coord!D12,coord!$C$2,coord!$D$2)*1000)/$C$18</f>
        <v>0.14392493216892677</v>
      </c>
      <c r="D14" s="73">
        <f>(getDistance(coord!$C12,coord!$D12,coord!$C$3,coord!$D$3)*1000)/$D$18</f>
        <v>0.14148827783637166</v>
      </c>
      <c r="E14" s="73">
        <f>(getDistance(coord!$C12,coord!$D12,coord!$C$4,coord!$D$4)*1000)/$E$18</f>
        <v>0.11003873692811286</v>
      </c>
      <c r="F14" s="73">
        <f>(getDistance(coord!$C12,coord!$D12,coord!$C$5,coord!$D$5)*1000)/$F$18</f>
        <v>7.8051967348498674E-2</v>
      </c>
      <c r="G14" s="73">
        <f>(getDistance(coord!$C12,coord!$D12,coord!$C$6,coord!$D$6)*1000)/$G$18</f>
        <v>6.6483284048690902E-2</v>
      </c>
      <c r="H14" s="73">
        <f>(getDistance(coord!$C12,coord!$D12,coord!$C$7,coord!$D$7)*1000)/$H$18</f>
        <v>2.0024271268220917E-2</v>
      </c>
      <c r="I14" s="73">
        <f>(getDistance(coord!$C12,coord!$D12,coord!$C$8,coord!$D$8)*1000)/$I$18</f>
        <v>6.9135553826330728E-2</v>
      </c>
      <c r="J14" s="73">
        <f>(getDistance(coord!$C12,coord!$D12,coord!$C$9,coord!$D$9)*1000)/$J$18</f>
        <v>7.9998039362600984E-2</v>
      </c>
      <c r="K14" s="73">
        <f>(getDistance(coord!$C12,coord!$D12,coord!$C$10,coord!$D$10)*1000)/$K$18</f>
        <v>9.2013806307226581E-2</v>
      </c>
      <c r="L14" s="73">
        <f>(getDistance(coord!$C12,coord!$D12,coord!$C$11,coord!$D$11)*1000)/$L$18</f>
        <v>0.10236903700413104</v>
      </c>
      <c r="M14" s="72">
        <f>(getDistance(coord!$C12,coord!$D12,coord!$C$12,coord!$D$12)*1000)/$M$18</f>
        <v>0</v>
      </c>
      <c r="N14" s="73">
        <f>(getDistance(coord!$C12,coord!$D12,coord!$C$13,coord!$D$13)*1000)/$N$18</f>
        <v>0.12287207249563113</v>
      </c>
      <c r="O14" s="73">
        <f>(getDistance(coord!$C12,coord!$D12,coord!$C$14,coord!$D$14)*1000)/$O$18</f>
        <v>0.13952699386374479</v>
      </c>
      <c r="P14" s="101">
        <f>(getDistance(coord!$C12,coord!$D12,coord!$C$15,coord!$D$15)*1000)/$P$18</f>
        <v>0.10462455522978409</v>
      </c>
      <c r="Q14" s="123" t="s">
        <v>80</v>
      </c>
      <c r="R14" s="124">
        <v>19</v>
      </c>
      <c r="S14" s="103">
        <f t="shared" si="2"/>
        <v>4.0540540540540543E-2</v>
      </c>
      <c r="T14" s="103">
        <f t="shared" ref="T14:AG14" si="13">T31/T$18</f>
        <v>7.9710144927536225E-2</v>
      </c>
      <c r="U14" s="103">
        <f t="shared" si="13"/>
        <v>6.8965517241379309E-2</v>
      </c>
      <c r="V14" s="103">
        <f t="shared" si="13"/>
        <v>3.3333333333333333E-2</v>
      </c>
      <c r="W14" s="103">
        <f t="shared" si="13"/>
        <v>6.4000000000000001E-2</v>
      </c>
      <c r="X14" s="103">
        <f t="shared" si="13"/>
        <v>9.0909090909090912E-2</v>
      </c>
      <c r="Y14" s="103">
        <f t="shared" si="13"/>
        <v>6.9182389937106917E-2</v>
      </c>
      <c r="Z14" s="103">
        <f t="shared" si="13"/>
        <v>2.9411764705882353E-2</v>
      </c>
      <c r="AA14" s="103">
        <f t="shared" si="13"/>
        <v>7.4534161490683232E-2</v>
      </c>
      <c r="AB14" s="103">
        <f t="shared" si="13"/>
        <v>8.3333333333333329E-2</v>
      </c>
      <c r="AC14" s="103">
        <f t="shared" si="13"/>
        <v>8.3003952569169967E-2</v>
      </c>
      <c r="AD14" s="103">
        <f t="shared" si="13"/>
        <v>5.9113300492610835E-2</v>
      </c>
      <c r="AE14" s="103">
        <f t="shared" si="13"/>
        <v>8.4337349397590355E-2</v>
      </c>
      <c r="AF14" s="103">
        <f t="shared" si="13"/>
        <v>8.4337349397590355E-2</v>
      </c>
      <c r="AG14" s="104">
        <f t="shared" si="13"/>
        <v>7.0422535211267609E-2</v>
      </c>
      <c r="AH14" s="82">
        <f t="shared" si="1"/>
        <v>6.7675650899141016E-2</v>
      </c>
    </row>
    <row r="15" spans="1:34" ht="15.75" customHeight="1">
      <c r="A15" s="124">
        <v>13</v>
      </c>
      <c r="B15" s="73">
        <f>(getDistance(coord!C13,coord!D13,coord!$C$1,coord!$D$1)*1000)/$B$18</f>
        <v>5.017983184475526E-2</v>
      </c>
      <c r="C15" s="73">
        <f>(getDistance(coord!C13,coord!D13,coord!$C$2,coord!$D$2)*1000)/$C$18</f>
        <v>6.2862305474947436E-2</v>
      </c>
      <c r="D15" s="73">
        <f>(getDistance(coord!$C13,coord!$D13,coord!$C$3,coord!$D$3)*1000)/$D$18</f>
        <v>7.706112638427047E-2</v>
      </c>
      <c r="E15" s="73">
        <f>(getDistance(coord!$C13,coord!$D13,coord!$C$4,coord!$D$4)*1000)/$E$18</f>
        <v>1.7263037160236069E-2</v>
      </c>
      <c r="F15" s="73">
        <f>(getDistance(coord!$C13,coord!$D13,coord!$C$5,coord!$D$5)*1000)/$F$18</f>
        <v>0.14178680218828463</v>
      </c>
      <c r="G15" s="73">
        <f>(getDistance(coord!$C13,coord!$D13,coord!$C$6,coord!$D$6)*1000)/$G$18</f>
        <v>0.1310677395336825</v>
      </c>
      <c r="H15" s="73">
        <f>(getDistance(coord!$C13,coord!$D13,coord!$C$7,coord!$D$7)*1000)/$H$18</f>
        <v>0.12522390359060237</v>
      </c>
      <c r="I15" s="73">
        <f>(getDistance(coord!$C13,coord!$D13,coord!$C$8,coord!$D$8)*1000)/$I$18</f>
        <v>0.14139230054352664</v>
      </c>
      <c r="J15" s="73">
        <f>(getDistance(coord!$C13,coord!$D13,coord!$C$9,coord!$D$9)*1000)/$J$18</f>
        <v>0.13711876165609851</v>
      </c>
      <c r="K15" s="73">
        <f>(getDistance(coord!$C13,coord!$D13,coord!$C$10,coord!$D$10)*1000)/$K$18</f>
        <v>0.13217834326849706</v>
      </c>
      <c r="L15" s="73">
        <f>(getDistance(coord!$C13,coord!$D13,coord!$C$11,coord!$D$11)*1000)/$L$18</f>
        <v>7.5693956088462189E-2</v>
      </c>
      <c r="M15" s="73">
        <f>(getDistance(coord!$C13,coord!$D13,coord!$C$12,coord!$D$12)*1000)/$M$18</f>
        <v>0.11352333133333851</v>
      </c>
      <c r="N15" s="72">
        <f>(getDistance(coord!$C13,coord!$D13,coord!$C$13,coord!$D$13)*1000)/$N$18</f>
        <v>0</v>
      </c>
      <c r="O15" s="73">
        <f>(getDistance(coord!$C13,coord!$D13,coord!$C$14,coord!$D$14)*1000)/$O$18</f>
        <v>3.5377274278648514E-2</v>
      </c>
      <c r="P15" s="101">
        <f>(getDistance(coord!$C13,coord!$D13,coord!$C$15,coord!$D$15)*1000)/$P$18</f>
        <v>0.11734303371133657</v>
      </c>
      <c r="Q15" s="123" t="s">
        <v>81</v>
      </c>
      <c r="R15" s="124">
        <v>20</v>
      </c>
      <c r="S15" s="103">
        <f t="shared" si="2"/>
        <v>5.4054054054054057E-2</v>
      </c>
      <c r="T15" s="103">
        <f t="shared" ref="T15:AG15" si="14">T32/T$18</f>
        <v>3.6231884057971016E-2</v>
      </c>
      <c r="U15" s="103">
        <f t="shared" si="14"/>
        <v>6.8965517241379309E-2</v>
      </c>
      <c r="V15" s="103">
        <f t="shared" si="14"/>
        <v>0.05</v>
      </c>
      <c r="W15" s="103">
        <f t="shared" si="14"/>
        <v>0.08</v>
      </c>
      <c r="X15" s="103">
        <f t="shared" si="14"/>
        <v>9.0909090909090912E-2</v>
      </c>
      <c r="Y15" s="103">
        <f t="shared" si="14"/>
        <v>6.2893081761006289E-2</v>
      </c>
      <c r="Z15" s="103">
        <f t="shared" si="14"/>
        <v>8.8235294117647065E-2</v>
      </c>
      <c r="AA15" s="103">
        <f t="shared" si="14"/>
        <v>6.8322981366459631E-2</v>
      </c>
      <c r="AB15" s="103">
        <f t="shared" si="14"/>
        <v>8.3333333333333329E-2</v>
      </c>
      <c r="AC15" s="103">
        <f t="shared" si="14"/>
        <v>6.7193675889328064E-2</v>
      </c>
      <c r="AD15" s="103">
        <f t="shared" si="14"/>
        <v>5.9113300492610835E-2</v>
      </c>
      <c r="AE15" s="103">
        <f t="shared" si="14"/>
        <v>7.2289156626506021E-2</v>
      </c>
      <c r="AF15" s="103">
        <f t="shared" si="14"/>
        <v>8.4337349397590355E-2</v>
      </c>
      <c r="AG15" s="104">
        <f t="shared" si="14"/>
        <v>0.11267605633802817</v>
      </c>
      <c r="AH15" s="82">
        <f t="shared" si="1"/>
        <v>7.1903651705667024E-2</v>
      </c>
    </row>
    <row r="16" spans="1:34" ht="15.75" customHeight="1">
      <c r="A16" s="124">
        <v>14</v>
      </c>
      <c r="B16" s="73">
        <f>(getDistance(coord!C14,coord!D14,coord!$C$1,coord!$D$1)*1000)/$B$18</f>
        <v>1.3168409585852855E-2</v>
      </c>
      <c r="C16" s="73">
        <f>(getDistance(coord!C14,coord!D14,coord!$C$2,coord!$D$2)*1000)/$C$18</f>
        <v>2.4940157786046097E-2</v>
      </c>
      <c r="D16" s="73">
        <f>(getDistance(coord!$C14,coord!$D14,coord!$C$3,coord!$D$3)*1000)/$D$18</f>
        <v>4.0019253184327808E-2</v>
      </c>
      <c r="E16" s="73">
        <f>(getDistance(coord!$C14,coord!$D14,coord!$C$4,coord!$D$4)*1000)/$E$18</f>
        <v>4.2216171089429995E-2</v>
      </c>
      <c r="F16" s="73">
        <f>(getDistance(coord!$C14,coord!$D14,coord!$C$5,coord!$D$5)*1000)/$F$18</f>
        <v>0.11558224742838909</v>
      </c>
      <c r="G16" s="73">
        <f>(getDistance(coord!$C14,coord!$D14,coord!$C$6,coord!$D$6)*1000)/$G$18</f>
        <v>0.11294035706048326</v>
      </c>
      <c r="H16" s="73">
        <f>(getDistance(coord!$C14,coord!$D14,coord!$C$7,coord!$D$7)*1000)/$H$18</f>
        <v>0.11240513752328073</v>
      </c>
      <c r="I16" s="73">
        <f>(getDistance(coord!$C14,coord!$D14,coord!$C$8,coord!$D$8)*1000)/$I$18</f>
        <v>0.11775036264116372</v>
      </c>
      <c r="J16" s="73">
        <f>(getDistance(coord!$C14,coord!$D14,coord!$C$9,coord!$D$9)*1000)/$J$18</f>
        <v>0.109380832561723</v>
      </c>
      <c r="K16" s="73">
        <f>(getDistance(coord!$C14,coord!$D14,coord!$C$10,coord!$D$10)*1000)/$K$18</f>
        <v>0.1067455764963683</v>
      </c>
      <c r="L16" s="73">
        <f>(getDistance(coord!$C14,coord!$D14,coord!$C$11,coord!$D$11)*1000)/$L$18</f>
        <v>7.1103718124148424E-2</v>
      </c>
      <c r="M16" s="73">
        <f>(getDistance(coord!$C14,coord!$D14,coord!$C$12,coord!$D$12)*1000)/$M$18</f>
        <v>0.10611917188735627</v>
      </c>
      <c r="N16" s="73">
        <f>(getDistance(coord!$C14,coord!$D14,coord!$C$13,coord!$D$13)*1000)/$N$18</f>
        <v>2.9122458845096851E-2</v>
      </c>
      <c r="O16" s="72">
        <f>(getDistance(coord!$C14,coord!$D14,coord!$C$14,coord!$D$14)*1000)/$O$18</f>
        <v>0</v>
      </c>
      <c r="P16" s="101">
        <f>(getDistance(coord!$C14,coord!$D14,coord!$C$15,coord!$D$15)*1000)/$P$18</f>
        <v>8.4959934607816812E-2</v>
      </c>
      <c r="Q16" s="123" t="s">
        <v>82</v>
      </c>
      <c r="R16" s="124">
        <v>21</v>
      </c>
      <c r="S16" s="103">
        <f t="shared" si="2"/>
        <v>6.7567567567567571E-2</v>
      </c>
      <c r="T16" s="103">
        <f t="shared" ref="T16:AG16" si="15">T33/T$18</f>
        <v>6.5217391304347824E-2</v>
      </c>
      <c r="U16" s="103">
        <f t="shared" si="15"/>
        <v>9.4827586206896547E-2</v>
      </c>
      <c r="V16" s="103">
        <f t="shared" si="15"/>
        <v>8.3333333333333329E-2</v>
      </c>
      <c r="W16" s="103">
        <f t="shared" si="15"/>
        <v>6.4000000000000001E-2</v>
      </c>
      <c r="X16" s="103">
        <f t="shared" si="15"/>
        <v>7.2727272727272724E-2</v>
      </c>
      <c r="Y16" s="103">
        <f t="shared" si="15"/>
        <v>8.1761006289308172E-2</v>
      </c>
      <c r="Z16" s="103">
        <f t="shared" si="15"/>
        <v>5.8823529411764705E-2</v>
      </c>
      <c r="AA16" s="103">
        <f t="shared" si="15"/>
        <v>8.0745341614906832E-2</v>
      </c>
      <c r="AB16" s="103">
        <f t="shared" si="15"/>
        <v>5.5555555555555552E-2</v>
      </c>
      <c r="AC16" s="103">
        <f t="shared" si="15"/>
        <v>9.0909090909090912E-2</v>
      </c>
      <c r="AD16" s="103">
        <f t="shared" si="15"/>
        <v>5.9113300492610835E-2</v>
      </c>
      <c r="AE16" s="103">
        <f t="shared" si="15"/>
        <v>8.4337349397590355E-2</v>
      </c>
      <c r="AF16" s="103">
        <f t="shared" si="15"/>
        <v>6.0240963855421686E-2</v>
      </c>
      <c r="AG16" s="104">
        <f t="shared" si="15"/>
        <v>8.4507042253521125E-2</v>
      </c>
      <c r="AH16" s="82">
        <f t="shared" si="1"/>
        <v>7.3577755394612573E-2</v>
      </c>
    </row>
    <row r="17" spans="1:34" ht="15.75" customHeight="1">
      <c r="A17" s="124">
        <v>15</v>
      </c>
      <c r="B17" s="73">
        <f>(getDistance(coord!C15,coord!D15,coord!$C$1,coord!$D$1)*1000)/$B$18</f>
        <v>7.1209747443455748E-2</v>
      </c>
      <c r="C17" s="73">
        <f>(getDistance(coord!C15,coord!D15,coord!$C$2,coord!$D$2)*1000)/$C$18</f>
        <v>6.3471215654142113E-2</v>
      </c>
      <c r="D17" s="73">
        <f>(getDistance(coord!$C15,coord!$D15,coord!$C$3,coord!$D$3)*1000)/$D$18</f>
        <v>5.5745091284026972E-2</v>
      </c>
      <c r="E17" s="73">
        <f>(getDistance(coord!$C15,coord!$D15,coord!$C$4,coord!$D$4)*1000)/$E$18</f>
        <v>8.9544349164598025E-2</v>
      </c>
      <c r="F17" s="73">
        <f>(getDistance(coord!$C15,coord!$D15,coord!$C$5,coord!$D$5)*1000)/$F$18</f>
        <v>4.6720593461987633E-2</v>
      </c>
      <c r="G17" s="73">
        <f>(getDistance(coord!$C15,coord!$D15,coord!$C$6,coord!$D$6)*1000)/$G$18</f>
        <v>6.6942414344036902E-2</v>
      </c>
      <c r="H17" s="73">
        <f>(getDistance(coord!$C15,coord!$D15,coord!$C$7,coord!$D$7)*1000)/$H$18</f>
        <v>6.6006717784590621E-2</v>
      </c>
      <c r="I17" s="73">
        <f>(getDistance(coord!$C15,coord!$D15,coord!$C$8,coord!$D$8)*1000)/$I$18</f>
        <v>5.3569680646186453E-2</v>
      </c>
      <c r="J17" s="73">
        <f>(getDistance(coord!$C15,coord!$D15,coord!$C$9,coord!$D$9)*1000)/$J$18</f>
        <v>3.2934021855036376E-2</v>
      </c>
      <c r="K17" s="73">
        <f>(getDistance(coord!$C15,coord!$D15,coord!$C$10,coord!$D$10)*1000)/$K$18</f>
        <v>5.4046379854951018E-2</v>
      </c>
      <c r="L17" s="73">
        <f>(getDistance(coord!$C15,coord!$D15,coord!$C$11,coord!$D$11)*1000)/$L$18</f>
        <v>8.3735366407521647E-2</v>
      </c>
      <c r="M17" s="73">
        <f>(getDistance(coord!$C15,coord!$D15,coord!$C$12,coord!$D$12)*1000)/$M$18</f>
        <v>7.2268048762982942E-2</v>
      </c>
      <c r="N17" s="73">
        <f>(getDistance(coord!$C15,coord!$D15,coord!$C$13,coord!$D$13)*1000)/$N$18</f>
        <v>8.7727968540502299E-2</v>
      </c>
      <c r="O17" s="73">
        <f>(getDistance(coord!$C15,coord!$D15,coord!$C$14,coord!$D$14)*1000)/$O$18</f>
        <v>7.7159829397700191E-2</v>
      </c>
      <c r="P17" s="102">
        <f>(getDistance(coord!$C15,coord!$D15,coord!$C$15,coord!$D$15)*1000)/$P$18</f>
        <v>0</v>
      </c>
      <c r="Q17" s="123" t="s">
        <v>83</v>
      </c>
      <c r="R17" s="124">
        <v>22</v>
      </c>
      <c r="S17" s="103">
        <f t="shared" si="2"/>
        <v>5.4054054054054057E-2</v>
      </c>
      <c r="T17" s="103">
        <f t="shared" ref="T17:AG17" si="16">T34/T$18</f>
        <v>7.2463768115942032E-2</v>
      </c>
      <c r="U17" s="103">
        <f t="shared" si="16"/>
        <v>5.1724137931034482E-2</v>
      </c>
      <c r="V17" s="103">
        <f t="shared" si="16"/>
        <v>8.3333333333333329E-2</v>
      </c>
      <c r="W17" s="103">
        <f t="shared" si="16"/>
        <v>7.1999999999999995E-2</v>
      </c>
      <c r="X17" s="103">
        <f t="shared" si="16"/>
        <v>7.2727272727272724E-2</v>
      </c>
      <c r="Y17" s="103">
        <f t="shared" si="16"/>
        <v>8.8050314465408799E-2</v>
      </c>
      <c r="Z17" s="103">
        <f t="shared" si="16"/>
        <v>5.8823529411764705E-2</v>
      </c>
      <c r="AA17" s="103">
        <f t="shared" si="16"/>
        <v>9.3167701863354033E-2</v>
      </c>
      <c r="AB17" s="103">
        <f t="shared" si="16"/>
        <v>8.3333333333333329E-2</v>
      </c>
      <c r="AC17" s="103">
        <f t="shared" si="16"/>
        <v>8.3003952569169967E-2</v>
      </c>
      <c r="AD17" s="103">
        <f t="shared" si="16"/>
        <v>6.4039408866995079E-2</v>
      </c>
      <c r="AE17" s="103">
        <f t="shared" si="16"/>
        <v>4.8192771084337352E-2</v>
      </c>
      <c r="AF17" s="103">
        <f t="shared" si="16"/>
        <v>8.4337349397590355E-2</v>
      </c>
      <c r="AG17" s="104">
        <f t="shared" si="16"/>
        <v>7.0422535211267609E-2</v>
      </c>
      <c r="AH17" s="82">
        <f t="shared" si="1"/>
        <v>7.1978230824323849E-2</v>
      </c>
    </row>
    <row r="18" spans="1:34" ht="15" thickBot="1">
      <c r="A18" s="49"/>
      <c r="B18" s="126">
        <v>3313.0374730736421</v>
      </c>
      <c r="C18" s="126">
        <v>3169.1147781655891</v>
      </c>
      <c r="D18" s="126">
        <v>2925.0791865189221</v>
      </c>
      <c r="E18" s="126">
        <v>4954.5665299303491</v>
      </c>
      <c r="F18" s="126">
        <v>2784.669575139887</v>
      </c>
      <c r="G18" s="126">
        <v>2826.7345247626708</v>
      </c>
      <c r="H18" s="126">
        <v>4044.3533078667401</v>
      </c>
      <c r="I18" s="126">
        <v>2838.5004233816035</v>
      </c>
      <c r="J18" s="126">
        <v>3052.7326216789588</v>
      </c>
      <c r="K18" s="126">
        <v>2596.7794438497749</v>
      </c>
      <c r="L18" s="126">
        <v>3032.2640594874724</v>
      </c>
      <c r="M18" s="126">
        <v>4756.1497395831047</v>
      </c>
      <c r="N18" s="126">
        <v>4394.277330813823</v>
      </c>
      <c r="O18" s="126">
        <v>3617.355020417825</v>
      </c>
      <c r="P18" s="127">
        <v>3285.2484825320653</v>
      </c>
      <c r="R18" s="41"/>
      <c r="S18" s="128">
        <v>370</v>
      </c>
      <c r="T18" s="128">
        <v>690</v>
      </c>
      <c r="U18" s="128">
        <v>580</v>
      </c>
      <c r="V18" s="128">
        <v>300</v>
      </c>
      <c r="W18" s="128">
        <v>625</v>
      </c>
      <c r="X18" s="128">
        <v>275</v>
      </c>
      <c r="Y18" s="128">
        <v>795</v>
      </c>
      <c r="Z18" s="128">
        <v>170</v>
      </c>
      <c r="AA18" s="128">
        <v>805</v>
      </c>
      <c r="AB18" s="128">
        <v>540</v>
      </c>
      <c r="AC18" s="128">
        <v>1265</v>
      </c>
      <c r="AD18" s="128">
        <v>1015</v>
      </c>
      <c r="AE18" s="128">
        <v>415</v>
      </c>
      <c r="AF18" s="128">
        <v>415</v>
      </c>
      <c r="AG18" s="129">
        <v>355</v>
      </c>
    </row>
    <row r="19" spans="1:34" ht="27.75" customHeight="1">
      <c r="A19" s="114" t="s">
        <v>4</v>
      </c>
      <c r="B19" s="114" t="s">
        <v>7</v>
      </c>
      <c r="C19" s="114" t="s">
        <v>9</v>
      </c>
      <c r="D19" s="114" t="s">
        <v>61</v>
      </c>
      <c r="E19" s="114" t="s">
        <v>62</v>
      </c>
      <c r="F19" s="114" t="s">
        <v>63</v>
      </c>
      <c r="G19" s="114" t="s">
        <v>59</v>
      </c>
      <c r="H19" s="115" t="s">
        <v>60</v>
      </c>
      <c r="I19" s="145" t="s">
        <v>33</v>
      </c>
      <c r="J19" s="135" t="s">
        <v>34</v>
      </c>
      <c r="K19" s="148" t="s">
        <v>35</v>
      </c>
      <c r="L19" s="148" t="s">
        <v>84</v>
      </c>
      <c r="M19" s="149" t="s">
        <v>85</v>
      </c>
      <c r="R19" s="121" t="s">
        <v>12</v>
      </c>
      <c r="S19" s="119">
        <v>1</v>
      </c>
      <c r="T19" s="119">
        <v>2</v>
      </c>
      <c r="U19" s="119">
        <v>3</v>
      </c>
      <c r="V19" s="119">
        <v>4</v>
      </c>
      <c r="W19" s="119">
        <v>5</v>
      </c>
      <c r="X19" s="119">
        <v>6</v>
      </c>
      <c r="Y19" s="119">
        <v>7</v>
      </c>
      <c r="Z19" s="119">
        <v>8</v>
      </c>
      <c r="AA19" s="119">
        <v>9</v>
      </c>
      <c r="AB19" s="119">
        <v>10</v>
      </c>
      <c r="AC19" s="119">
        <v>11</v>
      </c>
      <c r="AD19" s="119">
        <v>12</v>
      </c>
      <c r="AE19" s="119">
        <v>13</v>
      </c>
      <c r="AF19" s="119">
        <v>14</v>
      </c>
      <c r="AG19" s="120">
        <v>15</v>
      </c>
    </row>
    <row r="20" spans="1:34" ht="27.75" customHeight="1">
      <c r="A20" s="124">
        <v>8</v>
      </c>
      <c r="B20" s="124">
        <v>3</v>
      </c>
      <c r="C20" s="94" t="str">
        <f t="shared" ref="C20:C34" si="17">VLOOKUP(B20,$A$2:$Q$17,17,1)</f>
        <v>buzz-lightyears-space-ranger-spin</v>
      </c>
      <c r="D20" s="94">
        <f>ABS(E20)</f>
        <v>0</v>
      </c>
      <c r="E20" s="8"/>
      <c r="F20" s="78">
        <f t="shared" ref="F20:F34" si="18">INDEX($R$2:$AG$17,MATCH(A20,$R$2:$R$17,0),MATCH(B20,$R$2:$AG$2,0))</f>
        <v>8.6206896551724137E-3</v>
      </c>
      <c r="G20" s="8"/>
      <c r="H20" s="79">
        <f t="shared" ref="H20:H34" si="19">INDEX($R$19:$AG$34,MATCH(A20,$R$19:$R$34,0),MATCH(B20,$R$19:$AG$19,0))</f>
        <v>5</v>
      </c>
      <c r="I20" s="146">
        <v>1</v>
      </c>
      <c r="J20" s="137">
        <v>1</v>
      </c>
      <c r="K20" s="39">
        <v>8</v>
      </c>
      <c r="L20" s="150">
        <f>VLOOKUP(C20,coordMK!C:E,2,0)</f>
        <v>28.418243</v>
      </c>
      <c r="M20" s="151">
        <f>VLOOKUP(C20,coordMK!C:E,3,0)</f>
        <v>-81.579359999999994</v>
      </c>
      <c r="O20" s="133"/>
      <c r="R20" s="124">
        <v>8</v>
      </c>
      <c r="S20" s="130">
        <v>10</v>
      </c>
      <c r="T20" s="130">
        <v>25</v>
      </c>
      <c r="U20" s="130">
        <v>5</v>
      </c>
      <c r="V20" s="130">
        <v>10</v>
      </c>
      <c r="W20" s="130">
        <v>25</v>
      </c>
      <c r="X20" s="130">
        <v>10</v>
      </c>
      <c r="Y20" s="130">
        <v>40</v>
      </c>
      <c r="Z20" s="130">
        <v>5</v>
      </c>
      <c r="AA20" s="130">
        <v>5</v>
      </c>
      <c r="AB20" s="130">
        <v>10</v>
      </c>
      <c r="AC20" s="130">
        <v>10</v>
      </c>
      <c r="AD20" s="130">
        <v>70</v>
      </c>
      <c r="AE20" s="130">
        <v>5</v>
      </c>
      <c r="AF20" s="130">
        <v>5</v>
      </c>
      <c r="AG20" s="131">
        <v>15</v>
      </c>
    </row>
    <row r="21" spans="1:34">
      <c r="A21" s="124">
        <v>9</v>
      </c>
      <c r="B21" s="124">
        <v>11</v>
      </c>
      <c r="C21" s="94" t="str">
        <f t="shared" si="17"/>
        <v>seven-dwarfs-mine-train</v>
      </c>
      <c r="D21" s="94">
        <f t="shared" ref="D21:D34" si="20">ABS(E21)</f>
        <v>5.7890112992331204E-2</v>
      </c>
      <c r="E21" s="83">
        <f t="shared" ref="E21:E34" si="21">INDEX($A$2:$P$17,MATCH(B20,$A$2:$A$17,0),MATCH(B21,$A$2:$P$2,0))</f>
        <v>5.7890112992331204E-2</v>
      </c>
      <c r="F21" s="78">
        <f t="shared" si="18"/>
        <v>7.9051383399209481E-3</v>
      </c>
      <c r="G21" s="83">
        <f t="shared" ref="G21:G34" si="22">INDEX($S$36:$AH$52,MATCH(B20,$R$36:$R$51,0),MATCH(B21,$R$36:$AG$36,0))</f>
        <v>413.86441663557724</v>
      </c>
      <c r="H21" s="79">
        <f t="shared" si="19"/>
        <v>10</v>
      </c>
      <c r="I21" s="12">
        <v>1</v>
      </c>
      <c r="J21" s="8">
        <v>1</v>
      </c>
      <c r="K21" s="39">
        <v>9</v>
      </c>
      <c r="L21" s="150">
        <f>VLOOKUP(C21,coordMK!C:E,2,0)</f>
        <v>28.420463999999999</v>
      </c>
      <c r="M21" s="151">
        <f>VLOOKUP(C21,coordMK!C:E,3,0)</f>
        <v>-81.580502999999993</v>
      </c>
      <c r="O21" s="133"/>
      <c r="R21" s="124">
        <v>9</v>
      </c>
      <c r="S21" s="130">
        <v>25</v>
      </c>
      <c r="T21" s="130">
        <v>65</v>
      </c>
      <c r="U21" s="130">
        <v>35</v>
      </c>
      <c r="V21" s="130">
        <v>15</v>
      </c>
      <c r="W21" s="130">
        <v>40</v>
      </c>
      <c r="X21" s="130">
        <v>5</v>
      </c>
      <c r="Y21" s="130">
        <v>35</v>
      </c>
      <c r="Z21" s="130">
        <v>15</v>
      </c>
      <c r="AA21" s="130">
        <v>5</v>
      </c>
      <c r="AB21" s="130">
        <v>30</v>
      </c>
      <c r="AC21" s="130">
        <v>10</v>
      </c>
      <c r="AD21" s="130">
        <v>60</v>
      </c>
      <c r="AE21" s="130">
        <v>5</v>
      </c>
      <c r="AF21" s="130">
        <v>5</v>
      </c>
      <c r="AG21" s="131">
        <v>20</v>
      </c>
    </row>
    <row r="22" spans="1:34">
      <c r="A22" s="124">
        <v>10</v>
      </c>
      <c r="B22" s="124">
        <v>12</v>
      </c>
      <c r="C22" s="94" t="str">
        <f t="shared" si="17"/>
        <v>space-mountain</v>
      </c>
      <c r="D22" s="94">
        <f t="shared" si="20"/>
        <v>6.5264966140275119E-2</v>
      </c>
      <c r="E22" s="83">
        <f t="shared" si="21"/>
        <v>6.5264966140275119E-2</v>
      </c>
      <c r="F22" s="78">
        <f t="shared" si="18"/>
        <v>4.9261083743842367E-2</v>
      </c>
      <c r="G22" s="83">
        <f t="shared" si="22"/>
        <v>229.52406256746684</v>
      </c>
      <c r="H22" s="79">
        <f t="shared" si="19"/>
        <v>50</v>
      </c>
      <c r="I22" s="12">
        <v>1</v>
      </c>
      <c r="J22" s="8">
        <v>1</v>
      </c>
      <c r="K22" s="39">
        <v>10</v>
      </c>
      <c r="L22" s="150">
        <f>VLOOKUP(C22,coordMK!C:E,2,0)</f>
        <v>28.419082</v>
      </c>
      <c r="M22" s="151">
        <f>VLOOKUP(C22,coordMK!C:E,3,0)</f>
        <v>-81.577305999999993</v>
      </c>
      <c r="O22" s="133"/>
      <c r="R22" s="124">
        <v>10</v>
      </c>
      <c r="S22" s="130">
        <v>25</v>
      </c>
      <c r="T22" s="130">
        <v>45</v>
      </c>
      <c r="U22" s="130">
        <v>30</v>
      </c>
      <c r="V22" s="130">
        <v>15</v>
      </c>
      <c r="W22" s="130">
        <v>40</v>
      </c>
      <c r="X22" s="130">
        <v>5</v>
      </c>
      <c r="Y22" s="130">
        <v>60</v>
      </c>
      <c r="Z22" s="130">
        <v>10</v>
      </c>
      <c r="AA22" s="130">
        <v>20</v>
      </c>
      <c r="AB22" s="130">
        <v>45</v>
      </c>
      <c r="AC22" s="130">
        <v>60</v>
      </c>
      <c r="AD22" s="130">
        <v>50</v>
      </c>
      <c r="AE22" s="130">
        <v>20</v>
      </c>
      <c r="AF22" s="130">
        <v>10</v>
      </c>
      <c r="AG22" s="131">
        <v>20</v>
      </c>
    </row>
    <row r="23" spans="1:34">
      <c r="A23" s="124">
        <v>11</v>
      </c>
      <c r="B23" s="124">
        <v>7</v>
      </c>
      <c r="C23" s="94" t="str">
        <f t="shared" si="17"/>
        <v>jungle-cruise</v>
      </c>
      <c r="D23" s="94">
        <f t="shared" si="20"/>
        <v>2.0024271268220917E-2</v>
      </c>
      <c r="E23" s="83">
        <f t="shared" si="21"/>
        <v>2.0024271268220917E-2</v>
      </c>
      <c r="F23" s="78">
        <f t="shared" si="18"/>
        <v>5.6603773584905662E-2</v>
      </c>
      <c r="G23" s="83">
        <f t="shared" si="22"/>
        <v>196.24129880676142</v>
      </c>
      <c r="H23" s="79">
        <f t="shared" si="19"/>
        <v>45</v>
      </c>
      <c r="I23" s="12">
        <v>1</v>
      </c>
      <c r="J23" s="8">
        <v>1</v>
      </c>
      <c r="K23" s="39">
        <v>11</v>
      </c>
      <c r="L23" s="150">
        <f>VLOOKUP(C23,coordMK!C:E,2,0)</f>
        <v>28.418016000000001</v>
      </c>
      <c r="M23" s="151">
        <f>VLOOKUP(C23,coordMK!C:E,3,0)</f>
        <v>-81.583437000000004</v>
      </c>
      <c r="O23" s="133"/>
      <c r="R23" s="124">
        <v>11</v>
      </c>
      <c r="S23" s="130">
        <v>25</v>
      </c>
      <c r="T23" s="130">
        <v>45</v>
      </c>
      <c r="U23" s="130">
        <v>35</v>
      </c>
      <c r="V23" s="130">
        <v>15</v>
      </c>
      <c r="W23" s="130">
        <v>40</v>
      </c>
      <c r="X23" s="130">
        <v>10</v>
      </c>
      <c r="Y23" s="130">
        <v>45</v>
      </c>
      <c r="Z23" s="130">
        <v>10</v>
      </c>
      <c r="AA23" s="130">
        <v>45</v>
      </c>
      <c r="AB23" s="130">
        <v>40</v>
      </c>
      <c r="AC23" s="130">
        <v>90</v>
      </c>
      <c r="AD23" s="130">
        <v>75</v>
      </c>
      <c r="AE23" s="130">
        <v>50</v>
      </c>
      <c r="AF23" s="130">
        <v>20</v>
      </c>
      <c r="AG23" s="131">
        <v>25</v>
      </c>
    </row>
    <row r="24" spans="1:34">
      <c r="A24" s="124">
        <v>12</v>
      </c>
      <c r="B24" s="124">
        <v>6</v>
      </c>
      <c r="C24" s="94" t="str">
        <f t="shared" si="17"/>
        <v>its-a-small-world</v>
      </c>
      <c r="D24" s="94">
        <f t="shared" si="20"/>
        <v>4.8502488917617437E-2</v>
      </c>
      <c r="E24" s="83">
        <f t="shared" si="21"/>
        <v>4.8502488917617437E-2</v>
      </c>
      <c r="F24" s="78">
        <f t="shared" si="18"/>
        <v>3.6363636363636362E-2</v>
      </c>
      <c r="G24" s="83">
        <f t="shared" si="22"/>
        <v>0</v>
      </c>
      <c r="H24" s="79">
        <f t="shared" si="19"/>
        <v>10</v>
      </c>
      <c r="I24" s="12">
        <v>1</v>
      </c>
      <c r="J24" s="8">
        <v>1</v>
      </c>
      <c r="K24" s="39">
        <v>12</v>
      </c>
      <c r="L24" s="150">
        <f>VLOOKUP(C24,coordMK!C:E,2,0)</f>
        <v>28.420539999999999</v>
      </c>
      <c r="M24" s="151">
        <f>VLOOKUP(C24,coordMK!C:E,3,0)</f>
        <v>-81.581951000000004</v>
      </c>
      <c r="O24" s="133"/>
      <c r="R24" s="124">
        <v>12</v>
      </c>
      <c r="S24" s="130">
        <v>35</v>
      </c>
      <c r="T24" s="130">
        <v>50</v>
      </c>
      <c r="U24" s="130">
        <v>50</v>
      </c>
      <c r="V24" s="130">
        <v>20</v>
      </c>
      <c r="W24" s="130">
        <v>45</v>
      </c>
      <c r="X24" s="130">
        <v>10</v>
      </c>
      <c r="Y24" s="130">
        <v>50</v>
      </c>
      <c r="Z24" s="130">
        <v>15</v>
      </c>
      <c r="AA24" s="130">
        <v>75</v>
      </c>
      <c r="AB24" s="130">
        <v>30</v>
      </c>
      <c r="AC24" s="130">
        <v>75</v>
      </c>
      <c r="AD24" s="130">
        <v>95</v>
      </c>
      <c r="AE24" s="130">
        <v>35</v>
      </c>
      <c r="AF24" s="130">
        <v>30</v>
      </c>
      <c r="AG24" s="131">
        <v>20</v>
      </c>
    </row>
    <row r="25" spans="1:34">
      <c r="A25" s="124">
        <v>13</v>
      </c>
      <c r="B25" s="124">
        <v>10</v>
      </c>
      <c r="C25" s="94" t="str">
        <f t="shared" si="17"/>
        <v>pirates-of-the-caribbean</v>
      </c>
      <c r="D25" s="94">
        <f t="shared" si="20"/>
        <v>2.1224732711973001E-2</v>
      </c>
      <c r="E25" s="83">
        <f t="shared" si="21"/>
        <v>2.1224732711973001E-2</v>
      </c>
      <c r="F25" s="78">
        <f t="shared" si="18"/>
        <v>6.4814814814814811E-2</v>
      </c>
      <c r="G25" s="83">
        <f t="shared" si="22"/>
        <v>150.6555634966613</v>
      </c>
      <c r="H25" s="79">
        <f t="shared" si="19"/>
        <v>35</v>
      </c>
      <c r="I25" s="12">
        <v>1</v>
      </c>
      <c r="J25" s="8">
        <v>1</v>
      </c>
      <c r="K25" s="39">
        <v>13</v>
      </c>
      <c r="L25" s="150">
        <f>VLOOKUP(C25,coordMK!C:E,2,0)</f>
        <v>28.418123999999999</v>
      </c>
      <c r="M25" s="151">
        <f>VLOOKUP(C25,coordMK!C:E,3,0)</f>
        <v>-81.584284999999994</v>
      </c>
      <c r="O25" s="133"/>
      <c r="R25" s="124">
        <v>13</v>
      </c>
      <c r="S25" s="130">
        <v>35</v>
      </c>
      <c r="T25" s="130">
        <v>45</v>
      </c>
      <c r="U25" s="130">
        <v>45</v>
      </c>
      <c r="V25" s="130">
        <v>35</v>
      </c>
      <c r="W25" s="130">
        <v>45</v>
      </c>
      <c r="X25" s="130">
        <v>15</v>
      </c>
      <c r="Y25" s="130">
        <v>55</v>
      </c>
      <c r="Z25" s="130">
        <v>15</v>
      </c>
      <c r="AA25" s="130">
        <v>90</v>
      </c>
      <c r="AB25" s="130">
        <v>35</v>
      </c>
      <c r="AC25" s="130">
        <v>75</v>
      </c>
      <c r="AD25" s="130">
        <v>80</v>
      </c>
      <c r="AE25" s="130">
        <v>35</v>
      </c>
      <c r="AF25" s="130">
        <v>35</v>
      </c>
      <c r="AG25" s="131">
        <v>20</v>
      </c>
    </row>
    <row r="26" spans="1:34">
      <c r="A26" s="124">
        <v>14</v>
      </c>
      <c r="B26" s="124">
        <v>8</v>
      </c>
      <c r="C26" s="94" t="str">
        <f t="shared" si="17"/>
        <v>monsters-inc-laugh-floor</v>
      </c>
      <c r="D26" s="94">
        <f t="shared" si="20"/>
        <v>2.0588362024686353E-2</v>
      </c>
      <c r="E26" s="83">
        <f t="shared" si="21"/>
        <v>2.0588362024686353E-2</v>
      </c>
      <c r="F26" s="78">
        <f t="shared" si="18"/>
        <v>8.8235294117647065E-2</v>
      </c>
      <c r="G26" s="83">
        <f t="shared" si="22"/>
        <v>90.664956666995778</v>
      </c>
      <c r="H26" s="79">
        <f t="shared" si="19"/>
        <v>15</v>
      </c>
      <c r="I26" s="12">
        <v>1</v>
      </c>
      <c r="J26" s="8">
        <v>1</v>
      </c>
      <c r="K26" s="39">
        <v>14</v>
      </c>
      <c r="L26" s="150">
        <f>VLOOKUP(C26,coordMK!C:E,2,0)</f>
        <v>28.418417000000002</v>
      </c>
      <c r="M26" s="151">
        <f>VLOOKUP(C26,coordMK!C:E,3,0)</f>
        <v>-81.579811000000007</v>
      </c>
      <c r="O26" s="133"/>
      <c r="R26" s="124">
        <v>14</v>
      </c>
      <c r="S26" s="130">
        <v>20</v>
      </c>
      <c r="T26" s="130">
        <v>40</v>
      </c>
      <c r="U26" s="130">
        <v>45</v>
      </c>
      <c r="V26" s="130">
        <v>35</v>
      </c>
      <c r="W26" s="130">
        <v>40</v>
      </c>
      <c r="X26" s="130">
        <v>20</v>
      </c>
      <c r="Y26" s="130">
        <v>65</v>
      </c>
      <c r="Z26" s="130">
        <v>15</v>
      </c>
      <c r="AA26" s="130">
        <v>70</v>
      </c>
      <c r="AB26" s="130">
        <v>35</v>
      </c>
      <c r="AC26" s="130">
        <v>95</v>
      </c>
      <c r="AD26" s="130">
        <v>80</v>
      </c>
      <c r="AE26" s="130">
        <v>35</v>
      </c>
      <c r="AF26" s="130">
        <v>25</v>
      </c>
      <c r="AG26" s="131">
        <v>20</v>
      </c>
    </row>
    <row r="27" spans="1:34">
      <c r="A27" s="124">
        <v>15</v>
      </c>
      <c r="B27" s="124">
        <v>5</v>
      </c>
      <c r="C27" s="94" t="str">
        <f t="shared" si="17"/>
        <v>haunted-mansion</v>
      </c>
      <c r="D27" s="94">
        <f t="shared" si="20"/>
        <v>7.8891869873752157E-3</v>
      </c>
      <c r="E27" s="83">
        <f t="shared" si="21"/>
        <v>7.8891869873752157E-3</v>
      </c>
      <c r="F27" s="78">
        <f t="shared" si="18"/>
        <v>7.1999999999999995E-2</v>
      </c>
      <c r="G27" s="83">
        <f t="shared" si="22"/>
        <v>54.816916820998742</v>
      </c>
      <c r="H27" s="79">
        <f t="shared" si="19"/>
        <v>45</v>
      </c>
      <c r="I27" s="12">
        <v>1</v>
      </c>
      <c r="J27" s="8">
        <v>1</v>
      </c>
      <c r="K27" s="39">
        <v>15</v>
      </c>
      <c r="L27" s="150">
        <f>VLOOKUP(C27,coordMK!C:E,2,0)</f>
        <v>28.420445999999998</v>
      </c>
      <c r="M27" s="151">
        <f>VLOOKUP(C27,coordMK!C:E,3,0)</f>
        <v>-81.582879000000005</v>
      </c>
      <c r="O27" s="133"/>
      <c r="R27" s="124">
        <v>15</v>
      </c>
      <c r="S27" s="130">
        <v>40</v>
      </c>
      <c r="T27" s="130">
        <v>40</v>
      </c>
      <c r="U27" s="130">
        <v>45</v>
      </c>
      <c r="V27" s="130">
        <v>35</v>
      </c>
      <c r="W27" s="130">
        <v>45</v>
      </c>
      <c r="X27" s="130">
        <v>20</v>
      </c>
      <c r="Y27" s="130">
        <v>75</v>
      </c>
      <c r="Z27" s="130">
        <v>10</v>
      </c>
      <c r="AA27" s="130">
        <v>65</v>
      </c>
      <c r="AB27" s="130">
        <v>40</v>
      </c>
      <c r="AC27" s="130">
        <v>115</v>
      </c>
      <c r="AD27" s="130">
        <v>70</v>
      </c>
      <c r="AE27" s="130">
        <v>25</v>
      </c>
      <c r="AF27" s="130">
        <v>40</v>
      </c>
      <c r="AG27" s="131">
        <v>25</v>
      </c>
    </row>
    <row r="28" spans="1:34">
      <c r="A28" s="124">
        <v>16</v>
      </c>
      <c r="B28" s="124">
        <v>9</v>
      </c>
      <c r="C28" s="94" t="str">
        <f t="shared" si="17"/>
        <v>peter-pans-flight</v>
      </c>
      <c r="D28" s="94">
        <f t="shared" si="20"/>
        <v>1.5107908989478376E-2</v>
      </c>
      <c r="E28" s="83">
        <f t="shared" si="21"/>
        <v>1.5107908989478376E-2</v>
      </c>
      <c r="F28" s="78">
        <f t="shared" si="18"/>
        <v>6.2111801242236024E-2</v>
      </c>
      <c r="G28" s="83">
        <f t="shared" si="22"/>
        <v>53.252802281154523</v>
      </c>
      <c r="H28" s="79">
        <f t="shared" si="19"/>
        <v>50</v>
      </c>
      <c r="I28" s="12">
        <v>1</v>
      </c>
      <c r="J28" s="8">
        <v>1</v>
      </c>
      <c r="K28" s="39">
        <v>16</v>
      </c>
      <c r="L28" s="150">
        <f>VLOOKUP(C28,coordMK!C:E,2,0)</f>
        <v>28.420356000000002</v>
      </c>
      <c r="M28" s="151">
        <f>VLOOKUP(C28,coordMK!C:E,3,0)</f>
        <v>-81.581855000000004</v>
      </c>
      <c r="O28" s="133"/>
      <c r="R28" s="124">
        <v>16</v>
      </c>
      <c r="S28" s="130">
        <v>30</v>
      </c>
      <c r="T28" s="130">
        <v>65</v>
      </c>
      <c r="U28" s="130">
        <v>40</v>
      </c>
      <c r="V28" s="130">
        <v>10</v>
      </c>
      <c r="W28" s="130">
        <v>50</v>
      </c>
      <c r="X28" s="130">
        <v>20</v>
      </c>
      <c r="Y28" s="130">
        <v>60</v>
      </c>
      <c r="Z28" s="130">
        <v>10</v>
      </c>
      <c r="AA28" s="130">
        <v>50</v>
      </c>
      <c r="AB28" s="130">
        <v>40</v>
      </c>
      <c r="AC28" s="130">
        <v>130</v>
      </c>
      <c r="AD28" s="130">
        <v>70</v>
      </c>
      <c r="AE28" s="130">
        <v>35</v>
      </c>
      <c r="AF28" s="130">
        <v>35</v>
      </c>
      <c r="AG28" s="131">
        <v>25</v>
      </c>
    </row>
    <row r="29" spans="1:34">
      <c r="A29" s="124">
        <v>17</v>
      </c>
      <c r="B29" s="124">
        <v>15</v>
      </c>
      <c r="C29" s="94" t="str">
        <f t="shared" si="17"/>
        <v>tomorrowland-speedway</v>
      </c>
      <c r="D29" s="94">
        <f t="shared" si="20"/>
        <v>3.0603092403673621E-2</v>
      </c>
      <c r="E29" s="83">
        <f t="shared" si="21"/>
        <v>3.0603092403673621E-2</v>
      </c>
      <c r="F29" s="78">
        <f t="shared" si="18"/>
        <v>7.0422535211267609E-2</v>
      </c>
      <c r="G29" s="83">
        <f t="shared" si="22"/>
        <v>0</v>
      </c>
      <c r="H29" s="79">
        <f t="shared" si="19"/>
        <v>25</v>
      </c>
      <c r="I29" s="12">
        <v>1</v>
      </c>
      <c r="J29" s="8">
        <v>1</v>
      </c>
      <c r="K29" s="39">
        <v>17</v>
      </c>
      <c r="L29" s="150">
        <f>VLOOKUP(C29,coordMK!C:E,2,0)</f>
        <v>28.419384000000001</v>
      </c>
      <c r="M29" s="151">
        <f>VLOOKUP(C29,coordMK!C:E,3,0)</f>
        <v>-81.579367000000005</v>
      </c>
      <c r="R29" s="124">
        <v>17</v>
      </c>
      <c r="S29" s="130">
        <v>30</v>
      </c>
      <c r="T29" s="130">
        <v>45</v>
      </c>
      <c r="U29" s="130">
        <v>40</v>
      </c>
      <c r="V29" s="130">
        <v>15</v>
      </c>
      <c r="W29" s="130">
        <v>45</v>
      </c>
      <c r="X29" s="130">
        <v>35</v>
      </c>
      <c r="Y29" s="130">
        <v>30</v>
      </c>
      <c r="Z29" s="130">
        <v>10</v>
      </c>
      <c r="AA29" s="130">
        <v>50</v>
      </c>
      <c r="AB29" s="130">
        <v>40</v>
      </c>
      <c r="AC29" s="130">
        <v>110</v>
      </c>
      <c r="AD29" s="130">
        <v>60</v>
      </c>
      <c r="AE29" s="130">
        <v>30</v>
      </c>
      <c r="AF29" s="130">
        <v>50</v>
      </c>
      <c r="AG29" s="131">
        <v>25</v>
      </c>
    </row>
    <row r="30" spans="1:34">
      <c r="A30" s="124">
        <v>18</v>
      </c>
      <c r="B30" s="124">
        <v>2</v>
      </c>
      <c r="C30" s="94" t="str">
        <f t="shared" si="17"/>
        <v>big-thunder-mountain-railroad</v>
      </c>
      <c r="D30" s="94">
        <f t="shared" si="20"/>
        <v>6.3471215654142113E-2</v>
      </c>
      <c r="E30" s="83">
        <f t="shared" si="21"/>
        <v>6.3471215654142113E-2</v>
      </c>
      <c r="F30" s="78">
        <f t="shared" si="18"/>
        <v>7.2463768115942032E-2</v>
      </c>
      <c r="G30" s="83">
        <f t="shared" si="22"/>
        <v>163.05880626550467</v>
      </c>
      <c r="H30" s="79">
        <f t="shared" si="19"/>
        <v>50</v>
      </c>
      <c r="I30" s="12">
        <v>1</v>
      </c>
      <c r="J30" s="8">
        <v>1</v>
      </c>
      <c r="K30" s="39">
        <v>18</v>
      </c>
      <c r="L30" s="150">
        <f>VLOOKUP(C30,coordMK!C:E,2,0)</f>
        <v>28.420021999999999</v>
      </c>
      <c r="M30" s="151">
        <f>VLOOKUP(C30,coordMK!C:E,3,0)</f>
        <v>-81.584692000000004</v>
      </c>
      <c r="R30" s="124">
        <v>18</v>
      </c>
      <c r="S30" s="130">
        <v>15</v>
      </c>
      <c r="T30" s="130">
        <v>50</v>
      </c>
      <c r="U30" s="130">
        <v>45</v>
      </c>
      <c r="V30" s="130">
        <v>20</v>
      </c>
      <c r="W30" s="130">
        <v>35</v>
      </c>
      <c r="X30" s="130">
        <v>35</v>
      </c>
      <c r="Y30" s="130">
        <v>40</v>
      </c>
      <c r="Z30" s="130">
        <v>15</v>
      </c>
      <c r="AA30" s="130">
        <v>75</v>
      </c>
      <c r="AB30" s="130">
        <v>30</v>
      </c>
      <c r="AC30" s="130">
        <v>85</v>
      </c>
      <c r="AD30" s="130">
        <v>60</v>
      </c>
      <c r="AE30" s="130">
        <v>20</v>
      </c>
      <c r="AF30" s="130">
        <v>30</v>
      </c>
      <c r="AG30" s="131">
        <v>20</v>
      </c>
    </row>
    <row r="31" spans="1:34">
      <c r="A31" s="124">
        <v>19</v>
      </c>
      <c r="B31" s="124">
        <v>1</v>
      </c>
      <c r="C31" s="94" t="str">
        <f t="shared" si="17"/>
        <v>astro-orbiter</v>
      </c>
      <c r="D31" s="94">
        <f t="shared" si="20"/>
        <v>1.0689802865799129E-2</v>
      </c>
      <c r="E31" s="83">
        <f t="shared" si="21"/>
        <v>1.0689802865799129E-2</v>
      </c>
      <c r="F31" s="78">
        <f t="shared" si="18"/>
        <v>4.0540540540540543E-2</v>
      </c>
      <c r="G31" s="83">
        <f t="shared" si="22"/>
        <v>0</v>
      </c>
      <c r="H31" s="79">
        <f t="shared" si="19"/>
        <v>15</v>
      </c>
      <c r="I31" s="12">
        <v>1</v>
      </c>
      <c r="J31" s="8">
        <v>1</v>
      </c>
      <c r="K31" s="39">
        <v>19</v>
      </c>
      <c r="L31" s="150">
        <f>VLOOKUP(C31,coordMK!C:E,2,0)</f>
        <v>28.418493000000002</v>
      </c>
      <c r="M31" s="151">
        <f>VLOOKUP(C31,coordMK!C:E,3,0)</f>
        <v>-81.579230999999993</v>
      </c>
      <c r="R31" s="124">
        <v>19</v>
      </c>
      <c r="S31" s="130">
        <v>15</v>
      </c>
      <c r="T31" s="130">
        <v>55</v>
      </c>
      <c r="U31" s="130">
        <v>40</v>
      </c>
      <c r="V31" s="130">
        <v>10</v>
      </c>
      <c r="W31" s="130">
        <v>40</v>
      </c>
      <c r="X31" s="130">
        <v>25</v>
      </c>
      <c r="Y31" s="130">
        <v>55</v>
      </c>
      <c r="Z31" s="130">
        <v>5</v>
      </c>
      <c r="AA31" s="130">
        <v>60</v>
      </c>
      <c r="AB31" s="130">
        <v>45</v>
      </c>
      <c r="AC31" s="130">
        <v>105</v>
      </c>
      <c r="AD31" s="130">
        <v>60</v>
      </c>
      <c r="AE31" s="130">
        <v>35</v>
      </c>
      <c r="AF31" s="130">
        <v>35</v>
      </c>
      <c r="AG31" s="131">
        <v>25</v>
      </c>
    </row>
    <row r="32" spans="1:34">
      <c r="A32" s="124">
        <v>20</v>
      </c>
      <c r="B32" s="124">
        <v>14</v>
      </c>
      <c r="C32" s="94" t="str">
        <f t="shared" si="17"/>
        <v>the-many-adventures-of-winnie-the-pooh</v>
      </c>
      <c r="D32" s="94">
        <f t="shared" si="20"/>
        <v>1.2060589622102796E-2</v>
      </c>
      <c r="E32" s="83">
        <f t="shared" si="21"/>
        <v>1.2060589622102796E-2</v>
      </c>
      <c r="F32" s="78">
        <f t="shared" si="18"/>
        <v>8.4337349397590355E-2</v>
      </c>
      <c r="G32" s="83">
        <f t="shared" si="22"/>
        <v>235.9205617282789</v>
      </c>
      <c r="H32" s="79">
        <f t="shared" si="19"/>
        <v>35</v>
      </c>
      <c r="I32" s="12">
        <v>1</v>
      </c>
      <c r="J32" s="8">
        <v>1</v>
      </c>
      <c r="K32" s="39">
        <v>20</v>
      </c>
      <c r="L32" s="150">
        <f>VLOOKUP(C32,coordMK!C:E,2,0)</f>
        <v>28.420138999999999</v>
      </c>
      <c r="M32" s="151">
        <f>VLOOKUP(C32,coordMK!C:E,3,0)</f>
        <v>-81.580201000000002</v>
      </c>
      <c r="R32" s="124">
        <v>20</v>
      </c>
      <c r="S32" s="130">
        <v>20</v>
      </c>
      <c r="T32" s="130">
        <v>25</v>
      </c>
      <c r="U32" s="130">
        <v>40</v>
      </c>
      <c r="V32" s="130">
        <v>15</v>
      </c>
      <c r="W32" s="130">
        <v>50</v>
      </c>
      <c r="X32" s="130">
        <v>25</v>
      </c>
      <c r="Y32" s="130">
        <v>50</v>
      </c>
      <c r="Z32" s="130">
        <v>15</v>
      </c>
      <c r="AA32" s="130">
        <v>55</v>
      </c>
      <c r="AB32" s="130">
        <v>45</v>
      </c>
      <c r="AC32" s="130">
        <v>85</v>
      </c>
      <c r="AD32" s="130">
        <v>60</v>
      </c>
      <c r="AE32" s="130">
        <v>30</v>
      </c>
      <c r="AF32" s="130">
        <v>35</v>
      </c>
      <c r="AG32" s="131">
        <v>40</v>
      </c>
    </row>
    <row r="33" spans="1:33">
      <c r="A33" s="124">
        <v>21</v>
      </c>
      <c r="B33" s="124">
        <v>13</v>
      </c>
      <c r="C33" s="94" t="str">
        <f t="shared" si="17"/>
        <v>splash-mountain</v>
      </c>
      <c r="D33" s="94">
        <f t="shared" si="20"/>
        <v>2.9122458845096851E-2</v>
      </c>
      <c r="E33" s="83">
        <f t="shared" si="21"/>
        <v>2.9122458845096851E-2</v>
      </c>
      <c r="F33" s="78">
        <f t="shared" si="18"/>
        <v>8.4337349397590355E-2</v>
      </c>
      <c r="G33" s="83">
        <f t="shared" si="22"/>
        <v>0</v>
      </c>
      <c r="H33" s="79">
        <f t="shared" si="19"/>
        <v>35</v>
      </c>
      <c r="I33" s="12">
        <v>1</v>
      </c>
      <c r="J33" s="8">
        <v>1</v>
      </c>
      <c r="K33" s="39">
        <v>21</v>
      </c>
      <c r="L33" s="150">
        <f>VLOOKUP(C33,coordMK!C:E,2,0)</f>
        <v>28.419139000000001</v>
      </c>
      <c r="M33" s="151">
        <f>VLOOKUP(C33,coordMK!C:E,3,0)</f>
        <v>-81.585058000000004</v>
      </c>
      <c r="R33" s="124">
        <v>21</v>
      </c>
      <c r="S33" s="130">
        <v>25</v>
      </c>
      <c r="T33" s="130">
        <v>45</v>
      </c>
      <c r="U33" s="130">
        <v>55</v>
      </c>
      <c r="V33" s="130">
        <v>25</v>
      </c>
      <c r="W33" s="130">
        <v>40</v>
      </c>
      <c r="X33" s="130">
        <v>20</v>
      </c>
      <c r="Y33" s="130">
        <v>65</v>
      </c>
      <c r="Z33" s="130">
        <v>10</v>
      </c>
      <c r="AA33" s="130">
        <v>65</v>
      </c>
      <c r="AB33" s="130">
        <v>30</v>
      </c>
      <c r="AC33" s="130">
        <v>115</v>
      </c>
      <c r="AD33" s="130">
        <v>60</v>
      </c>
      <c r="AE33" s="130">
        <v>35</v>
      </c>
      <c r="AF33" s="130">
        <v>25</v>
      </c>
      <c r="AG33" s="131">
        <v>30</v>
      </c>
    </row>
    <row r="34" spans="1:33" ht="15" thickBot="1">
      <c r="A34" s="132">
        <v>22</v>
      </c>
      <c r="B34" s="132">
        <v>4</v>
      </c>
      <c r="C34" s="97" t="str">
        <f t="shared" si="17"/>
        <v>dumbo-the-flying-elephant</v>
      </c>
      <c r="D34" s="97">
        <f t="shared" si="20"/>
        <v>1.7263037160236069E-2</v>
      </c>
      <c r="E34" s="105">
        <f t="shared" si="21"/>
        <v>1.7263037160236069E-2</v>
      </c>
      <c r="F34" s="80">
        <f t="shared" si="18"/>
        <v>8.3333333333333329E-2</v>
      </c>
      <c r="G34" s="105">
        <f t="shared" si="22"/>
        <v>394.82939421009377</v>
      </c>
      <c r="H34" s="81">
        <f t="shared" si="19"/>
        <v>25</v>
      </c>
      <c r="I34" s="41">
        <v>1</v>
      </c>
      <c r="J34" s="16">
        <v>1</v>
      </c>
      <c r="K34" s="147">
        <v>22</v>
      </c>
      <c r="L34" s="152">
        <f>VLOOKUP(C34,coordMK!C:E,2,0)</f>
        <v>28.420459999999999</v>
      </c>
      <c r="M34" s="153">
        <f>VLOOKUP(C34,coordMK!C:E,3,0)</f>
        <v>-81.578979000000004</v>
      </c>
      <c r="R34" s="124">
        <v>22</v>
      </c>
      <c r="S34" s="130">
        <v>20</v>
      </c>
      <c r="T34" s="130">
        <v>50</v>
      </c>
      <c r="U34" s="130">
        <v>30</v>
      </c>
      <c r="V34" s="130">
        <v>25</v>
      </c>
      <c r="W34" s="130">
        <v>45</v>
      </c>
      <c r="X34" s="130">
        <v>20</v>
      </c>
      <c r="Y34" s="130">
        <v>70</v>
      </c>
      <c r="Z34" s="130">
        <v>10</v>
      </c>
      <c r="AA34" s="130">
        <v>75</v>
      </c>
      <c r="AB34" s="130">
        <v>45</v>
      </c>
      <c r="AC34" s="130">
        <v>105</v>
      </c>
      <c r="AD34" s="130">
        <v>65</v>
      </c>
      <c r="AE34" s="130">
        <v>20</v>
      </c>
      <c r="AF34" s="130">
        <v>35</v>
      </c>
      <c r="AG34" s="131">
        <v>25</v>
      </c>
    </row>
    <row r="35" spans="1:33" ht="15.75" thickBot="1">
      <c r="A35" s="7"/>
      <c r="B35" s="4"/>
      <c r="C35" s="4"/>
      <c r="D35" s="108">
        <f>SUM(D20:D34)</f>
        <v>0.41970222658300826</v>
      </c>
      <c r="F35" s="82">
        <f>SUM(F20:F34)</f>
        <v>0.88135110785843984</v>
      </c>
      <c r="G35" s="106">
        <f>SUM(G21:G34)</f>
        <v>1982.8287794794935</v>
      </c>
      <c r="H35" s="107">
        <f>SUM(H20:H34)</f>
        <v>450</v>
      </c>
      <c r="K35" s="82">
        <f>D35-SUM(D27:D30)</f>
        <v>0.30263082254833895</v>
      </c>
      <c r="R35" s="41"/>
      <c r="S35" s="109">
        <f>SUM(S20:S34)</f>
        <v>370</v>
      </c>
      <c r="T35" s="109">
        <f t="shared" ref="T35:AG35" si="23">SUM(T20:T34)</f>
        <v>690</v>
      </c>
      <c r="U35" s="109">
        <f t="shared" si="23"/>
        <v>580</v>
      </c>
      <c r="V35" s="109">
        <f t="shared" si="23"/>
        <v>300</v>
      </c>
      <c r="W35" s="109">
        <f t="shared" si="23"/>
        <v>625</v>
      </c>
      <c r="X35" s="109">
        <f t="shared" si="23"/>
        <v>275</v>
      </c>
      <c r="Y35" s="109">
        <f t="shared" si="23"/>
        <v>795</v>
      </c>
      <c r="Z35" s="109">
        <f t="shared" si="23"/>
        <v>170</v>
      </c>
      <c r="AA35" s="109">
        <f t="shared" si="23"/>
        <v>805</v>
      </c>
      <c r="AB35" s="109">
        <f t="shared" si="23"/>
        <v>540</v>
      </c>
      <c r="AC35" s="109">
        <f t="shared" si="23"/>
        <v>1265</v>
      </c>
      <c r="AD35" s="109">
        <f t="shared" si="23"/>
        <v>1015</v>
      </c>
      <c r="AE35" s="109">
        <f t="shared" si="23"/>
        <v>415</v>
      </c>
      <c r="AF35" s="109">
        <f t="shared" si="23"/>
        <v>415</v>
      </c>
      <c r="AG35" s="110">
        <f t="shared" si="23"/>
        <v>355</v>
      </c>
    </row>
    <row r="36" spans="1:33">
      <c r="C36" s="133" t="s">
        <v>3</v>
      </c>
      <c r="D36" s="134">
        <v>1</v>
      </c>
      <c r="F36" s="134">
        <v>0</v>
      </c>
      <c r="K36" s="82">
        <f>F35-SUM(F27:F30)</f>
        <v>0.60435300328899422</v>
      </c>
      <c r="R36" s="121" t="s">
        <v>7</v>
      </c>
      <c r="S36" s="119">
        <v>1</v>
      </c>
      <c r="T36" s="119">
        <v>2</v>
      </c>
      <c r="U36" s="119">
        <v>3</v>
      </c>
      <c r="V36" s="119">
        <v>4</v>
      </c>
      <c r="W36" s="119">
        <v>5</v>
      </c>
      <c r="X36" s="119">
        <v>6</v>
      </c>
      <c r="Y36" s="119">
        <v>7</v>
      </c>
      <c r="Z36" s="119">
        <v>8</v>
      </c>
      <c r="AA36" s="119">
        <v>9</v>
      </c>
      <c r="AB36" s="119">
        <v>10</v>
      </c>
      <c r="AC36" s="119">
        <v>11</v>
      </c>
      <c r="AD36" s="119">
        <v>12</v>
      </c>
      <c r="AE36" s="119">
        <v>13</v>
      </c>
      <c r="AF36" s="119">
        <v>14</v>
      </c>
      <c r="AG36" s="120">
        <v>15</v>
      </c>
    </row>
    <row r="37" spans="1:33" ht="15">
      <c r="L37" s="133" t="s">
        <v>31</v>
      </c>
      <c r="R37" s="124">
        <v>1</v>
      </c>
      <c r="S37" s="111">
        <f t="shared" ref="S37:S51" si="24">B3*B$18</f>
        <v>0</v>
      </c>
      <c r="T37" s="78">
        <f t="shared" ref="T37:T51" si="25">C3*C$18</f>
        <v>35.41571747416252</v>
      </c>
      <c r="U37" s="78">
        <f t="shared" ref="U37:U51" si="26">D3*D$18</f>
        <v>75.235308449802986</v>
      </c>
      <c r="V37" s="78">
        <f t="shared" ref="V37:V51" si="27">E3*E$18</f>
        <v>243.12415046854716</v>
      </c>
      <c r="W37" s="78">
        <f t="shared" ref="W37:W51" si="28">F3*F$18</f>
        <v>285.38608101250298</v>
      </c>
      <c r="X37" s="78">
        <f t="shared" ref="X37:X51" si="29">G3*G$18</f>
        <v>289.17855867575389</v>
      </c>
      <c r="Y37" s="78">
        <f t="shared" ref="Y37:Y51" si="30">H3*H$18</f>
        <v>422.239931684601</v>
      </c>
      <c r="Z37" s="78">
        <f t="shared" ref="Z37:Z51" si="31">I3*I$18</f>
        <v>299.18469658294089</v>
      </c>
      <c r="AA37" s="78">
        <f t="shared" ref="AA37:AA51" si="32">J3*J$18</f>
        <v>294.34674965435448</v>
      </c>
      <c r="AB37" s="78">
        <f t="shared" ref="AB37:AB51" si="33">K3*K$18</f>
        <v>243.58872607986012</v>
      </c>
      <c r="AC37" s="78">
        <f t="shared" ref="AC37:AC51" si="34">L3*L$18</f>
        <v>203.00393542072791</v>
      </c>
      <c r="AD37" s="78">
        <f t="shared" ref="AD37:AD51" si="35">M3*M$18</f>
        <v>476.53795812918798</v>
      </c>
      <c r="AE37" s="78">
        <f t="shared" ref="AE37:AE51" si="36">N3*N$18</f>
        <v>166.24766329420822</v>
      </c>
      <c r="AF37" s="78">
        <f t="shared" ref="AF37:AF51" si="37">O3*O$18</f>
        <v>43.627434418712667</v>
      </c>
      <c r="AG37" s="79">
        <f t="shared" ref="AG37:AG51" si="38">P3*P$18</f>
        <v>235.9205617282789</v>
      </c>
    </row>
    <row r="38" spans="1:33" ht="15">
      <c r="C38" s="108">
        <f>D35*D36</f>
        <v>0.41970222658300826</v>
      </c>
      <c r="E38" s="82">
        <f>F35*F36</f>
        <v>0</v>
      </c>
      <c r="G38" s="133" t="s">
        <v>8</v>
      </c>
      <c r="H38" s="113">
        <f>E38+C38</f>
        <v>0.41970222658300826</v>
      </c>
      <c r="I38" s="4"/>
      <c r="J38" s="4"/>
      <c r="K38" s="4"/>
      <c r="L38" s="133" t="s">
        <v>32</v>
      </c>
      <c r="R38" s="124">
        <v>2</v>
      </c>
      <c r="S38" s="78">
        <f t="shared" si="24"/>
        <v>35.41571747416252</v>
      </c>
      <c r="T38" s="111">
        <f t="shared" si="25"/>
        <v>0</v>
      </c>
      <c r="U38" s="78">
        <f t="shared" si="26"/>
        <v>44.436335182955069</v>
      </c>
      <c r="V38" s="78">
        <f t="shared" si="27"/>
        <v>273.1282170184997</v>
      </c>
      <c r="W38" s="78">
        <f t="shared" si="28"/>
        <v>257.94215654492939</v>
      </c>
      <c r="X38" s="78">
        <f t="shared" si="29"/>
        <v>268.18432904191525</v>
      </c>
      <c r="Y38" s="78">
        <f t="shared" si="30"/>
        <v>398.14575455830294</v>
      </c>
      <c r="Z38" s="78">
        <f t="shared" si="31"/>
        <v>273.11509923526529</v>
      </c>
      <c r="AA38" s="78">
        <f t="shared" si="32"/>
        <v>263.58393767409399</v>
      </c>
      <c r="AB38" s="78">
        <f t="shared" si="33"/>
        <v>219.53121870866028</v>
      </c>
      <c r="AC38" s="78">
        <f t="shared" si="34"/>
        <v>200.11373184634658</v>
      </c>
      <c r="AD38" s="78">
        <f t="shared" si="35"/>
        <v>456.11462948302579</v>
      </c>
      <c r="AE38" s="78">
        <f t="shared" si="36"/>
        <v>199.21786127021554</v>
      </c>
      <c r="AF38" s="78">
        <f t="shared" si="37"/>
        <v>79.03822260954027</v>
      </c>
      <c r="AG38" s="79">
        <f t="shared" si="38"/>
        <v>201.14756751767686</v>
      </c>
    </row>
    <row r="39" spans="1:33" ht="15">
      <c r="R39" s="124">
        <v>3</v>
      </c>
      <c r="S39" s="78">
        <f t="shared" si="24"/>
        <v>75.235308449802986</v>
      </c>
      <c r="T39" s="78">
        <f t="shared" si="25"/>
        <v>44.436335182955069</v>
      </c>
      <c r="U39" s="111">
        <f t="shared" si="26"/>
        <v>0</v>
      </c>
      <c r="V39" s="78">
        <f t="shared" si="27"/>
        <v>291.68873208474383</v>
      </c>
      <c r="W39" s="78">
        <f t="shared" si="28"/>
        <v>213.54567105456346</v>
      </c>
      <c r="X39" s="78">
        <f t="shared" si="29"/>
        <v>226.12164826396045</v>
      </c>
      <c r="Y39" s="78">
        <f t="shared" si="30"/>
        <v>354.40223799523591</v>
      </c>
      <c r="Z39" s="78">
        <f t="shared" si="31"/>
        <v>228.93534948956807</v>
      </c>
      <c r="AA39" s="78">
        <f t="shared" si="32"/>
        <v>219.64957303895187</v>
      </c>
      <c r="AB39" s="78">
        <f t="shared" si="33"/>
        <v>176.13361760590166</v>
      </c>
      <c r="AC39" s="78">
        <f t="shared" si="34"/>
        <v>175.53810902631469</v>
      </c>
      <c r="AD39" s="78">
        <f t="shared" si="35"/>
        <v>413.86441663557724</v>
      </c>
      <c r="AE39" s="78">
        <f t="shared" si="36"/>
        <v>225.4098968763337</v>
      </c>
      <c r="AF39" s="78">
        <f t="shared" si="37"/>
        <v>117.05948454950835</v>
      </c>
      <c r="AG39" s="79">
        <f t="shared" si="38"/>
        <v>163.05880626550467</v>
      </c>
    </row>
    <row r="40" spans="1:33" ht="15">
      <c r="L40" s="4"/>
      <c r="M40" s="4"/>
      <c r="N40" s="4"/>
      <c r="O40" s="4"/>
      <c r="P40" s="4"/>
      <c r="Q40" s="4"/>
      <c r="R40" s="124">
        <v>4</v>
      </c>
      <c r="S40" s="78">
        <f t="shared" si="24"/>
        <v>243.12415046854716</v>
      </c>
      <c r="T40" s="78">
        <f t="shared" si="25"/>
        <v>273.1282170184997</v>
      </c>
      <c r="U40" s="78">
        <f t="shared" si="26"/>
        <v>291.68873208474383</v>
      </c>
      <c r="V40" s="111">
        <f t="shared" si="27"/>
        <v>0</v>
      </c>
      <c r="W40" s="78">
        <f t="shared" si="28"/>
        <v>430.58523917795361</v>
      </c>
      <c r="X40" s="78">
        <f t="shared" si="29"/>
        <v>393.65678799828748</v>
      </c>
      <c r="Y40" s="78">
        <f t="shared" si="30"/>
        <v>523.92586826058493</v>
      </c>
      <c r="Z40" s="78">
        <f t="shared" si="31"/>
        <v>433.02117322658597</v>
      </c>
      <c r="AA40" s="78">
        <f t="shared" si="32"/>
        <v>460.99990848306379</v>
      </c>
      <c r="AB40" s="78">
        <f t="shared" si="33"/>
        <v>377.39239285121084</v>
      </c>
      <c r="AC40" s="78">
        <f t="shared" si="34"/>
        <v>243.50268764516565</v>
      </c>
      <c r="AD40" s="78">
        <f t="shared" si="35"/>
        <v>545.19424297983869</v>
      </c>
      <c r="AE40" s="78">
        <f t="shared" si="36"/>
        <v>85.530866119049492</v>
      </c>
      <c r="AF40" s="78">
        <f t="shared" si="37"/>
        <v>209.16282830150311</v>
      </c>
      <c r="AG40" s="79">
        <f t="shared" si="38"/>
        <v>443.65343531531397</v>
      </c>
    </row>
    <row r="41" spans="1:33" ht="15">
      <c r="C41" s="133" t="s">
        <v>64</v>
      </c>
      <c r="G41" s="82">
        <f>G35*3</f>
        <v>5948.4863384384807</v>
      </c>
      <c r="R41" s="124">
        <v>5</v>
      </c>
      <c r="S41" s="78">
        <f t="shared" si="24"/>
        <v>285.38608101250298</v>
      </c>
      <c r="T41" s="78">
        <f t="shared" si="25"/>
        <v>257.94215654492939</v>
      </c>
      <c r="U41" s="78">
        <f t="shared" si="26"/>
        <v>213.54567105456346</v>
      </c>
      <c r="V41" s="78">
        <f t="shared" si="27"/>
        <v>430.58523917795367</v>
      </c>
      <c r="W41" s="111">
        <f t="shared" si="28"/>
        <v>0</v>
      </c>
      <c r="X41" s="78">
        <f t="shared" si="29"/>
        <v>69.455125502039664</v>
      </c>
      <c r="Y41" s="78">
        <f t="shared" si="30"/>
        <v>146.08932876096961</v>
      </c>
      <c r="Z41" s="78">
        <f t="shared" si="31"/>
        <v>21.968778976333269</v>
      </c>
      <c r="AA41" s="78">
        <f t="shared" si="32"/>
        <v>46.120406617537434</v>
      </c>
      <c r="AB41" s="78">
        <f t="shared" si="33"/>
        <v>53.252802281154523</v>
      </c>
      <c r="AC41" s="78">
        <f t="shared" si="34"/>
        <v>196.18586926043142</v>
      </c>
      <c r="AD41" s="78">
        <f t="shared" si="35"/>
        <v>217.34893875517616</v>
      </c>
      <c r="AE41" s="78">
        <f t="shared" si="36"/>
        <v>394.82939421009377</v>
      </c>
      <c r="AF41" s="78">
        <f t="shared" si="37"/>
        <v>321.85836784012554</v>
      </c>
      <c r="AG41" s="79">
        <f t="shared" si="38"/>
        <v>130.10141514607648</v>
      </c>
    </row>
    <row r="42" spans="1:33" ht="15">
      <c r="C42" s="133" t="s">
        <v>65</v>
      </c>
      <c r="G42" s="82">
        <f>G41/5280</f>
        <v>1.1266072610678941</v>
      </c>
      <c r="R42" s="124">
        <v>6</v>
      </c>
      <c r="S42" s="78">
        <f t="shared" si="24"/>
        <v>289.17855867575389</v>
      </c>
      <c r="T42" s="78">
        <f t="shared" si="25"/>
        <v>268.18432904191525</v>
      </c>
      <c r="U42" s="78">
        <f t="shared" si="26"/>
        <v>226.12164826396042</v>
      </c>
      <c r="V42" s="78">
        <f t="shared" si="27"/>
        <v>393.6567879982876</v>
      </c>
      <c r="W42" s="78">
        <f t="shared" si="28"/>
        <v>69.455125502039664</v>
      </c>
      <c r="X42" s="111">
        <f t="shared" si="29"/>
        <v>0</v>
      </c>
      <c r="Y42" s="78">
        <f t="shared" si="30"/>
        <v>137.10365996034804</v>
      </c>
      <c r="Z42" s="78">
        <f t="shared" si="31"/>
        <v>54.816916820998742</v>
      </c>
      <c r="AA42" s="78">
        <f t="shared" si="32"/>
        <v>115.54084629340072</v>
      </c>
      <c r="AB42" s="78">
        <f t="shared" si="33"/>
        <v>55.115949607657377</v>
      </c>
      <c r="AC42" s="78">
        <f t="shared" si="34"/>
        <v>150.6555634966613</v>
      </c>
      <c r="AD42" s="78">
        <f t="shared" si="35"/>
        <v>187.93059434003794</v>
      </c>
      <c r="AE42" s="78">
        <f t="shared" si="36"/>
        <v>370.49370442246158</v>
      </c>
      <c r="AF42" s="78">
        <f t="shared" si="37"/>
        <v>319.2524065418915</v>
      </c>
      <c r="AG42" s="79">
        <f t="shared" si="38"/>
        <v>189.22843379725697</v>
      </c>
    </row>
    <row r="43" spans="1:33" ht="15">
      <c r="C43" s="133" t="s">
        <v>66</v>
      </c>
      <c r="G43" s="82">
        <f>H35/60</f>
        <v>7.5</v>
      </c>
      <c r="R43" s="124">
        <v>7</v>
      </c>
      <c r="S43" s="78">
        <f t="shared" si="24"/>
        <v>422.239931684601</v>
      </c>
      <c r="T43" s="78">
        <f t="shared" si="25"/>
        <v>398.14575455830294</v>
      </c>
      <c r="U43" s="78">
        <f t="shared" si="26"/>
        <v>354.40223799523591</v>
      </c>
      <c r="V43" s="78">
        <f t="shared" si="27"/>
        <v>523.92586826058493</v>
      </c>
      <c r="W43" s="78">
        <f t="shared" si="28"/>
        <v>146.08932876096961</v>
      </c>
      <c r="X43" s="78">
        <f t="shared" si="29"/>
        <v>137.10365996034804</v>
      </c>
      <c r="Y43" s="111">
        <f t="shared" si="30"/>
        <v>0</v>
      </c>
      <c r="Z43" s="78">
        <f t="shared" si="31"/>
        <v>127.04302098859857</v>
      </c>
      <c r="AA43" s="78">
        <f t="shared" si="32"/>
        <v>166.51786372548233</v>
      </c>
      <c r="AB43" s="78">
        <f t="shared" si="33"/>
        <v>178.79249083232054</v>
      </c>
      <c r="AC43" s="78">
        <f t="shared" si="34"/>
        <v>281.09763747137629</v>
      </c>
      <c r="AD43" s="78">
        <f t="shared" si="35"/>
        <v>80.985227741250185</v>
      </c>
      <c r="AE43" s="78">
        <f t="shared" si="36"/>
        <v>506.44970871063845</v>
      </c>
      <c r="AF43" s="78">
        <f t="shared" si="37"/>
        <v>454.60608976349619</v>
      </c>
      <c r="AG43" s="79">
        <f t="shared" si="38"/>
        <v>266.95448741353545</v>
      </c>
    </row>
    <row r="44" spans="1:33" ht="15">
      <c r="C44" s="133" t="s">
        <v>67</v>
      </c>
      <c r="R44" s="124">
        <v>8</v>
      </c>
      <c r="S44" s="78">
        <f t="shared" si="24"/>
        <v>299.18469658294089</v>
      </c>
      <c r="T44" s="78">
        <f t="shared" si="25"/>
        <v>273.11509923526529</v>
      </c>
      <c r="U44" s="78">
        <f t="shared" si="26"/>
        <v>228.93534948956807</v>
      </c>
      <c r="V44" s="78">
        <f t="shared" si="27"/>
        <v>433.02117322658592</v>
      </c>
      <c r="W44" s="78">
        <f t="shared" si="28"/>
        <v>21.968778976333269</v>
      </c>
      <c r="X44" s="78">
        <f t="shared" si="29"/>
        <v>54.816916820998742</v>
      </c>
      <c r="Y44" s="78">
        <f t="shared" si="30"/>
        <v>127.04302098859856</v>
      </c>
      <c r="Z44" s="111">
        <f t="shared" si="31"/>
        <v>0</v>
      </c>
      <c r="AA44" s="78">
        <f t="shared" si="32"/>
        <v>63.794208341811625</v>
      </c>
      <c r="AB44" s="78">
        <f t="shared" si="33"/>
        <v>58.440074323805938</v>
      </c>
      <c r="AC44" s="78">
        <f t="shared" si="34"/>
        <v>194.30568622833707</v>
      </c>
      <c r="AD44" s="78">
        <f t="shared" si="35"/>
        <v>196.24129880676139</v>
      </c>
      <c r="AE44" s="78">
        <f t="shared" si="36"/>
        <v>401.34210495569926</v>
      </c>
      <c r="AF44" s="78">
        <f t="shared" si="37"/>
        <v>334.23445421028055</v>
      </c>
      <c r="AG44" s="79">
        <f t="shared" si="38"/>
        <v>152.05756119461753</v>
      </c>
    </row>
    <row r="45" spans="1:33" ht="15">
      <c r="C45" s="133" t="s">
        <v>68</v>
      </c>
      <c r="R45" s="124">
        <v>9</v>
      </c>
      <c r="S45" s="78">
        <f t="shared" si="24"/>
        <v>294.34674965435448</v>
      </c>
      <c r="T45" s="78">
        <f t="shared" si="25"/>
        <v>263.58393767409399</v>
      </c>
      <c r="U45" s="78">
        <f t="shared" si="26"/>
        <v>219.64957303895184</v>
      </c>
      <c r="V45" s="78">
        <f t="shared" si="27"/>
        <v>460.99990848306379</v>
      </c>
      <c r="W45" s="78">
        <f t="shared" si="28"/>
        <v>46.120406617537441</v>
      </c>
      <c r="X45" s="78">
        <f t="shared" si="29"/>
        <v>115.54084629340073</v>
      </c>
      <c r="Y45" s="78">
        <f t="shared" si="30"/>
        <v>166.51786372548233</v>
      </c>
      <c r="Z45" s="78">
        <f t="shared" si="31"/>
        <v>63.794208341811625</v>
      </c>
      <c r="AA45" s="111">
        <f t="shared" si="32"/>
        <v>0</v>
      </c>
      <c r="AB45" s="78">
        <f t="shared" si="33"/>
        <v>90.664956666995778</v>
      </c>
      <c r="AC45" s="78">
        <f t="shared" si="34"/>
        <v>234.26543137137054</v>
      </c>
      <c r="AD45" s="78">
        <f t="shared" si="35"/>
        <v>244.21262443256944</v>
      </c>
      <c r="AE45" s="78">
        <f t="shared" si="36"/>
        <v>418.58691675179392</v>
      </c>
      <c r="AF45" s="78">
        <f t="shared" si="37"/>
        <v>333.91043574757589</v>
      </c>
      <c r="AG45" s="79">
        <f t="shared" si="38"/>
        <v>100.53876287995733</v>
      </c>
    </row>
    <row r="46" spans="1:33" ht="15">
      <c r="R46" s="124">
        <v>10</v>
      </c>
      <c r="S46" s="78">
        <f t="shared" si="24"/>
        <v>243.58872607986009</v>
      </c>
      <c r="T46" s="78">
        <f t="shared" si="25"/>
        <v>219.53121870866028</v>
      </c>
      <c r="U46" s="78">
        <f t="shared" si="26"/>
        <v>176.13361760590169</v>
      </c>
      <c r="V46" s="78">
        <f t="shared" si="27"/>
        <v>377.39239285121084</v>
      </c>
      <c r="W46" s="78">
        <f t="shared" si="28"/>
        <v>53.252802281154523</v>
      </c>
      <c r="X46" s="78">
        <f t="shared" si="29"/>
        <v>55.11594960765737</v>
      </c>
      <c r="Y46" s="78">
        <f t="shared" si="30"/>
        <v>178.79249083232051</v>
      </c>
      <c r="Z46" s="78">
        <f t="shared" si="31"/>
        <v>58.440074323805938</v>
      </c>
      <c r="AA46" s="78">
        <f t="shared" si="32"/>
        <v>90.664956666995778</v>
      </c>
      <c r="AB46" s="111">
        <f t="shared" si="33"/>
        <v>0</v>
      </c>
      <c r="AC46" s="78">
        <f t="shared" si="34"/>
        <v>144.14840241197871</v>
      </c>
      <c r="AD46" s="78">
        <f t="shared" si="35"/>
        <v>238.93956076898075</v>
      </c>
      <c r="AE46" s="78">
        <f t="shared" si="36"/>
        <v>343.23800472175242</v>
      </c>
      <c r="AF46" s="78">
        <f t="shared" si="37"/>
        <v>277.19471876766289</v>
      </c>
      <c r="AG46" s="79">
        <f t="shared" si="38"/>
        <v>140.34652822183338</v>
      </c>
    </row>
    <row r="47" spans="1:33" ht="15">
      <c r="R47" s="124">
        <v>11</v>
      </c>
      <c r="S47" s="78">
        <f t="shared" si="24"/>
        <v>203.00393542072791</v>
      </c>
      <c r="T47" s="78">
        <f t="shared" si="25"/>
        <v>200.11373184634658</v>
      </c>
      <c r="U47" s="78">
        <f t="shared" si="26"/>
        <v>175.53810902631469</v>
      </c>
      <c r="V47" s="78">
        <f t="shared" si="27"/>
        <v>243.50268764516565</v>
      </c>
      <c r="W47" s="78">
        <f t="shared" si="28"/>
        <v>196.18586926043142</v>
      </c>
      <c r="X47" s="78">
        <f t="shared" si="29"/>
        <v>150.6555634966613</v>
      </c>
      <c r="Y47" s="78">
        <f t="shared" si="30"/>
        <v>281.09763747137629</v>
      </c>
      <c r="Z47" s="78">
        <f t="shared" si="31"/>
        <v>194.30568622833701</v>
      </c>
      <c r="AA47" s="78">
        <f t="shared" si="32"/>
        <v>234.26543137137054</v>
      </c>
      <c r="AB47" s="78">
        <f t="shared" si="33"/>
        <v>144.14840241197871</v>
      </c>
      <c r="AC47" s="111">
        <f t="shared" si="34"/>
        <v>0</v>
      </c>
      <c r="AD47" s="78">
        <f t="shared" si="35"/>
        <v>310.40995171196965</v>
      </c>
      <c r="AE47" s="78">
        <f t="shared" si="36"/>
        <v>229.52406256746684</v>
      </c>
      <c r="AF47" s="78">
        <f t="shared" si="37"/>
        <v>215.60524896378325</v>
      </c>
      <c r="AG47" s="79">
        <f t="shared" si="38"/>
        <v>253.90774206554249</v>
      </c>
    </row>
    <row r="48" spans="1:33" ht="15">
      <c r="R48" s="124">
        <v>12</v>
      </c>
      <c r="S48" s="78">
        <f t="shared" si="24"/>
        <v>476.53795812918798</v>
      </c>
      <c r="T48" s="78">
        <f t="shared" si="25"/>
        <v>456.11462948302579</v>
      </c>
      <c r="U48" s="78">
        <f t="shared" si="26"/>
        <v>413.86441663557724</v>
      </c>
      <c r="V48" s="78">
        <f t="shared" si="27"/>
        <v>545.19424297983869</v>
      </c>
      <c r="W48" s="78">
        <f t="shared" si="28"/>
        <v>217.34893875517614</v>
      </c>
      <c r="X48" s="78">
        <f t="shared" si="29"/>
        <v>187.93059434003794</v>
      </c>
      <c r="Y48" s="78">
        <f t="shared" si="30"/>
        <v>80.985227741250185</v>
      </c>
      <c r="Z48" s="78">
        <f t="shared" si="31"/>
        <v>196.24129880676142</v>
      </c>
      <c r="AA48" s="78">
        <f t="shared" si="32"/>
        <v>244.21262443256944</v>
      </c>
      <c r="AB48" s="78">
        <f t="shared" si="33"/>
        <v>238.93956076898075</v>
      </c>
      <c r="AC48" s="78">
        <f t="shared" si="34"/>
        <v>310.40995171196965</v>
      </c>
      <c r="AD48" s="111">
        <f t="shared" si="35"/>
        <v>0</v>
      </c>
      <c r="AE48" s="78">
        <f t="shared" si="36"/>
        <v>539.93396275766452</v>
      </c>
      <c r="AF48" s="78">
        <f t="shared" si="37"/>
        <v>504.71867173682426</v>
      </c>
      <c r="AG48" s="79">
        <f t="shared" si="38"/>
        <v>343.71766130424044</v>
      </c>
    </row>
    <row r="49" spans="18:33" ht="15">
      <c r="R49" s="124">
        <v>13</v>
      </c>
      <c r="S49" s="78">
        <f t="shared" si="24"/>
        <v>166.24766329420825</v>
      </c>
      <c r="T49" s="78">
        <f t="shared" si="25"/>
        <v>199.21786127021554</v>
      </c>
      <c r="U49" s="78">
        <f t="shared" si="26"/>
        <v>225.4098968763337</v>
      </c>
      <c r="V49" s="78">
        <f t="shared" si="27"/>
        <v>85.530866119049492</v>
      </c>
      <c r="W49" s="78">
        <f t="shared" si="28"/>
        <v>394.82939421009377</v>
      </c>
      <c r="X49" s="78">
        <f t="shared" si="29"/>
        <v>370.49370442246152</v>
      </c>
      <c r="Y49" s="78">
        <f t="shared" si="30"/>
        <v>506.44970871063845</v>
      </c>
      <c r="Z49" s="78">
        <f t="shared" si="31"/>
        <v>401.34210495569931</v>
      </c>
      <c r="AA49" s="78">
        <f t="shared" si="32"/>
        <v>418.58691675179392</v>
      </c>
      <c r="AB49" s="78">
        <f t="shared" si="33"/>
        <v>343.23800472175242</v>
      </c>
      <c r="AC49" s="78">
        <f t="shared" si="34"/>
        <v>229.52406256746684</v>
      </c>
      <c r="AD49" s="78">
        <f t="shared" si="35"/>
        <v>539.93396275766452</v>
      </c>
      <c r="AE49" s="111">
        <f t="shared" si="36"/>
        <v>0</v>
      </c>
      <c r="AF49" s="78">
        <f t="shared" si="37"/>
        <v>127.97216072056759</v>
      </c>
      <c r="AG49" s="79">
        <f t="shared" si="38"/>
        <v>385.50102343587747</v>
      </c>
    </row>
    <row r="50" spans="18:33" ht="15">
      <c r="R50" s="124">
        <v>14</v>
      </c>
      <c r="S50" s="78">
        <f t="shared" si="24"/>
        <v>43.627434418712667</v>
      </c>
      <c r="T50" s="78">
        <f t="shared" si="25"/>
        <v>79.03822260954027</v>
      </c>
      <c r="U50" s="78">
        <f t="shared" si="26"/>
        <v>117.05948454950837</v>
      </c>
      <c r="V50" s="78">
        <f t="shared" si="27"/>
        <v>209.16282830150308</v>
      </c>
      <c r="W50" s="78">
        <f t="shared" si="28"/>
        <v>321.85836784012554</v>
      </c>
      <c r="X50" s="78">
        <f t="shared" si="29"/>
        <v>319.2524065418915</v>
      </c>
      <c r="Y50" s="78">
        <f t="shared" si="30"/>
        <v>454.60608976349624</v>
      </c>
      <c r="Z50" s="78">
        <f t="shared" si="31"/>
        <v>334.23445421028055</v>
      </c>
      <c r="AA50" s="78">
        <f t="shared" si="32"/>
        <v>333.91043574757589</v>
      </c>
      <c r="AB50" s="78">
        <f t="shared" si="33"/>
        <v>277.19471876766289</v>
      </c>
      <c r="AC50" s="78">
        <f t="shared" si="34"/>
        <v>215.60524896378325</v>
      </c>
      <c r="AD50" s="78">
        <f t="shared" si="35"/>
        <v>504.71867173682426</v>
      </c>
      <c r="AE50" s="78">
        <f t="shared" si="36"/>
        <v>127.9721607205676</v>
      </c>
      <c r="AF50" s="111">
        <f t="shared" si="37"/>
        <v>0</v>
      </c>
      <c r="AG50" s="79">
        <f t="shared" si="38"/>
        <v>279.11449624635367</v>
      </c>
    </row>
    <row r="51" spans="18:33" ht="15.75" thickBot="1">
      <c r="R51" s="132">
        <v>15</v>
      </c>
      <c r="S51" s="80">
        <f t="shared" si="24"/>
        <v>235.92056172827887</v>
      </c>
      <c r="T51" s="80">
        <f t="shared" si="25"/>
        <v>201.14756751767686</v>
      </c>
      <c r="U51" s="80">
        <f t="shared" si="26"/>
        <v>163.05880626550467</v>
      </c>
      <c r="V51" s="80">
        <f t="shared" si="27"/>
        <v>443.65343531531397</v>
      </c>
      <c r="W51" s="80">
        <f t="shared" si="28"/>
        <v>130.10141514607648</v>
      </c>
      <c r="X51" s="80">
        <f t="shared" si="29"/>
        <v>189.22843379725694</v>
      </c>
      <c r="Y51" s="80">
        <f t="shared" si="30"/>
        <v>266.95448741353545</v>
      </c>
      <c r="Z51" s="80">
        <f t="shared" si="31"/>
        <v>152.05756119461753</v>
      </c>
      <c r="AA51" s="80">
        <f t="shared" si="32"/>
        <v>100.53876287995732</v>
      </c>
      <c r="AB51" s="80">
        <f t="shared" si="33"/>
        <v>140.34652822183338</v>
      </c>
      <c r="AC51" s="80">
        <f t="shared" si="34"/>
        <v>253.90774206554252</v>
      </c>
      <c r="AD51" s="80">
        <f t="shared" si="35"/>
        <v>343.71766130424044</v>
      </c>
      <c r="AE51" s="80">
        <f t="shared" si="36"/>
        <v>385.50102343587747</v>
      </c>
      <c r="AF51" s="80">
        <f t="shared" si="37"/>
        <v>279.11449624635367</v>
      </c>
      <c r="AG51" s="112">
        <f t="shared" si="38"/>
        <v>0</v>
      </c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C20907-F97D-4E37-95C0-BB6C84822D2B}">
  <dimension ref="A1:AH51"/>
  <sheetViews>
    <sheetView topLeftCell="A16" workbookViewId="0">
      <selection activeCell="M19" sqref="A19:M34"/>
    </sheetView>
  </sheetViews>
  <sheetFormatPr defaultRowHeight="14.25"/>
  <cols>
    <col min="1" max="1" width="11.625" bestFit="1" customWidth="1"/>
    <col min="2" max="2" width="14.75" bestFit="1" customWidth="1"/>
    <col min="3" max="3" width="18.5" customWidth="1"/>
    <col min="4" max="4" width="7.625" customWidth="1"/>
    <col min="5" max="5" width="7.75" bestFit="1" customWidth="1"/>
    <col min="6" max="6" width="9.75" customWidth="1"/>
    <col min="7" max="7" width="7.875" customWidth="1"/>
    <col min="8" max="8" width="8" customWidth="1"/>
    <col min="9" max="12" width="7.375" bestFit="1" customWidth="1"/>
    <col min="13" max="13" width="7.625" customWidth="1"/>
    <col min="14" max="16" width="7.375" bestFit="1" customWidth="1"/>
    <col min="17" max="17" width="37.875" bestFit="1" customWidth="1"/>
    <col min="18" max="18" width="18.25" customWidth="1"/>
    <col min="19" max="19" width="12.75" bestFit="1" customWidth="1"/>
    <col min="20" max="34" width="6.125" customWidth="1"/>
    <col min="35" max="35" width="15.75" bestFit="1" customWidth="1"/>
  </cols>
  <sheetData>
    <row r="1" spans="1:34" ht="48.75" customHeight="1" thickBot="1">
      <c r="A1" s="125" t="s">
        <v>41</v>
      </c>
      <c r="B1" s="116" t="s">
        <v>5</v>
      </c>
      <c r="C1" s="25"/>
      <c r="D1" s="25"/>
      <c r="E1" s="25"/>
      <c r="F1" s="25"/>
      <c r="G1" s="25"/>
      <c r="H1" s="25"/>
      <c r="I1" s="25"/>
      <c r="J1" s="25"/>
      <c r="K1" s="25"/>
      <c r="L1" s="25"/>
      <c r="M1" s="25"/>
      <c r="N1" s="25"/>
      <c r="O1" s="25"/>
      <c r="P1" s="25"/>
      <c r="Q1" s="117" t="s">
        <v>40</v>
      </c>
      <c r="R1" s="117" t="s">
        <v>11</v>
      </c>
      <c r="S1" s="118" t="s">
        <v>6</v>
      </c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</row>
    <row r="2" spans="1:34">
      <c r="A2" s="121" t="s">
        <v>5</v>
      </c>
      <c r="B2" s="119">
        <v>1</v>
      </c>
      <c r="C2" s="119">
        <v>2</v>
      </c>
      <c r="D2" s="119">
        <v>3</v>
      </c>
      <c r="E2" s="119">
        <v>4</v>
      </c>
      <c r="F2" s="119">
        <v>5</v>
      </c>
      <c r="G2" s="119">
        <v>6</v>
      </c>
      <c r="H2" s="119">
        <v>7</v>
      </c>
      <c r="I2" s="119">
        <v>8</v>
      </c>
      <c r="J2" s="119">
        <v>9</v>
      </c>
      <c r="K2" s="119">
        <v>10</v>
      </c>
      <c r="L2" s="119">
        <v>11</v>
      </c>
      <c r="M2" s="119">
        <v>12</v>
      </c>
      <c r="N2" s="119">
        <v>13</v>
      </c>
      <c r="O2" s="119">
        <v>14</v>
      </c>
      <c r="P2" s="120">
        <v>15</v>
      </c>
      <c r="R2" s="121" t="s">
        <v>12</v>
      </c>
      <c r="S2" s="119">
        <v>1</v>
      </c>
      <c r="T2" s="119">
        <v>2</v>
      </c>
      <c r="U2" s="119">
        <v>3</v>
      </c>
      <c r="V2" s="119">
        <v>4</v>
      </c>
      <c r="W2" s="119">
        <v>5</v>
      </c>
      <c r="X2" s="119">
        <v>6</v>
      </c>
      <c r="Y2" s="119">
        <v>7</v>
      </c>
      <c r="Z2" s="119">
        <v>8</v>
      </c>
      <c r="AA2" s="119">
        <v>9</v>
      </c>
      <c r="AB2" s="119">
        <v>10</v>
      </c>
      <c r="AC2" s="119">
        <v>11</v>
      </c>
      <c r="AD2" s="119">
        <v>12</v>
      </c>
      <c r="AE2" s="119">
        <v>13</v>
      </c>
      <c r="AF2" s="119">
        <v>14</v>
      </c>
      <c r="AG2" s="120">
        <v>15</v>
      </c>
      <c r="AH2" s="122" t="s">
        <v>13</v>
      </c>
    </row>
    <row r="3" spans="1:34" ht="15.75" customHeight="1">
      <c r="A3" s="124">
        <v>1</v>
      </c>
      <c r="B3" s="72">
        <f>(getDistance(coord!C1,coord!D1,coord!$C$1,coord!$D$1)*1000)/$B$18</f>
        <v>0</v>
      </c>
      <c r="C3" s="73">
        <f>(getDistance(coord!C1,coord!D1,coord!$C$2,coord!$D$2)*1000)/$C$18</f>
        <v>1.117527131493248E-2</v>
      </c>
      <c r="D3" s="73">
        <f>(getDistance(coord!$C1,coord!$D1,coord!$C$3,coord!$D$3)*1000)/$D$18</f>
        <v>2.5720776653345583E-2</v>
      </c>
      <c r="E3" s="73">
        <f>(getDistance(coord!$C1,coord!$D1,coord!$C$4,coord!$D$4)*1000)/$E$18</f>
        <v>4.9070720717916162E-2</v>
      </c>
      <c r="F3" s="73">
        <f>(getDistance(coord!$C1,coord!$D1,coord!$C$5,coord!$D$5)*1000)/$F$18</f>
        <v>0.10248471975285137</v>
      </c>
      <c r="G3" s="73">
        <f>(getDistance(coord!$C1,coord!$D1,coord!$C$6,coord!$D$6)*1000)/$G$18</f>
        <v>0.10230127949494407</v>
      </c>
      <c r="H3" s="73">
        <f>(getDistance(coord!$C1,coord!$D1,coord!$C$7,coord!$D$7)*1000)/$H$18</f>
        <v>0.10440233568696755</v>
      </c>
      <c r="I3" s="73">
        <f>(getDistance(coord!$C1,coord!$D1,coord!$C$8,coord!$D$8)*1000)/$I$18</f>
        <v>0.10540237870618735</v>
      </c>
      <c r="J3" s="73">
        <f>(getDistance(coord!$C1,coord!$D1,coord!$C$9,coord!$D$9)*1000)/$J$18</f>
        <v>9.6420743685199664E-2</v>
      </c>
      <c r="K3" s="73">
        <f>(getDistance(coord!$C1,coord!$D1,coord!$C$10,coord!$D$10)*1000)/$K$18</f>
        <v>9.3804164484117755E-2</v>
      </c>
      <c r="L3" s="73">
        <f>(getDistance(coord!$C1,coord!$D1,coord!$C$11,coord!$D$11)*1000)/$L$18</f>
        <v>6.6947974001657556E-2</v>
      </c>
      <c r="M3" s="73">
        <f>(getDistance(coord!$C1,coord!$D1,coord!$C$12,coord!$D$12)*1000)/$M$18</f>
        <v>0.10019406120946865</v>
      </c>
      <c r="N3" s="73">
        <f>(getDistance(coord!$C1,coord!$D1,coord!$C$13,coord!$D$13)*1000)/$N$18</f>
        <v>3.7832765385205913E-2</v>
      </c>
      <c r="O3" s="73">
        <f>(getDistance(coord!$C1,coord!$D1,coord!$C$14,coord!$D$14)*1000)/$O$18</f>
        <v>1.2060589622102796E-2</v>
      </c>
      <c r="P3" s="101">
        <f>(getDistance(coord!$C1,coord!$D1,coord!$C$15,coord!$D$15)*1000)/$P$18</f>
        <v>7.1812090617403165E-2</v>
      </c>
      <c r="Q3" s="123" t="s">
        <v>69</v>
      </c>
      <c r="R3" s="124">
        <v>8</v>
      </c>
      <c r="S3" s="103">
        <f t="shared" ref="S3:AG17" si="0">S20/S$18</f>
        <v>2.7027027027027029E-2</v>
      </c>
      <c r="T3" s="103">
        <f t="shared" si="0"/>
        <v>3.6231884057971016E-2</v>
      </c>
      <c r="U3" s="103">
        <f t="shared" si="0"/>
        <v>8.6206896551724137E-3</v>
      </c>
      <c r="V3" s="103">
        <f t="shared" si="0"/>
        <v>3.3333333333333333E-2</v>
      </c>
      <c r="W3" s="103">
        <f t="shared" si="0"/>
        <v>0.04</v>
      </c>
      <c r="X3" s="103">
        <f t="shared" si="0"/>
        <v>3.6363636363636362E-2</v>
      </c>
      <c r="Y3" s="103">
        <f t="shared" si="0"/>
        <v>5.0314465408805034E-2</v>
      </c>
      <c r="Z3" s="103">
        <f t="shared" si="0"/>
        <v>2.9411764705882353E-2</v>
      </c>
      <c r="AA3" s="103">
        <f t="shared" si="0"/>
        <v>6.2111801242236021E-3</v>
      </c>
      <c r="AB3" s="103">
        <f t="shared" si="0"/>
        <v>1.8518518518518517E-2</v>
      </c>
      <c r="AC3" s="103">
        <f t="shared" si="0"/>
        <v>7.9051383399209481E-3</v>
      </c>
      <c r="AD3" s="103">
        <f t="shared" si="0"/>
        <v>6.8965517241379309E-2</v>
      </c>
      <c r="AE3" s="103">
        <f t="shared" si="0"/>
        <v>1.2048192771084338E-2</v>
      </c>
      <c r="AF3" s="103">
        <f t="shared" si="0"/>
        <v>1.2048192771084338E-2</v>
      </c>
      <c r="AG3" s="104">
        <f t="shared" si="0"/>
        <v>4.2253521126760563E-2</v>
      </c>
      <c r="AH3" s="82">
        <f t="shared" ref="AH3:AH17" si="1">AVERAGE(S3:AG3)</f>
        <v>2.8616870762986604E-2</v>
      </c>
    </row>
    <row r="4" spans="1:34" ht="15.75" customHeight="1">
      <c r="A4" s="124">
        <v>2</v>
      </c>
      <c r="B4" s="73">
        <f>(getDistance(coord!C2,coord!D2,coord!$C$1,coord!$D$1)*1000)/$B$18</f>
        <v>1.0689802865799129E-2</v>
      </c>
      <c r="C4" s="72">
        <f>(getDistance(coord!C2,coord!D2,coord!$C$2,coord!$D$2)*1000)/$C$18</f>
        <v>0</v>
      </c>
      <c r="D4" s="73">
        <f>(getDistance(coord!$C2,coord!$D2,coord!$C$3,coord!$D$3)*1000)/$D$18</f>
        <v>1.5191498195246419E-2</v>
      </c>
      <c r="E4" s="73">
        <f>(getDistance(coord!$C2,coord!$D2,coord!$C$4,coord!$D$4)*1000)/$E$18</f>
        <v>5.5126561601008373E-2</v>
      </c>
      <c r="F4" s="73">
        <f>(getDistance(coord!$C2,coord!$D2,coord!$C$5,coord!$D$5)*1000)/$F$18</f>
        <v>9.2629358559344246E-2</v>
      </c>
      <c r="G4" s="73">
        <f>(getDistance(coord!$C2,coord!$D2,coord!$C$6,coord!$D$6)*1000)/$G$18</f>
        <v>9.4874253911209322E-2</v>
      </c>
      <c r="H4" s="73">
        <f>(getDistance(coord!$C2,coord!$D2,coord!$C$7,coord!$D$7)*1000)/$H$18</f>
        <v>9.8444849955087482E-2</v>
      </c>
      <c r="I4" s="73">
        <f>(getDistance(coord!$C2,coord!$D2,coord!$C$8,coord!$D$8)*1000)/$I$18</f>
        <v>9.6218093534717122E-2</v>
      </c>
      <c r="J4" s="73">
        <f>(getDistance(coord!$C2,coord!$D2,coord!$C$9,coord!$D$9)*1000)/$J$18</f>
        <v>8.6343604350493902E-2</v>
      </c>
      <c r="K4" s="73">
        <f>(getDistance(coord!$C2,coord!$D2,coord!$C$10,coord!$D$10)*1000)/$K$18</f>
        <v>8.4539801494731906E-2</v>
      </c>
      <c r="L4" s="73">
        <f>(getDistance(coord!$C2,coord!$D2,coord!$C$11,coord!$D$11)*1000)/$L$18</f>
        <v>6.5994823643482664E-2</v>
      </c>
      <c r="M4" s="73">
        <f>(getDistance(coord!$C2,coord!$D2,coord!$C$12,coord!$D$12)*1000)/$M$18</f>
        <v>9.5899972552799834E-2</v>
      </c>
      <c r="N4" s="73">
        <f>(getDistance(coord!$C2,coord!$D2,coord!$C$13,coord!$D$13)*1000)/$N$18</f>
        <v>4.5335750630313601E-2</v>
      </c>
      <c r="O4" s="73">
        <f>(getDistance(coord!$C2,coord!$D2,coord!$C$14,coord!$D$14)*1000)/$O$18</f>
        <v>2.1849727815881039E-2</v>
      </c>
      <c r="P4" s="101">
        <f>(getDistance(coord!$C2,coord!$D2,coord!$C$15,coord!$D$15)*1000)/$P$18</f>
        <v>6.122750488652378E-2</v>
      </c>
      <c r="Q4" s="123" t="s">
        <v>70</v>
      </c>
      <c r="R4" s="124">
        <v>9</v>
      </c>
      <c r="S4" s="103">
        <f t="shared" ref="S4:S17" si="2">S21/$S$18</f>
        <v>6.7567567567567571E-2</v>
      </c>
      <c r="T4" s="103">
        <f t="shared" si="0"/>
        <v>9.420289855072464E-2</v>
      </c>
      <c r="U4" s="103">
        <f t="shared" si="0"/>
        <v>6.0344827586206899E-2</v>
      </c>
      <c r="V4" s="103">
        <f t="shared" si="0"/>
        <v>0.05</v>
      </c>
      <c r="W4" s="103">
        <f t="shared" si="0"/>
        <v>6.4000000000000001E-2</v>
      </c>
      <c r="X4" s="103">
        <f t="shared" si="0"/>
        <v>1.8181818181818181E-2</v>
      </c>
      <c r="Y4" s="103">
        <f t="shared" si="0"/>
        <v>4.40251572327044E-2</v>
      </c>
      <c r="Z4" s="103">
        <f t="shared" si="0"/>
        <v>8.8235294117647065E-2</v>
      </c>
      <c r="AA4" s="103">
        <f t="shared" si="0"/>
        <v>6.2111801242236021E-3</v>
      </c>
      <c r="AB4" s="103">
        <f t="shared" si="0"/>
        <v>5.5555555555555552E-2</v>
      </c>
      <c r="AC4" s="103">
        <f t="shared" si="0"/>
        <v>7.9051383399209481E-3</v>
      </c>
      <c r="AD4" s="103">
        <f t="shared" si="0"/>
        <v>5.9113300492610835E-2</v>
      </c>
      <c r="AE4" s="103">
        <f t="shared" si="0"/>
        <v>1.2048192771084338E-2</v>
      </c>
      <c r="AF4" s="103">
        <f t="shared" si="0"/>
        <v>1.2048192771084338E-2</v>
      </c>
      <c r="AG4" s="104">
        <f t="shared" si="0"/>
        <v>5.6338028169014086E-2</v>
      </c>
      <c r="AH4" s="82">
        <f t="shared" si="1"/>
        <v>4.6385143430677504E-2</v>
      </c>
    </row>
    <row r="5" spans="1:34" ht="15.75" customHeight="1">
      <c r="A5" s="124">
        <v>3</v>
      </c>
      <c r="B5" s="73">
        <f>(getDistance(coord!C3,coord!D3,coord!$C$1,coord!$D$1)*1000)/$B$18</f>
        <v>2.2708861297606776E-2</v>
      </c>
      <c r="C5" s="73">
        <f>(getDistance(coord!C3,coord!D3,coord!$C$2,coord!$D$2)*1000)/$C$18</f>
        <v>1.4021686904213865E-2</v>
      </c>
      <c r="D5" s="72">
        <f>(getDistance(coord!$C3,coord!$D3,coord!$C$3,coord!$D$3)*1000)/$D$18</f>
        <v>0</v>
      </c>
      <c r="E5" s="73">
        <f>(getDistance(coord!$C3,coord!$D3,coord!$C$4,coord!$D$4)*1000)/$E$18</f>
        <v>5.8872704670058063E-2</v>
      </c>
      <c r="F5" s="73">
        <f>(getDistance(coord!$C3,coord!$D3,coord!$C$5,coord!$D$5)*1000)/$F$18</f>
        <v>7.6686179560042075E-2</v>
      </c>
      <c r="G5" s="73">
        <f>(getDistance(coord!$C3,coord!$D3,coord!$C$6,coord!$D$6)*1000)/$G$18</f>
        <v>7.9993945764307434E-2</v>
      </c>
      <c r="H5" s="73">
        <f>(getDistance(coord!$C3,coord!$D3,coord!$C$7,coord!$D$7)*1000)/$H$18</f>
        <v>8.7628901586288749E-2</v>
      </c>
      <c r="I5" s="73">
        <f>(getDistance(coord!$C3,coord!$D3,coord!$C$8,coord!$D$8)*1000)/$I$18</f>
        <v>8.0653625274724985E-2</v>
      </c>
      <c r="J5" s="73">
        <f>(getDistance(coord!$C3,coord!$D3,coord!$C$9,coord!$D$9)*1000)/$J$18</f>
        <v>7.1951788859303298E-2</v>
      </c>
      <c r="K5" s="73">
        <f>(getDistance(coord!$C3,coord!$D3,coord!$C$10,coord!$D$10)*1000)/$K$18</f>
        <v>6.7827715604826352E-2</v>
      </c>
      <c r="L5" s="73">
        <f>(getDistance(coord!$C3,coord!$D3,coord!$C$11,coord!$D$11)*1000)/$L$18</f>
        <v>5.7890112992331204E-2</v>
      </c>
      <c r="M5" s="73">
        <f>(getDistance(coord!$C3,coord!$D3,coord!$C$12,coord!$D$12)*1000)/$M$18</f>
        <v>8.7016691924391362E-2</v>
      </c>
      <c r="N5" s="73">
        <f>(getDistance(coord!$C3,coord!$D3,coord!$C$13,coord!$D$13)*1000)/$N$18</f>
        <v>5.1296238245069445E-2</v>
      </c>
      <c r="O5" s="73">
        <f>(getDistance(coord!$C3,coord!$D3,coord!$C$14,coord!$D$14)*1000)/$O$18</f>
        <v>3.2360518635515992E-2</v>
      </c>
      <c r="P5" s="101">
        <f>(getDistance(coord!$C3,coord!$D3,coord!$C$15,coord!$D$15)*1000)/$P$18</f>
        <v>4.9633629581598372E-2</v>
      </c>
      <c r="Q5" s="123" t="s">
        <v>71</v>
      </c>
      <c r="R5" s="124">
        <v>10</v>
      </c>
      <c r="S5" s="103">
        <f t="shared" si="2"/>
        <v>6.7567567567567571E-2</v>
      </c>
      <c r="T5" s="103">
        <f t="shared" si="0"/>
        <v>6.5217391304347824E-2</v>
      </c>
      <c r="U5" s="103">
        <f t="shared" si="0"/>
        <v>5.1724137931034482E-2</v>
      </c>
      <c r="V5" s="103">
        <f t="shared" si="0"/>
        <v>0.05</v>
      </c>
      <c r="W5" s="103">
        <f t="shared" si="0"/>
        <v>6.4000000000000001E-2</v>
      </c>
      <c r="X5" s="103">
        <f t="shared" si="0"/>
        <v>1.8181818181818181E-2</v>
      </c>
      <c r="Y5" s="103">
        <f t="shared" si="0"/>
        <v>7.5471698113207544E-2</v>
      </c>
      <c r="Z5" s="103">
        <f t="shared" si="0"/>
        <v>5.8823529411764705E-2</v>
      </c>
      <c r="AA5" s="103">
        <f t="shared" si="0"/>
        <v>2.4844720496894408E-2</v>
      </c>
      <c r="AB5" s="103">
        <f t="shared" si="0"/>
        <v>8.3333333333333329E-2</v>
      </c>
      <c r="AC5" s="103">
        <f t="shared" si="0"/>
        <v>4.7430830039525688E-2</v>
      </c>
      <c r="AD5" s="103">
        <f t="shared" si="0"/>
        <v>4.9261083743842367E-2</v>
      </c>
      <c r="AE5" s="103">
        <f t="shared" si="0"/>
        <v>4.8192771084337352E-2</v>
      </c>
      <c r="AF5" s="103">
        <f t="shared" si="0"/>
        <v>2.4096385542168676E-2</v>
      </c>
      <c r="AG5" s="104">
        <f t="shared" si="0"/>
        <v>5.6338028169014086E-2</v>
      </c>
      <c r="AH5" s="82">
        <f t="shared" si="1"/>
        <v>5.2298886327923753E-2</v>
      </c>
    </row>
    <row r="6" spans="1:34" ht="15.75" customHeight="1">
      <c r="A6" s="124">
        <v>4</v>
      </c>
      <c r="B6" s="73">
        <f>(getDistance(coord!C4,coord!D4,coord!$C$1,coord!$D$1)*1000)/$B$18</f>
        <v>7.3384062946620046E-2</v>
      </c>
      <c r="C6" s="73">
        <f>(getDistance(coord!C4,coord!D4,coord!$C$2,coord!$D$2)*1000)/$C$18</f>
        <v>8.6184387798222087E-2</v>
      </c>
      <c r="D6" s="73">
        <f>(getDistance(coord!$C4,coord!$D4,coord!$C$3,coord!$D$3)*1000)/$D$18</f>
        <v>9.9719943798129013E-2</v>
      </c>
      <c r="E6" s="72">
        <f>(getDistance(coord!$C4,coord!$D4,coord!$C$4,coord!$D$4)*1000)/$E$18</f>
        <v>0</v>
      </c>
      <c r="F6" s="73">
        <f>(getDistance(coord!$C4,coord!$D4,coord!$C$5,coord!$D$5)*1000)/$F$18</f>
        <v>0.15462704911993852</v>
      </c>
      <c r="G6" s="73">
        <f>(getDistance(coord!$C4,coord!$D4,coord!$C$6,coord!$D$6)*1000)/$G$18</f>
        <v>0.13926202993234338</v>
      </c>
      <c r="H6" s="73">
        <f>(getDistance(coord!$C4,coord!$D4,coord!$C$7,coord!$D$7)*1000)/$H$18</f>
        <v>0.12954502942200619</v>
      </c>
      <c r="I6" s="73">
        <f>(getDistance(coord!$C4,coord!$D4,coord!$C$8,coord!$D$8)*1000)/$I$18</f>
        <v>0.15255279501093499</v>
      </c>
      <c r="J6" s="73">
        <f>(getDistance(coord!$C4,coord!$D4,coord!$C$9,coord!$D$9)*1000)/$J$18</f>
        <v>0.15101221286439442</v>
      </c>
      <c r="K6" s="73">
        <f>(getDistance(coord!$C4,coord!$D4,coord!$C$10,coord!$D$10)*1000)/$K$18</f>
        <v>0.14533093819154677</v>
      </c>
      <c r="L6" s="73">
        <f>(getDistance(coord!$C4,coord!$D4,coord!$C$11,coord!$D$11)*1000)/$L$18</f>
        <v>8.0303919074357799E-2</v>
      </c>
      <c r="M6" s="73">
        <f>(getDistance(coord!$C4,coord!$D4,coord!$C$12,coord!$D$12)*1000)/$M$18</f>
        <v>0.11462932683604429</v>
      </c>
      <c r="N6" s="73">
        <f>(getDistance(coord!$C4,coord!$D4,coord!$C$13,coord!$D$13)*1000)/$N$18</f>
        <v>1.9464148409406176E-2</v>
      </c>
      <c r="O6" s="73">
        <f>(getDistance(coord!$C4,coord!$D4,coord!$C$14,coord!$D$14)*1000)/$O$18</f>
        <v>5.7822034918027933E-2</v>
      </c>
      <c r="P6" s="101">
        <f>(getDistance(coord!$C4,coord!$D4,coord!$C$15,coord!$D$15)*1000)/$P$18</f>
        <v>0.13504410326167277</v>
      </c>
      <c r="Q6" s="123" t="s">
        <v>72</v>
      </c>
      <c r="R6" s="124">
        <v>11</v>
      </c>
      <c r="S6" s="103">
        <f t="shared" si="2"/>
        <v>6.7567567567567571E-2</v>
      </c>
      <c r="T6" s="103">
        <f t="shared" si="0"/>
        <v>6.5217391304347824E-2</v>
      </c>
      <c r="U6" s="103">
        <f t="shared" si="0"/>
        <v>6.0344827586206899E-2</v>
      </c>
      <c r="V6" s="103">
        <f t="shared" si="0"/>
        <v>0.05</v>
      </c>
      <c r="W6" s="103">
        <f t="shared" si="0"/>
        <v>6.4000000000000001E-2</v>
      </c>
      <c r="X6" s="103">
        <f t="shared" si="0"/>
        <v>3.6363636363636362E-2</v>
      </c>
      <c r="Y6" s="103">
        <f t="shared" si="0"/>
        <v>5.6603773584905662E-2</v>
      </c>
      <c r="Z6" s="103">
        <f t="shared" si="0"/>
        <v>5.8823529411764705E-2</v>
      </c>
      <c r="AA6" s="103">
        <f t="shared" si="0"/>
        <v>5.5900621118012424E-2</v>
      </c>
      <c r="AB6" s="103">
        <f t="shared" si="0"/>
        <v>7.407407407407407E-2</v>
      </c>
      <c r="AC6" s="103">
        <f t="shared" si="0"/>
        <v>7.1146245059288543E-2</v>
      </c>
      <c r="AD6" s="103">
        <f t="shared" si="0"/>
        <v>7.3891625615763554E-2</v>
      </c>
      <c r="AE6" s="103">
        <f t="shared" si="0"/>
        <v>0.12048192771084337</v>
      </c>
      <c r="AF6" s="103">
        <f t="shared" si="0"/>
        <v>4.8192771084337352E-2</v>
      </c>
      <c r="AG6" s="104">
        <f t="shared" si="0"/>
        <v>7.0422535211267609E-2</v>
      </c>
      <c r="AH6" s="82">
        <f t="shared" si="1"/>
        <v>6.4868701712801069E-2</v>
      </c>
    </row>
    <row r="7" spans="1:34" ht="15.75" customHeight="1">
      <c r="A7" s="124">
        <v>5</v>
      </c>
      <c r="B7" s="73">
        <f>(getDistance(coord!C5,coord!D5,coord!$C$1,coord!$D$1)*1000)/$B$18</f>
        <v>8.6140311823197854E-2</v>
      </c>
      <c r="C7" s="73">
        <f>(getDistance(coord!C5,coord!D5,coord!$C$2,coord!$D$2)*1000)/$C$18</f>
        <v>8.139249430853264E-2</v>
      </c>
      <c r="D7" s="73">
        <f>(getDistance(coord!$C5,coord!$D5,coord!$C$3,coord!$D$3)*1000)/$D$18</f>
        <v>7.3005090610452794E-2</v>
      </c>
      <c r="E7" s="73">
        <f>(getDistance(coord!$C5,coord!$D5,coord!$C$4,coord!$D$4)*1000)/$E$18</f>
        <v>8.6906742815300697E-2</v>
      </c>
      <c r="F7" s="72">
        <f>(getDistance(coord!$C5,coord!$D5,coord!$C$5,coord!$D$5)*1000)/$F$18</f>
        <v>0</v>
      </c>
      <c r="G7" s="73">
        <f>(getDistance(coord!$C5,coord!$D5,coord!$C$6,coord!$D$6)*1000)/$G$18</f>
        <v>2.4570798882456439E-2</v>
      </c>
      <c r="H7" s="73">
        <f>(getDistance(coord!$C5,coord!$D5,coord!$C$7,coord!$D$7)*1000)/$H$18</f>
        <v>3.612180184080574E-2</v>
      </c>
      <c r="I7" s="73">
        <f>(getDistance(coord!$C5,coord!$D5,coord!$C$8,coord!$D$8)*1000)/$I$18</f>
        <v>7.7395722034668945E-3</v>
      </c>
      <c r="J7" s="73">
        <f>(getDistance(coord!$C5,coord!$D5,coord!$C$9,coord!$D$9)*1000)/$J$18</f>
        <v>1.5107908989478376E-2</v>
      </c>
      <c r="K7" s="73">
        <f>(getDistance(coord!$C5,coord!$D5,coord!$C$10,coord!$D$10)*1000)/$K$18</f>
        <v>2.0507248856763218E-2</v>
      </c>
      <c r="L7" s="73">
        <f>(getDistance(coord!$C5,coord!$D5,coord!$C$11,coord!$D$11)*1000)/$L$18</f>
        <v>6.4699467266578256E-2</v>
      </c>
      <c r="M7" s="73">
        <f>(getDistance(coord!$C5,coord!$D5,coord!$C$12,coord!$D$12)*1000)/$M$18</f>
        <v>4.5698506282568732E-2</v>
      </c>
      <c r="N7" s="73">
        <f>(getDistance(coord!$C5,coord!$D5,coord!$C$13,coord!$D$13)*1000)/$N$18</f>
        <v>8.9850813793987627E-2</v>
      </c>
      <c r="O7" s="73">
        <f>(getDistance(coord!$C5,coord!$D5,coord!$C$14,coord!$D$14)*1000)/$O$18</f>
        <v>8.8976162423490601E-2</v>
      </c>
      <c r="P7" s="101">
        <f>(getDistance(coord!$C5,coord!$D5,coord!$C$15,coord!$D$15)*1000)/$P$18</f>
        <v>3.9601697052090989E-2</v>
      </c>
      <c r="Q7" s="123" t="s">
        <v>73</v>
      </c>
      <c r="R7" s="124">
        <v>12</v>
      </c>
      <c r="S7" s="103">
        <f t="shared" si="2"/>
        <v>9.45945945945946E-2</v>
      </c>
      <c r="T7" s="103">
        <f t="shared" si="0"/>
        <v>7.2463768115942032E-2</v>
      </c>
      <c r="U7" s="103">
        <f t="shared" si="0"/>
        <v>8.6206896551724144E-2</v>
      </c>
      <c r="V7" s="103">
        <f t="shared" si="0"/>
        <v>6.6666666666666666E-2</v>
      </c>
      <c r="W7" s="103">
        <f t="shared" si="0"/>
        <v>7.1999999999999995E-2</v>
      </c>
      <c r="X7" s="103">
        <f t="shared" si="0"/>
        <v>3.6363636363636362E-2</v>
      </c>
      <c r="Y7" s="103">
        <f t="shared" si="0"/>
        <v>6.2893081761006289E-2</v>
      </c>
      <c r="Z7" s="103">
        <f t="shared" si="0"/>
        <v>8.8235294117647065E-2</v>
      </c>
      <c r="AA7" s="103">
        <f t="shared" si="0"/>
        <v>9.3167701863354033E-2</v>
      </c>
      <c r="AB7" s="103">
        <f t="shared" si="0"/>
        <v>5.5555555555555552E-2</v>
      </c>
      <c r="AC7" s="103">
        <f t="shared" si="0"/>
        <v>5.9288537549407112E-2</v>
      </c>
      <c r="AD7" s="103">
        <f t="shared" si="0"/>
        <v>9.3596059113300489E-2</v>
      </c>
      <c r="AE7" s="103">
        <f t="shared" si="0"/>
        <v>8.4337349397590355E-2</v>
      </c>
      <c r="AF7" s="103">
        <f t="shared" si="0"/>
        <v>7.2289156626506021E-2</v>
      </c>
      <c r="AG7" s="104">
        <f t="shared" si="0"/>
        <v>5.6338028169014086E-2</v>
      </c>
      <c r="AH7" s="82">
        <f t="shared" si="1"/>
        <v>7.2933088429729648E-2</v>
      </c>
    </row>
    <row r="8" spans="1:34" ht="15.75" customHeight="1">
      <c r="A8" s="124">
        <v>6</v>
      </c>
      <c r="B8" s="73">
        <f>(getDistance(coord!C6,coord!D6,coord!$C$1,coord!$D$1)*1000)/$B$18</f>
        <v>8.7285025003798394E-2</v>
      </c>
      <c r="C8" s="73">
        <f>(getDistance(coord!C6,coord!D6,coord!$C$2,coord!$D$2)*1000)/$C$18</f>
        <v>8.4624366049989241E-2</v>
      </c>
      <c r="D8" s="73">
        <f>(getDistance(coord!$C6,coord!$D6,coord!$C$3,coord!$D$3)*1000)/$D$18</f>
        <v>7.7304453604575149E-2</v>
      </c>
      <c r="E8" s="73">
        <f>(getDistance(coord!$C6,coord!$D6,coord!$C$4,coord!$D$4)*1000)/$E$18</f>
        <v>7.9453325658303667E-2</v>
      </c>
      <c r="F8" s="73">
        <f>(getDistance(coord!$C6,coord!$D6,coord!$C$5,coord!$D$5)*1000)/$F$18</f>
        <v>2.4941962997010375E-2</v>
      </c>
      <c r="G8" s="72">
        <f>(getDistance(coord!$C6,coord!$D6,coord!$C$6,coord!$D$6)*1000)/$G$18</f>
        <v>0</v>
      </c>
      <c r="H8" s="73">
        <f>(getDistance(coord!$C6,coord!$D6,coord!$C$7,coord!$D$7)*1000)/$H$18</f>
        <v>3.3900020478840311E-2</v>
      </c>
      <c r="I8" s="73">
        <f>(getDistance(coord!$C6,coord!$D6,coord!$C$8,coord!$D$8)*1000)/$I$18</f>
        <v>1.9311928358176342E-2</v>
      </c>
      <c r="J8" s="73">
        <f>(getDistance(coord!$C6,coord!$D6,coord!$C$9,coord!$D$9)*1000)/$J$18</f>
        <v>3.7848334791225485E-2</v>
      </c>
      <c r="K8" s="73">
        <f>(getDistance(coord!$C6,coord!$D6,coord!$C$10,coord!$D$10)*1000)/$K$18</f>
        <v>2.1224732711973001E-2</v>
      </c>
      <c r="L8" s="73">
        <f>(getDistance(coord!$C6,coord!$D6,coord!$C$11,coord!$D$11)*1000)/$L$18</f>
        <v>4.9684183349825349E-2</v>
      </c>
      <c r="M8" s="73">
        <f>(getDistance(coord!$C6,coord!$D6,coord!$C$12,coord!$D$12)*1000)/$M$18</f>
        <v>3.9513178648683756E-2</v>
      </c>
      <c r="N8" s="73">
        <f>(getDistance(coord!$C6,coord!$D6,coord!$C$13,coord!$D$13)*1000)/$N$18</f>
        <v>8.4312772392507576E-2</v>
      </c>
      <c r="O8" s="73">
        <f>(getDistance(coord!$C6,coord!$D6,coord!$C$14,coord!$D$14)*1000)/$O$18</f>
        <v>8.82557572424882E-2</v>
      </c>
      <c r="P8" s="101">
        <f>(getDistance(coord!$C6,coord!$D6,coord!$C$15,coord!$D$15)*1000)/$P$18</f>
        <v>5.7599428111267691E-2</v>
      </c>
      <c r="Q8" s="123" t="s">
        <v>74</v>
      </c>
      <c r="R8" s="124">
        <v>13</v>
      </c>
      <c r="S8" s="103">
        <f t="shared" si="2"/>
        <v>9.45945945945946E-2</v>
      </c>
      <c r="T8" s="103">
        <f t="shared" si="0"/>
        <v>6.5217391304347824E-2</v>
      </c>
      <c r="U8" s="103">
        <f t="shared" si="0"/>
        <v>7.7586206896551727E-2</v>
      </c>
      <c r="V8" s="103">
        <f t="shared" si="0"/>
        <v>0.11666666666666667</v>
      </c>
      <c r="W8" s="103">
        <f t="shared" si="0"/>
        <v>7.1999999999999995E-2</v>
      </c>
      <c r="X8" s="103">
        <f t="shared" si="0"/>
        <v>5.4545454545454543E-2</v>
      </c>
      <c r="Y8" s="103">
        <f t="shared" si="0"/>
        <v>6.9182389937106917E-2</v>
      </c>
      <c r="Z8" s="103">
        <f t="shared" si="0"/>
        <v>8.8235294117647065E-2</v>
      </c>
      <c r="AA8" s="103">
        <f t="shared" si="0"/>
        <v>0.11180124223602485</v>
      </c>
      <c r="AB8" s="103">
        <f t="shared" si="0"/>
        <v>6.4814814814814811E-2</v>
      </c>
      <c r="AC8" s="103">
        <f t="shared" si="0"/>
        <v>5.9288537549407112E-2</v>
      </c>
      <c r="AD8" s="103">
        <f t="shared" si="0"/>
        <v>7.8817733990147784E-2</v>
      </c>
      <c r="AE8" s="103">
        <f t="shared" si="0"/>
        <v>8.4337349397590355E-2</v>
      </c>
      <c r="AF8" s="103">
        <f t="shared" si="0"/>
        <v>8.4337349397590355E-2</v>
      </c>
      <c r="AG8" s="104">
        <f t="shared" si="0"/>
        <v>5.6338028169014086E-2</v>
      </c>
      <c r="AH8" s="82">
        <f t="shared" si="1"/>
        <v>7.8517536907797239E-2</v>
      </c>
    </row>
    <row r="9" spans="1:34" ht="15.75" customHeight="1">
      <c r="A9" s="124">
        <v>7</v>
      </c>
      <c r="B9" s="73">
        <f>(getDistance(coord!C7,coord!D7,coord!$C$1,coord!$D$1)*1000)/$B$18</f>
        <v>0.12744797941958427</v>
      </c>
      <c r="C9" s="73">
        <f>(getDistance(coord!C7,coord!D7,coord!$C$2,coord!$D$2)*1000)/$C$18</f>
        <v>0.12563311284950232</v>
      </c>
      <c r="D9" s="73">
        <f>(getDistance(coord!$C7,coord!$D7,coord!$C$3,coord!$D$3)*1000)/$D$18</f>
        <v>0.12115987821068286</v>
      </c>
      <c r="E9" s="73">
        <f>(getDistance(coord!$C7,coord!$D7,coord!$C$4,coord!$D$4)*1000)/$E$18</f>
        <v>0.10574605570347448</v>
      </c>
      <c r="F9" s="73">
        <f>(getDistance(coord!$C7,coord!$D7,coord!$C$5,coord!$D$5)*1000)/$F$18</f>
        <v>5.2461997669375496E-2</v>
      </c>
      <c r="G9" s="73">
        <f>(getDistance(coord!$C7,coord!$D7,coord!$C$6,coord!$D$6)*1000)/$G$18</f>
        <v>4.8502488917617437E-2</v>
      </c>
      <c r="H9" s="72">
        <f>(getDistance(coord!$C7,coord!$D7,coord!$C$7,coord!$D$7)*1000)/$H$18</f>
        <v>0</v>
      </c>
      <c r="I9" s="73">
        <f>(getDistance(coord!$C7,coord!$D7,coord!$C$8,coord!$D$8)*1000)/$I$18</f>
        <v>4.475709073076263E-2</v>
      </c>
      <c r="J9" s="73">
        <f>(getDistance(coord!$C7,coord!$D7,coord!$C$9,coord!$D$9)*1000)/$J$18</f>
        <v>5.4547149836496299E-2</v>
      </c>
      <c r="K9" s="73">
        <f>(getDistance(coord!$C7,coord!$D7,coord!$C$10,coord!$D$10)*1000)/$K$18</f>
        <v>6.8851627447904185E-2</v>
      </c>
      <c r="L9" s="73">
        <f>(getDistance(coord!$C7,coord!$D7,coord!$C$11,coord!$D$11)*1000)/$L$18</f>
        <v>9.2702229079247384E-2</v>
      </c>
      <c r="M9" s="73">
        <f>(getDistance(coord!$C7,coord!$D7,coord!$C$12,coord!$D$12)*1000)/$M$18</f>
        <v>1.7027476462157992E-2</v>
      </c>
      <c r="N9" s="73">
        <f>(getDistance(coord!$C7,coord!$D7,coord!$C$13,coord!$D$13)*1000)/$N$18</f>
        <v>0.11525210417632964</v>
      </c>
      <c r="O9" s="73">
        <f>(getDistance(coord!$C7,coord!$D7,coord!$C$14,coord!$D$14)*1000)/$O$18</f>
        <v>0.12567361710352296</v>
      </c>
      <c r="P9" s="101">
        <f>(getDistance(coord!$C7,coord!$D7,coord!$C$15,coord!$D$15)*1000)/$P$18</f>
        <v>8.125853762141716E-2</v>
      </c>
      <c r="Q9" s="123" t="s">
        <v>75</v>
      </c>
      <c r="R9" s="124">
        <v>14</v>
      </c>
      <c r="S9" s="103">
        <f t="shared" si="2"/>
        <v>5.4054054054054057E-2</v>
      </c>
      <c r="T9" s="103">
        <f t="shared" si="0"/>
        <v>5.7971014492753624E-2</v>
      </c>
      <c r="U9" s="103">
        <f t="shared" si="0"/>
        <v>7.7586206896551727E-2</v>
      </c>
      <c r="V9" s="103">
        <f t="shared" si="0"/>
        <v>0.11666666666666667</v>
      </c>
      <c r="W9" s="103">
        <f t="shared" si="0"/>
        <v>6.4000000000000001E-2</v>
      </c>
      <c r="X9" s="103">
        <f t="shared" si="0"/>
        <v>7.2727272727272724E-2</v>
      </c>
      <c r="Y9" s="103">
        <f t="shared" si="0"/>
        <v>8.1761006289308172E-2</v>
      </c>
      <c r="Z9" s="103">
        <f t="shared" si="0"/>
        <v>8.8235294117647065E-2</v>
      </c>
      <c r="AA9" s="103">
        <f t="shared" si="0"/>
        <v>8.6956521739130432E-2</v>
      </c>
      <c r="AB9" s="103">
        <f t="shared" si="0"/>
        <v>6.4814814814814811E-2</v>
      </c>
      <c r="AC9" s="103">
        <f t="shared" si="0"/>
        <v>7.5098814229249009E-2</v>
      </c>
      <c r="AD9" s="103">
        <f t="shared" si="0"/>
        <v>7.8817733990147784E-2</v>
      </c>
      <c r="AE9" s="103">
        <f t="shared" si="0"/>
        <v>8.4337349397590355E-2</v>
      </c>
      <c r="AF9" s="103">
        <f t="shared" si="0"/>
        <v>6.0240963855421686E-2</v>
      </c>
      <c r="AG9" s="104">
        <f t="shared" si="0"/>
        <v>5.6338028169014086E-2</v>
      </c>
      <c r="AH9" s="82">
        <f t="shared" si="1"/>
        <v>7.4640382762641469E-2</v>
      </c>
    </row>
    <row r="10" spans="1:34" ht="15.75" customHeight="1">
      <c r="A10" s="124">
        <v>8</v>
      </c>
      <c r="B10" s="73">
        <f>(getDistance(coord!C8,coord!D8,coord!$C$1,coord!$D$1)*1000)/$B$18</f>
        <v>9.0305255830799541E-2</v>
      </c>
      <c r="C10" s="73">
        <f>(getDistance(coord!C8,coord!D8,coord!$C$2,coord!$D$2)*1000)/$C$18</f>
        <v>8.6180248540368515E-2</v>
      </c>
      <c r="D10" s="73">
        <f>(getDistance(coord!$C8,coord!$D8,coord!$C$3,coord!$D$3)*1000)/$D$18</f>
        <v>7.826637670005078E-2</v>
      </c>
      <c r="E10" s="73">
        <f>(getDistance(coord!$C8,coord!$D8,coord!$C$4,coord!$D$4)*1000)/$E$18</f>
        <v>8.7398397137412806E-2</v>
      </c>
      <c r="F10" s="73">
        <f>(getDistance(coord!$C8,coord!$D8,coord!$C$5,coord!$D$5)*1000)/$F$18</f>
        <v>7.8891869873752157E-3</v>
      </c>
      <c r="G10" s="73">
        <f>(getDistance(coord!$C8,coord!$D8,coord!$C$6,coord!$D$6)*1000)/$G$18</f>
        <v>1.9392311637613405E-2</v>
      </c>
      <c r="H10" s="73">
        <f>(getDistance(coord!$C8,coord!$D8,coord!$C$7,coord!$D$7)*1000)/$H$18</f>
        <v>3.1412443799478405E-2</v>
      </c>
      <c r="I10" s="72">
        <f>(getDistance(coord!$C8,coord!$D8,coord!$C$8,coord!$D$8)*1000)/$I$18</f>
        <v>0</v>
      </c>
      <c r="J10" s="73">
        <f>(getDistance(coord!$C8,coord!$D8,coord!$C$9,coord!$D$9)*1000)/$J$18</f>
        <v>2.0897411024069883E-2</v>
      </c>
      <c r="K10" s="73">
        <f>(getDistance(coord!$C8,coord!$D8,coord!$C$10,coord!$D$10)*1000)/$K$18</f>
        <v>2.2504827840583726E-2</v>
      </c>
      <c r="L10" s="73">
        <f>(getDistance(coord!$C8,coord!$D8,coord!$C$11,coord!$D$11)*1000)/$L$18</f>
        <v>6.4079408130827339E-2</v>
      </c>
      <c r="M10" s="73">
        <f>(getDistance(coord!$C8,coord!$D8,coord!$C$12,coord!$D$12)*1000)/$M$18</f>
        <v>4.1260538366473448E-2</v>
      </c>
      <c r="N10" s="73">
        <f>(getDistance(coord!$C8,coord!$D8,coord!$C$13,coord!$D$13)*1000)/$N$18</f>
        <v>9.1332902942056787E-2</v>
      </c>
      <c r="O10" s="73">
        <f>(getDistance(coord!$C8,coord!$D8,coord!$C$14,coord!$D$14)*1000)/$O$18</f>
        <v>9.2397470616990912E-2</v>
      </c>
      <c r="P10" s="101">
        <f>(getDistance(coord!$C8,coord!$D8,coord!$C$15,coord!$D$15)*1000)/$P$18</f>
        <v>4.6284949830467929E-2</v>
      </c>
      <c r="Q10" s="123" t="s">
        <v>76</v>
      </c>
      <c r="R10" s="124">
        <v>15</v>
      </c>
      <c r="S10" s="103">
        <f t="shared" si="2"/>
        <v>0.10810810810810811</v>
      </c>
      <c r="T10" s="103">
        <f t="shared" si="0"/>
        <v>5.7971014492753624E-2</v>
      </c>
      <c r="U10" s="103">
        <f t="shared" si="0"/>
        <v>7.7586206896551727E-2</v>
      </c>
      <c r="V10" s="103">
        <f t="shared" si="0"/>
        <v>0.11666666666666667</v>
      </c>
      <c r="W10" s="103">
        <f t="shared" si="0"/>
        <v>7.1999999999999995E-2</v>
      </c>
      <c r="X10" s="103">
        <f t="shared" si="0"/>
        <v>7.2727272727272724E-2</v>
      </c>
      <c r="Y10" s="103">
        <f t="shared" si="0"/>
        <v>9.4339622641509441E-2</v>
      </c>
      <c r="Z10" s="103">
        <f t="shared" si="0"/>
        <v>5.8823529411764705E-2</v>
      </c>
      <c r="AA10" s="103">
        <f t="shared" si="0"/>
        <v>8.0745341614906832E-2</v>
      </c>
      <c r="AB10" s="103">
        <f t="shared" si="0"/>
        <v>7.407407407407407E-2</v>
      </c>
      <c r="AC10" s="103">
        <f t="shared" si="0"/>
        <v>9.0909090909090912E-2</v>
      </c>
      <c r="AD10" s="103">
        <f t="shared" si="0"/>
        <v>6.8965517241379309E-2</v>
      </c>
      <c r="AE10" s="103">
        <f t="shared" si="0"/>
        <v>6.0240963855421686E-2</v>
      </c>
      <c r="AF10" s="103">
        <f t="shared" si="0"/>
        <v>9.6385542168674704E-2</v>
      </c>
      <c r="AG10" s="104">
        <f t="shared" si="0"/>
        <v>7.0422535211267609E-2</v>
      </c>
      <c r="AH10" s="82">
        <f t="shared" si="1"/>
        <v>7.9997699067962807E-2</v>
      </c>
    </row>
    <row r="11" spans="1:34" ht="15.75" customHeight="1">
      <c r="A11" s="124">
        <v>9</v>
      </c>
      <c r="B11" s="73">
        <f>(getDistance(coord!C9,coord!D9,coord!$C$1,coord!$D$1)*1000)/$B$18</f>
        <v>8.8844980488939906E-2</v>
      </c>
      <c r="C11" s="73">
        <f>(getDistance(coord!C9,coord!D9,coord!$C$2,coord!$D$2)*1000)/$C$18</f>
        <v>8.3172733120971704E-2</v>
      </c>
      <c r="D11" s="73">
        <f>(getDistance(coord!$C9,coord!$D9,coord!$C$3,coord!$D$3)*1000)/$D$18</f>
        <v>7.5091838214592879E-2</v>
      </c>
      <c r="E11" s="73">
        <f>(getDistance(coord!$C9,coord!$D9,coord!$C$4,coord!$D$4)*1000)/$E$18</f>
        <v>9.304545729645182E-2</v>
      </c>
      <c r="F11" s="73">
        <f>(getDistance(coord!$C9,coord!$D9,coord!$C$5,coord!$D$5)*1000)/$F$18</f>
        <v>1.656225464926861E-2</v>
      </c>
      <c r="G11" s="73">
        <f>(getDistance(coord!$C9,coord!$D9,coord!$C$6,coord!$D$6)*1000)/$G$18</f>
        <v>4.0874318150941821E-2</v>
      </c>
      <c r="H11" s="73">
        <f>(getDistance(coord!$C9,coord!$D9,coord!$C$7,coord!$D$7)*1000)/$H$18</f>
        <v>4.1172927054020134E-2</v>
      </c>
      <c r="I11" s="73">
        <f>(getDistance(coord!$C9,coord!$D9,coord!$C$8,coord!$D$8)*1000)/$I$18</f>
        <v>2.2474616461677813E-2</v>
      </c>
      <c r="J11" s="72">
        <f>(getDistance(coord!$C9,coord!$D9,coord!$C$9,coord!$D$9)*1000)/$J$18</f>
        <v>0</v>
      </c>
      <c r="K11" s="73">
        <f>(getDistance(coord!$C9,coord!$D9,coord!$C$10,coord!$D$10)*1000)/$K$18</f>
        <v>3.4914384770615425E-2</v>
      </c>
      <c r="L11" s="73">
        <f>(getDistance(coord!$C9,coord!$D9,coord!$C$11,coord!$D$11)*1000)/$L$18</f>
        <v>7.7257595900459664E-2</v>
      </c>
      <c r="M11" s="73">
        <f>(getDistance(coord!$C9,coord!$D9,coord!$C$12,coord!$D$12)*1000)/$M$18</f>
        <v>5.1346706433590052E-2</v>
      </c>
      <c r="N11" s="73">
        <f>(getDistance(coord!$C9,coord!$D9,coord!$C$13,coord!$D$13)*1000)/$N$18</f>
        <v>9.5257282424245929E-2</v>
      </c>
      <c r="O11" s="73">
        <f>(getDistance(coord!$C9,coord!$D9,coord!$C$14,coord!$D$14)*1000)/$O$18</f>
        <v>9.2307897306968603E-2</v>
      </c>
      <c r="P11" s="101">
        <f>(getDistance(coord!$C9,coord!$D9,coord!$C$15,coord!$D$15)*1000)/$P$18</f>
        <v>3.0603092403673621E-2</v>
      </c>
      <c r="Q11" s="123" t="s">
        <v>77</v>
      </c>
      <c r="R11" s="124">
        <v>16</v>
      </c>
      <c r="S11" s="103">
        <f t="shared" si="2"/>
        <v>8.1081081081081086E-2</v>
      </c>
      <c r="T11" s="103">
        <f t="shared" si="0"/>
        <v>9.420289855072464E-2</v>
      </c>
      <c r="U11" s="103">
        <f t="shared" si="0"/>
        <v>6.8965517241379309E-2</v>
      </c>
      <c r="V11" s="103">
        <f t="shared" si="0"/>
        <v>3.3333333333333333E-2</v>
      </c>
      <c r="W11" s="103">
        <f t="shared" si="0"/>
        <v>0.08</v>
      </c>
      <c r="X11" s="103">
        <f t="shared" si="0"/>
        <v>7.2727272727272724E-2</v>
      </c>
      <c r="Y11" s="103">
        <f t="shared" si="0"/>
        <v>7.5471698113207544E-2</v>
      </c>
      <c r="Z11" s="103">
        <f t="shared" si="0"/>
        <v>5.8823529411764705E-2</v>
      </c>
      <c r="AA11" s="103">
        <f t="shared" si="0"/>
        <v>6.2111801242236024E-2</v>
      </c>
      <c r="AB11" s="103">
        <f t="shared" si="0"/>
        <v>7.407407407407407E-2</v>
      </c>
      <c r="AC11" s="103">
        <f t="shared" si="0"/>
        <v>0.10276679841897234</v>
      </c>
      <c r="AD11" s="103">
        <f t="shared" si="0"/>
        <v>6.8965517241379309E-2</v>
      </c>
      <c r="AE11" s="103">
        <f t="shared" si="0"/>
        <v>8.4337349397590355E-2</v>
      </c>
      <c r="AF11" s="103">
        <f t="shared" si="0"/>
        <v>8.4337349397590355E-2</v>
      </c>
      <c r="AG11" s="104">
        <f t="shared" si="0"/>
        <v>7.0422535211267609E-2</v>
      </c>
      <c r="AH11" s="82">
        <f t="shared" si="1"/>
        <v>7.4108050362791555E-2</v>
      </c>
    </row>
    <row r="12" spans="1:34" ht="15.75" customHeight="1">
      <c r="A12" s="124">
        <v>10</v>
      </c>
      <c r="B12" s="73">
        <f>(getDistance(coord!C10,coord!D10,coord!$C$1,coord!$D$1)*1000)/$B$18</f>
        <v>7.3524289435178872E-2</v>
      </c>
      <c r="C12" s="73">
        <f>(getDistance(coord!C10,coord!D10,coord!$C$2,coord!$D$2)*1000)/$C$18</f>
        <v>6.9272094599152942E-2</v>
      </c>
      <c r="D12" s="73">
        <f>(getDistance(coord!$C10,coord!$D10,coord!$C$3,coord!$D$3)*1000)/$D$18</f>
        <v>6.0214991244566876E-2</v>
      </c>
      <c r="E12" s="73">
        <f>(getDistance(coord!$C10,coord!$D10,coord!$C$4,coord!$D$4)*1000)/$E$18</f>
        <v>7.6170617665823573E-2</v>
      </c>
      <c r="F12" s="73">
        <f>(getDistance(coord!$C10,coord!$D10,coord!$C$5,coord!$D$5)*1000)/$F$18</f>
        <v>1.9123562363221994E-2</v>
      </c>
      <c r="G12" s="73">
        <f>(getDistance(coord!$C10,coord!$D10,coord!$C$6,coord!$D$6)*1000)/$G$18</f>
        <v>1.9498098998980046E-2</v>
      </c>
      <c r="H12" s="73">
        <f>(getDistance(coord!$C10,coord!$D10,coord!$C$7,coord!$D$7)*1000)/$H$18</f>
        <v>4.4207930717761038E-2</v>
      </c>
      <c r="I12" s="73">
        <f>(getDistance(coord!$C10,coord!$D10,coord!$C$8,coord!$D$8)*1000)/$I$18</f>
        <v>2.0588362024686353E-2</v>
      </c>
      <c r="J12" s="73">
        <f>(getDistance(coord!$C10,coord!$D10,coord!$C$9,coord!$D$9)*1000)/$J$18</f>
        <v>2.9699606189922838E-2</v>
      </c>
      <c r="K12" s="72">
        <f>(getDistance(coord!$C10,coord!$D10,coord!$C$10,coord!$D$10)*1000)/$K$18</f>
        <v>0</v>
      </c>
      <c r="L12" s="73">
        <f>(getDistance(coord!$C10,coord!$D10,coord!$C$11,coord!$D$11)*1000)/$L$18</f>
        <v>4.753820893696948E-2</v>
      </c>
      <c r="M12" s="73">
        <f>(getDistance(coord!$C10,coord!$D10,coord!$C$12,coord!$D$12)*1000)/$M$18</f>
        <v>5.0238023159868965E-2</v>
      </c>
      <c r="N12" s="73">
        <f>(getDistance(coord!$C10,coord!$D10,coord!$C$13,coord!$D$13)*1000)/$N$18</f>
        <v>7.8110228117574121E-2</v>
      </c>
      <c r="O12" s="73">
        <f>(getDistance(coord!$C10,coord!$D10,coord!$C$14,coord!$D$14)*1000)/$O$18</f>
        <v>7.6629116357964044E-2</v>
      </c>
      <c r="P12" s="101">
        <f>(getDistance(coord!$C10,coord!$D10,coord!$C$15,coord!$D$15)*1000)/$P$18</f>
        <v>4.2720217045397739E-2</v>
      </c>
      <c r="Q12" s="123" t="s">
        <v>78</v>
      </c>
      <c r="R12" s="124">
        <v>17</v>
      </c>
      <c r="S12" s="103">
        <f t="shared" si="2"/>
        <v>8.1081081081081086E-2</v>
      </c>
      <c r="T12" s="103">
        <f t="shared" si="0"/>
        <v>6.5217391304347824E-2</v>
      </c>
      <c r="U12" s="103">
        <f t="shared" si="0"/>
        <v>6.8965517241379309E-2</v>
      </c>
      <c r="V12" s="103">
        <f t="shared" si="0"/>
        <v>0.05</v>
      </c>
      <c r="W12" s="103">
        <f t="shared" si="0"/>
        <v>7.1999999999999995E-2</v>
      </c>
      <c r="X12" s="103">
        <f t="shared" si="0"/>
        <v>0.12727272727272726</v>
      </c>
      <c r="Y12" s="103">
        <f t="shared" si="0"/>
        <v>3.7735849056603772E-2</v>
      </c>
      <c r="Z12" s="103">
        <f t="shared" si="0"/>
        <v>5.8823529411764705E-2</v>
      </c>
      <c r="AA12" s="103">
        <f t="shared" si="0"/>
        <v>6.2111801242236024E-2</v>
      </c>
      <c r="AB12" s="103">
        <f t="shared" si="0"/>
        <v>7.407407407407407E-2</v>
      </c>
      <c r="AC12" s="103">
        <f t="shared" si="0"/>
        <v>8.6956521739130432E-2</v>
      </c>
      <c r="AD12" s="103">
        <f t="shared" si="0"/>
        <v>5.9113300492610835E-2</v>
      </c>
      <c r="AE12" s="103">
        <f t="shared" si="0"/>
        <v>7.2289156626506021E-2</v>
      </c>
      <c r="AF12" s="103">
        <f t="shared" si="0"/>
        <v>0.12048192771084337</v>
      </c>
      <c r="AG12" s="104">
        <f t="shared" si="0"/>
        <v>7.0422535211267609E-2</v>
      </c>
      <c r="AH12" s="82">
        <f t="shared" si="1"/>
        <v>7.376969416430483E-2</v>
      </c>
    </row>
    <row r="13" spans="1:34" ht="15.75" customHeight="1">
      <c r="A13" s="124">
        <v>11</v>
      </c>
      <c r="B13" s="73">
        <f>(getDistance(coord!C11,coord!D11,coord!$C$1,coord!$D$1)*1000)/$B$18</f>
        <v>6.127426480099326E-2</v>
      </c>
      <c r="C13" s="73">
        <f>(getDistance(coord!C11,coord!D11,coord!$C$2,coord!$D$2)*1000)/$C$18</f>
        <v>6.3144993430051921E-2</v>
      </c>
      <c r="D13" s="73">
        <f>(getDistance(coord!$C11,coord!$D11,coord!$C$3,coord!$D$3)*1000)/$D$18</f>
        <v>6.0011404079360689E-2</v>
      </c>
      <c r="E13" s="73">
        <f>(getDistance(coord!$C11,coord!$D11,coord!$C$4,coord!$D$4)*1000)/$E$18</f>
        <v>4.9147122391873257E-2</v>
      </c>
      <c r="F13" s="73">
        <f>(getDistance(coord!$C11,coord!$D11,coord!$C$5,coord!$D$5)*1000)/$F$18</f>
        <v>7.0452117914412193E-2</v>
      </c>
      <c r="G13" s="73">
        <f>(getDistance(coord!$C11,coord!$D11,coord!$C$6,coord!$D$6)*1000)/$G$18</f>
        <v>5.3296679322693087E-2</v>
      </c>
      <c r="H13" s="73">
        <f>(getDistance(coord!$C11,coord!$D11,coord!$C$7,coord!$D$7)*1000)/$H$18</f>
        <v>6.9503729292049857E-2</v>
      </c>
      <c r="I13" s="73">
        <f>(getDistance(coord!$C11,coord!$D11,coord!$C$8,coord!$D$8)*1000)/$I$18</f>
        <v>6.8453640037458213E-2</v>
      </c>
      <c r="J13" s="73">
        <f>(getDistance(coord!$C11,coord!$D11,coord!$C$9,coord!$D$9)*1000)/$J$18</f>
        <v>7.6739583973957054E-2</v>
      </c>
      <c r="K13" s="73">
        <f>(getDistance(coord!$C11,coord!$D11,coord!$C$10,coord!$D$10)*1000)/$K$18</f>
        <v>5.5510452669894815E-2</v>
      </c>
      <c r="L13" s="72">
        <f>(getDistance(coord!$C11,coord!$D11,coord!$C$11,coord!$D$11)*1000)/$L$18</f>
        <v>0</v>
      </c>
      <c r="M13" s="73">
        <f>(getDistance(coord!$C11,coord!$D11,coord!$C$12,coord!$D$12)*1000)/$M$18</f>
        <v>6.5264966140275119E-2</v>
      </c>
      <c r="N13" s="73">
        <f>(getDistance(coord!$C11,coord!$D11,coord!$C$13,coord!$D$13)*1000)/$N$18</f>
        <v>5.2232493602072869E-2</v>
      </c>
      <c r="O13" s="73">
        <f>(getDistance(coord!$C11,coord!$D11,coord!$C$14,coord!$D$14)*1000)/$O$18</f>
        <v>5.9603010416953664E-2</v>
      </c>
      <c r="P13" s="101">
        <f>(getDistance(coord!$C11,coord!$D11,coord!$C$15,coord!$D$15)*1000)/$P$18</f>
        <v>7.7287226039549434E-2</v>
      </c>
      <c r="Q13" s="123" t="s">
        <v>79</v>
      </c>
      <c r="R13" s="124">
        <v>18</v>
      </c>
      <c r="S13" s="103">
        <f t="shared" si="2"/>
        <v>4.0540540540540543E-2</v>
      </c>
      <c r="T13" s="103">
        <f t="shared" si="0"/>
        <v>7.2463768115942032E-2</v>
      </c>
      <c r="U13" s="103">
        <f t="shared" si="0"/>
        <v>7.7586206896551727E-2</v>
      </c>
      <c r="V13" s="103">
        <f t="shared" si="0"/>
        <v>6.6666666666666666E-2</v>
      </c>
      <c r="W13" s="103">
        <f t="shared" si="0"/>
        <v>5.6000000000000001E-2</v>
      </c>
      <c r="X13" s="103">
        <f t="shared" si="0"/>
        <v>0.12727272727272726</v>
      </c>
      <c r="Y13" s="103">
        <f t="shared" si="0"/>
        <v>5.0314465408805034E-2</v>
      </c>
      <c r="Z13" s="103">
        <f t="shared" si="0"/>
        <v>8.8235294117647065E-2</v>
      </c>
      <c r="AA13" s="103">
        <f t="shared" si="0"/>
        <v>9.3167701863354033E-2</v>
      </c>
      <c r="AB13" s="103">
        <f t="shared" si="0"/>
        <v>5.5555555555555552E-2</v>
      </c>
      <c r="AC13" s="103">
        <f t="shared" si="0"/>
        <v>6.7193675889328064E-2</v>
      </c>
      <c r="AD13" s="103">
        <f t="shared" si="0"/>
        <v>5.9113300492610835E-2</v>
      </c>
      <c r="AE13" s="103">
        <f t="shared" si="0"/>
        <v>4.8192771084337352E-2</v>
      </c>
      <c r="AF13" s="103">
        <f t="shared" si="0"/>
        <v>7.2289156626506021E-2</v>
      </c>
      <c r="AG13" s="104">
        <f t="shared" si="0"/>
        <v>5.6338028169014086E-2</v>
      </c>
      <c r="AH13" s="82">
        <f t="shared" si="1"/>
        <v>6.8728657246639083E-2</v>
      </c>
    </row>
    <row r="14" spans="1:34" ht="15.75" customHeight="1">
      <c r="A14" s="124">
        <v>12</v>
      </c>
      <c r="B14" s="73">
        <f>(getDistance(coord!C12,coord!D12,coord!$C$1,coord!$D$1)*1000)/$B$18</f>
        <v>0.14383717721341799</v>
      </c>
      <c r="C14" s="73">
        <f>(getDistance(coord!C12,coord!D12,coord!$C$2,coord!$D$2)*1000)/$C$18</f>
        <v>0.14392493216892677</v>
      </c>
      <c r="D14" s="73">
        <f>(getDistance(coord!$C12,coord!$D12,coord!$C$3,coord!$D$3)*1000)/$D$18</f>
        <v>0.14148827783637166</v>
      </c>
      <c r="E14" s="73">
        <f>(getDistance(coord!$C12,coord!$D12,coord!$C$4,coord!$D$4)*1000)/$E$18</f>
        <v>0.11003873692811286</v>
      </c>
      <c r="F14" s="73">
        <f>(getDistance(coord!$C12,coord!$D12,coord!$C$5,coord!$D$5)*1000)/$F$18</f>
        <v>7.8051967348498674E-2</v>
      </c>
      <c r="G14" s="73">
        <f>(getDistance(coord!$C12,coord!$D12,coord!$C$6,coord!$D$6)*1000)/$G$18</f>
        <v>6.6483284048690902E-2</v>
      </c>
      <c r="H14" s="73">
        <f>(getDistance(coord!$C12,coord!$D12,coord!$C$7,coord!$D$7)*1000)/$H$18</f>
        <v>2.0024271268220917E-2</v>
      </c>
      <c r="I14" s="73">
        <f>(getDistance(coord!$C12,coord!$D12,coord!$C$8,coord!$D$8)*1000)/$I$18</f>
        <v>6.9135553826330728E-2</v>
      </c>
      <c r="J14" s="73">
        <f>(getDistance(coord!$C12,coord!$D12,coord!$C$9,coord!$D$9)*1000)/$J$18</f>
        <v>7.9998039362600984E-2</v>
      </c>
      <c r="K14" s="73">
        <f>(getDistance(coord!$C12,coord!$D12,coord!$C$10,coord!$D$10)*1000)/$K$18</f>
        <v>9.2013806307226581E-2</v>
      </c>
      <c r="L14" s="73">
        <f>(getDistance(coord!$C12,coord!$D12,coord!$C$11,coord!$D$11)*1000)/$L$18</f>
        <v>0.10236903700413104</v>
      </c>
      <c r="M14" s="72">
        <f>(getDistance(coord!$C12,coord!$D12,coord!$C$12,coord!$D$12)*1000)/$M$18</f>
        <v>0</v>
      </c>
      <c r="N14" s="73">
        <f>(getDistance(coord!$C12,coord!$D12,coord!$C$13,coord!$D$13)*1000)/$N$18</f>
        <v>0.12287207249563113</v>
      </c>
      <c r="O14" s="73">
        <f>(getDistance(coord!$C12,coord!$D12,coord!$C$14,coord!$D$14)*1000)/$O$18</f>
        <v>0.13952699386374479</v>
      </c>
      <c r="P14" s="101">
        <f>(getDistance(coord!$C12,coord!$D12,coord!$C$15,coord!$D$15)*1000)/$P$18</f>
        <v>0.10462455522978409</v>
      </c>
      <c r="Q14" s="123" t="s">
        <v>80</v>
      </c>
      <c r="R14" s="124">
        <v>19</v>
      </c>
      <c r="S14" s="103">
        <f t="shared" si="2"/>
        <v>4.0540540540540543E-2</v>
      </c>
      <c r="T14" s="103">
        <f t="shared" si="0"/>
        <v>7.9710144927536225E-2</v>
      </c>
      <c r="U14" s="103">
        <f t="shared" si="0"/>
        <v>6.8965517241379309E-2</v>
      </c>
      <c r="V14" s="103">
        <f t="shared" si="0"/>
        <v>3.3333333333333333E-2</v>
      </c>
      <c r="W14" s="103">
        <f t="shared" si="0"/>
        <v>6.4000000000000001E-2</v>
      </c>
      <c r="X14" s="103">
        <f t="shared" si="0"/>
        <v>9.0909090909090912E-2</v>
      </c>
      <c r="Y14" s="103">
        <f t="shared" si="0"/>
        <v>6.9182389937106917E-2</v>
      </c>
      <c r="Z14" s="103">
        <f t="shared" si="0"/>
        <v>2.9411764705882353E-2</v>
      </c>
      <c r="AA14" s="103">
        <f t="shared" si="0"/>
        <v>7.4534161490683232E-2</v>
      </c>
      <c r="AB14" s="103">
        <f t="shared" si="0"/>
        <v>8.3333333333333329E-2</v>
      </c>
      <c r="AC14" s="103">
        <f t="shared" si="0"/>
        <v>8.3003952569169967E-2</v>
      </c>
      <c r="AD14" s="103">
        <f t="shared" si="0"/>
        <v>5.9113300492610835E-2</v>
      </c>
      <c r="AE14" s="103">
        <f t="shared" si="0"/>
        <v>8.4337349397590355E-2</v>
      </c>
      <c r="AF14" s="103">
        <f t="shared" si="0"/>
        <v>8.4337349397590355E-2</v>
      </c>
      <c r="AG14" s="104">
        <f t="shared" si="0"/>
        <v>7.0422535211267609E-2</v>
      </c>
      <c r="AH14" s="82">
        <f t="shared" si="1"/>
        <v>6.7675650899141016E-2</v>
      </c>
    </row>
    <row r="15" spans="1:34" ht="15.75" customHeight="1">
      <c r="A15" s="124">
        <v>13</v>
      </c>
      <c r="B15" s="73">
        <f>(getDistance(coord!C13,coord!D13,coord!$C$1,coord!$D$1)*1000)/$B$18</f>
        <v>5.017983184475526E-2</v>
      </c>
      <c r="C15" s="73">
        <f>(getDistance(coord!C13,coord!D13,coord!$C$2,coord!$D$2)*1000)/$C$18</f>
        <v>6.2862305474947436E-2</v>
      </c>
      <c r="D15" s="73">
        <f>(getDistance(coord!$C13,coord!$D13,coord!$C$3,coord!$D$3)*1000)/$D$18</f>
        <v>7.706112638427047E-2</v>
      </c>
      <c r="E15" s="73">
        <f>(getDistance(coord!$C13,coord!$D13,coord!$C$4,coord!$D$4)*1000)/$E$18</f>
        <v>1.7263037160236069E-2</v>
      </c>
      <c r="F15" s="73">
        <f>(getDistance(coord!$C13,coord!$D13,coord!$C$5,coord!$D$5)*1000)/$F$18</f>
        <v>0.14178680218828463</v>
      </c>
      <c r="G15" s="73">
        <f>(getDistance(coord!$C13,coord!$D13,coord!$C$6,coord!$D$6)*1000)/$G$18</f>
        <v>0.1310677395336825</v>
      </c>
      <c r="H15" s="73">
        <f>(getDistance(coord!$C13,coord!$D13,coord!$C$7,coord!$D$7)*1000)/$H$18</f>
        <v>0.12522390359060237</v>
      </c>
      <c r="I15" s="73">
        <f>(getDistance(coord!$C13,coord!$D13,coord!$C$8,coord!$D$8)*1000)/$I$18</f>
        <v>0.14139230054352664</v>
      </c>
      <c r="J15" s="73">
        <f>(getDistance(coord!$C13,coord!$D13,coord!$C$9,coord!$D$9)*1000)/$J$18</f>
        <v>0.13711876165609851</v>
      </c>
      <c r="K15" s="73">
        <f>(getDistance(coord!$C13,coord!$D13,coord!$C$10,coord!$D$10)*1000)/$K$18</f>
        <v>0.13217834326849706</v>
      </c>
      <c r="L15" s="73">
        <f>(getDistance(coord!$C13,coord!$D13,coord!$C$11,coord!$D$11)*1000)/$L$18</f>
        <v>7.5693956088462189E-2</v>
      </c>
      <c r="M15" s="73">
        <f>(getDistance(coord!$C13,coord!$D13,coord!$C$12,coord!$D$12)*1000)/$M$18</f>
        <v>0.11352333133333851</v>
      </c>
      <c r="N15" s="72">
        <f>(getDistance(coord!$C13,coord!$D13,coord!$C$13,coord!$D$13)*1000)/$N$18</f>
        <v>0</v>
      </c>
      <c r="O15" s="73">
        <f>(getDistance(coord!$C13,coord!$D13,coord!$C$14,coord!$D$14)*1000)/$O$18</f>
        <v>3.5377274278648514E-2</v>
      </c>
      <c r="P15" s="101">
        <f>(getDistance(coord!$C13,coord!$D13,coord!$C$15,coord!$D$15)*1000)/$P$18</f>
        <v>0.11734303371133657</v>
      </c>
      <c r="Q15" s="123" t="s">
        <v>81</v>
      </c>
      <c r="R15" s="124">
        <v>20</v>
      </c>
      <c r="S15" s="103">
        <f t="shared" si="2"/>
        <v>5.4054054054054057E-2</v>
      </c>
      <c r="T15" s="103">
        <f t="shared" si="0"/>
        <v>3.6231884057971016E-2</v>
      </c>
      <c r="U15" s="103">
        <f t="shared" si="0"/>
        <v>6.8965517241379309E-2</v>
      </c>
      <c r="V15" s="103">
        <f t="shared" si="0"/>
        <v>0.05</v>
      </c>
      <c r="W15" s="103">
        <f t="shared" si="0"/>
        <v>0.08</v>
      </c>
      <c r="X15" s="103">
        <f t="shared" si="0"/>
        <v>9.0909090909090912E-2</v>
      </c>
      <c r="Y15" s="103">
        <f t="shared" si="0"/>
        <v>6.2893081761006289E-2</v>
      </c>
      <c r="Z15" s="103">
        <f t="shared" si="0"/>
        <v>8.8235294117647065E-2</v>
      </c>
      <c r="AA15" s="103">
        <f t="shared" si="0"/>
        <v>6.8322981366459631E-2</v>
      </c>
      <c r="AB15" s="103">
        <f t="shared" si="0"/>
        <v>8.3333333333333329E-2</v>
      </c>
      <c r="AC15" s="103">
        <f t="shared" si="0"/>
        <v>6.7193675889328064E-2</v>
      </c>
      <c r="AD15" s="103">
        <f t="shared" si="0"/>
        <v>5.9113300492610835E-2</v>
      </c>
      <c r="AE15" s="103">
        <f t="shared" si="0"/>
        <v>7.2289156626506021E-2</v>
      </c>
      <c r="AF15" s="103">
        <f t="shared" si="0"/>
        <v>8.4337349397590355E-2</v>
      </c>
      <c r="AG15" s="104">
        <f t="shared" si="0"/>
        <v>0.11267605633802817</v>
      </c>
      <c r="AH15" s="82">
        <f t="shared" si="1"/>
        <v>7.1903651705667024E-2</v>
      </c>
    </row>
    <row r="16" spans="1:34" ht="15.75" customHeight="1">
      <c r="A16" s="124">
        <v>14</v>
      </c>
      <c r="B16" s="73">
        <f>(getDistance(coord!C14,coord!D14,coord!$C$1,coord!$D$1)*1000)/$B$18</f>
        <v>1.3168409585852855E-2</v>
      </c>
      <c r="C16" s="73">
        <f>(getDistance(coord!C14,coord!D14,coord!$C$2,coord!$D$2)*1000)/$C$18</f>
        <v>2.4940157786046097E-2</v>
      </c>
      <c r="D16" s="73">
        <f>(getDistance(coord!$C14,coord!$D14,coord!$C$3,coord!$D$3)*1000)/$D$18</f>
        <v>4.0019253184327808E-2</v>
      </c>
      <c r="E16" s="73">
        <f>(getDistance(coord!$C14,coord!$D14,coord!$C$4,coord!$D$4)*1000)/$E$18</f>
        <v>4.2216171089429995E-2</v>
      </c>
      <c r="F16" s="73">
        <f>(getDistance(coord!$C14,coord!$D14,coord!$C$5,coord!$D$5)*1000)/$F$18</f>
        <v>0.11558224742838909</v>
      </c>
      <c r="G16" s="73">
        <f>(getDistance(coord!$C14,coord!$D14,coord!$C$6,coord!$D$6)*1000)/$G$18</f>
        <v>0.11294035706048326</v>
      </c>
      <c r="H16" s="73">
        <f>(getDistance(coord!$C14,coord!$D14,coord!$C$7,coord!$D$7)*1000)/$H$18</f>
        <v>0.11240513752328073</v>
      </c>
      <c r="I16" s="73">
        <f>(getDistance(coord!$C14,coord!$D14,coord!$C$8,coord!$D$8)*1000)/$I$18</f>
        <v>0.11775036264116372</v>
      </c>
      <c r="J16" s="73">
        <f>(getDistance(coord!$C14,coord!$D14,coord!$C$9,coord!$D$9)*1000)/$J$18</f>
        <v>0.109380832561723</v>
      </c>
      <c r="K16" s="73">
        <f>(getDistance(coord!$C14,coord!$D14,coord!$C$10,coord!$D$10)*1000)/$K$18</f>
        <v>0.1067455764963683</v>
      </c>
      <c r="L16" s="73">
        <f>(getDistance(coord!$C14,coord!$D14,coord!$C$11,coord!$D$11)*1000)/$L$18</f>
        <v>7.1103718124148424E-2</v>
      </c>
      <c r="M16" s="73">
        <f>(getDistance(coord!$C14,coord!$D14,coord!$C$12,coord!$D$12)*1000)/$M$18</f>
        <v>0.10611917188735627</v>
      </c>
      <c r="N16" s="73">
        <f>(getDistance(coord!$C14,coord!$D14,coord!$C$13,coord!$D$13)*1000)/$N$18</f>
        <v>2.9122458845096851E-2</v>
      </c>
      <c r="O16" s="72">
        <f>(getDistance(coord!$C14,coord!$D14,coord!$C$14,coord!$D$14)*1000)/$O$18</f>
        <v>0</v>
      </c>
      <c r="P16" s="101">
        <f>(getDistance(coord!$C14,coord!$D14,coord!$C$15,coord!$D$15)*1000)/$P$18</f>
        <v>8.4959934607816812E-2</v>
      </c>
      <c r="Q16" s="123" t="s">
        <v>82</v>
      </c>
      <c r="R16" s="124">
        <v>21</v>
      </c>
      <c r="S16" s="103">
        <f t="shared" si="2"/>
        <v>6.7567567567567571E-2</v>
      </c>
      <c r="T16" s="103">
        <f t="shared" si="0"/>
        <v>6.5217391304347824E-2</v>
      </c>
      <c r="U16" s="103">
        <f t="shared" si="0"/>
        <v>9.4827586206896547E-2</v>
      </c>
      <c r="V16" s="103">
        <f t="shared" si="0"/>
        <v>8.3333333333333329E-2</v>
      </c>
      <c r="W16" s="103">
        <f t="shared" si="0"/>
        <v>6.4000000000000001E-2</v>
      </c>
      <c r="X16" s="103">
        <f t="shared" si="0"/>
        <v>7.2727272727272724E-2</v>
      </c>
      <c r="Y16" s="103">
        <f t="shared" si="0"/>
        <v>8.1761006289308172E-2</v>
      </c>
      <c r="Z16" s="103">
        <f t="shared" si="0"/>
        <v>5.8823529411764705E-2</v>
      </c>
      <c r="AA16" s="103">
        <f t="shared" si="0"/>
        <v>8.0745341614906832E-2</v>
      </c>
      <c r="AB16" s="103">
        <f t="shared" si="0"/>
        <v>5.5555555555555552E-2</v>
      </c>
      <c r="AC16" s="103">
        <f t="shared" si="0"/>
        <v>9.0909090909090912E-2</v>
      </c>
      <c r="AD16" s="103">
        <f t="shared" si="0"/>
        <v>5.9113300492610835E-2</v>
      </c>
      <c r="AE16" s="103">
        <f t="shared" si="0"/>
        <v>8.4337349397590355E-2</v>
      </c>
      <c r="AF16" s="103">
        <f t="shared" si="0"/>
        <v>6.0240963855421686E-2</v>
      </c>
      <c r="AG16" s="104">
        <f t="shared" si="0"/>
        <v>8.4507042253521125E-2</v>
      </c>
      <c r="AH16" s="82">
        <f t="shared" si="1"/>
        <v>7.3577755394612573E-2</v>
      </c>
    </row>
    <row r="17" spans="1:34" ht="15.75" customHeight="1">
      <c r="A17" s="124">
        <v>15</v>
      </c>
      <c r="B17" s="73">
        <f>(getDistance(coord!C15,coord!D15,coord!$C$1,coord!$D$1)*1000)/$B$18</f>
        <v>7.1209747443455748E-2</v>
      </c>
      <c r="C17" s="73">
        <f>(getDistance(coord!C15,coord!D15,coord!$C$2,coord!$D$2)*1000)/$C$18</f>
        <v>6.3471215654142113E-2</v>
      </c>
      <c r="D17" s="73">
        <f>(getDistance(coord!$C15,coord!$D15,coord!$C$3,coord!$D$3)*1000)/$D$18</f>
        <v>5.5745091284026972E-2</v>
      </c>
      <c r="E17" s="73">
        <f>(getDistance(coord!$C15,coord!$D15,coord!$C$4,coord!$D$4)*1000)/$E$18</f>
        <v>8.9544349164598025E-2</v>
      </c>
      <c r="F17" s="73">
        <f>(getDistance(coord!$C15,coord!$D15,coord!$C$5,coord!$D$5)*1000)/$F$18</f>
        <v>4.6720593461987633E-2</v>
      </c>
      <c r="G17" s="73">
        <f>(getDistance(coord!$C15,coord!$D15,coord!$C$6,coord!$D$6)*1000)/$G$18</f>
        <v>6.6942414344036902E-2</v>
      </c>
      <c r="H17" s="73">
        <f>(getDistance(coord!$C15,coord!$D15,coord!$C$7,coord!$D$7)*1000)/$H$18</f>
        <v>6.6006717784590621E-2</v>
      </c>
      <c r="I17" s="73">
        <f>(getDistance(coord!$C15,coord!$D15,coord!$C$8,coord!$D$8)*1000)/$I$18</f>
        <v>5.3569680646186453E-2</v>
      </c>
      <c r="J17" s="73">
        <f>(getDistance(coord!$C15,coord!$D15,coord!$C$9,coord!$D$9)*1000)/$J$18</f>
        <v>3.2934021855036376E-2</v>
      </c>
      <c r="K17" s="73">
        <f>(getDistance(coord!$C15,coord!$D15,coord!$C$10,coord!$D$10)*1000)/$K$18</f>
        <v>5.4046379854951018E-2</v>
      </c>
      <c r="L17" s="73">
        <f>(getDistance(coord!$C15,coord!$D15,coord!$C$11,coord!$D$11)*1000)/$L$18</f>
        <v>8.3735366407521647E-2</v>
      </c>
      <c r="M17" s="73">
        <f>(getDistance(coord!$C15,coord!$D15,coord!$C$12,coord!$D$12)*1000)/$M$18</f>
        <v>7.2268048762982942E-2</v>
      </c>
      <c r="N17" s="73">
        <f>(getDistance(coord!$C15,coord!$D15,coord!$C$13,coord!$D$13)*1000)/$N$18</f>
        <v>8.7727968540502299E-2</v>
      </c>
      <c r="O17" s="73">
        <f>(getDistance(coord!$C15,coord!$D15,coord!$C$14,coord!$D$14)*1000)/$O$18</f>
        <v>7.7159829397700191E-2</v>
      </c>
      <c r="P17" s="102">
        <f>(getDistance(coord!$C15,coord!$D15,coord!$C$15,coord!$D$15)*1000)/$P$18</f>
        <v>0</v>
      </c>
      <c r="Q17" s="123" t="s">
        <v>83</v>
      </c>
      <c r="R17" s="124">
        <v>22</v>
      </c>
      <c r="S17" s="103">
        <f t="shared" si="2"/>
        <v>5.4054054054054057E-2</v>
      </c>
      <c r="T17" s="103">
        <f t="shared" si="0"/>
        <v>7.2463768115942032E-2</v>
      </c>
      <c r="U17" s="103">
        <f t="shared" si="0"/>
        <v>5.1724137931034482E-2</v>
      </c>
      <c r="V17" s="103">
        <f t="shared" si="0"/>
        <v>8.3333333333333329E-2</v>
      </c>
      <c r="W17" s="103">
        <f t="shared" si="0"/>
        <v>7.1999999999999995E-2</v>
      </c>
      <c r="X17" s="103">
        <f t="shared" si="0"/>
        <v>7.2727272727272724E-2</v>
      </c>
      <c r="Y17" s="103">
        <f t="shared" si="0"/>
        <v>8.8050314465408799E-2</v>
      </c>
      <c r="Z17" s="103">
        <f t="shared" si="0"/>
        <v>5.8823529411764705E-2</v>
      </c>
      <c r="AA17" s="103">
        <f t="shared" si="0"/>
        <v>9.3167701863354033E-2</v>
      </c>
      <c r="AB17" s="103">
        <f t="shared" si="0"/>
        <v>8.3333333333333329E-2</v>
      </c>
      <c r="AC17" s="103">
        <f t="shared" si="0"/>
        <v>8.3003952569169967E-2</v>
      </c>
      <c r="AD17" s="103">
        <f t="shared" si="0"/>
        <v>6.4039408866995079E-2</v>
      </c>
      <c r="AE17" s="103">
        <f t="shared" si="0"/>
        <v>4.8192771084337352E-2</v>
      </c>
      <c r="AF17" s="103">
        <f t="shared" si="0"/>
        <v>8.4337349397590355E-2</v>
      </c>
      <c r="AG17" s="104">
        <f t="shared" si="0"/>
        <v>7.0422535211267609E-2</v>
      </c>
      <c r="AH17" s="82">
        <f t="shared" si="1"/>
        <v>7.1978230824323849E-2</v>
      </c>
    </row>
    <row r="18" spans="1:34" ht="15" thickBot="1">
      <c r="A18" s="49"/>
      <c r="B18" s="126">
        <v>3313.0374730736421</v>
      </c>
      <c r="C18" s="126">
        <v>3169.1147781655891</v>
      </c>
      <c r="D18" s="126">
        <v>2925.0791865189221</v>
      </c>
      <c r="E18" s="126">
        <v>4954.5665299303491</v>
      </c>
      <c r="F18" s="126">
        <v>2784.669575139887</v>
      </c>
      <c r="G18" s="126">
        <v>2826.7345247626708</v>
      </c>
      <c r="H18" s="126">
        <v>4044.3533078667401</v>
      </c>
      <c r="I18" s="126">
        <v>2838.5004233816035</v>
      </c>
      <c r="J18" s="126">
        <v>3052.7326216789588</v>
      </c>
      <c r="K18" s="126">
        <v>2596.7794438497749</v>
      </c>
      <c r="L18" s="126">
        <v>3032.2640594874724</v>
      </c>
      <c r="M18" s="126">
        <v>4756.1497395831047</v>
      </c>
      <c r="N18" s="126">
        <v>4394.277330813823</v>
      </c>
      <c r="O18" s="126">
        <v>3617.355020417825</v>
      </c>
      <c r="P18" s="127">
        <v>3285.2484825320653</v>
      </c>
      <c r="R18" s="41"/>
      <c r="S18" s="128">
        <v>370</v>
      </c>
      <c r="T18" s="128">
        <v>690</v>
      </c>
      <c r="U18" s="128">
        <v>580</v>
      </c>
      <c r="V18" s="128">
        <v>300</v>
      </c>
      <c r="W18" s="128">
        <v>625</v>
      </c>
      <c r="X18" s="128">
        <v>275</v>
      </c>
      <c r="Y18" s="128">
        <v>795</v>
      </c>
      <c r="Z18" s="128">
        <v>170</v>
      </c>
      <c r="AA18" s="128">
        <v>805</v>
      </c>
      <c r="AB18" s="128">
        <v>540</v>
      </c>
      <c r="AC18" s="128">
        <v>1265</v>
      </c>
      <c r="AD18" s="128">
        <v>1015</v>
      </c>
      <c r="AE18" s="128">
        <v>415</v>
      </c>
      <c r="AF18" s="128">
        <v>415</v>
      </c>
      <c r="AG18" s="129">
        <v>355</v>
      </c>
    </row>
    <row r="19" spans="1:34" ht="27.75" customHeight="1">
      <c r="A19" s="114" t="s">
        <v>4</v>
      </c>
      <c r="B19" s="114" t="s">
        <v>7</v>
      </c>
      <c r="C19" s="114" t="s">
        <v>9</v>
      </c>
      <c r="D19" s="114" t="s">
        <v>61</v>
      </c>
      <c r="E19" s="114" t="s">
        <v>62</v>
      </c>
      <c r="F19" s="114" t="s">
        <v>63</v>
      </c>
      <c r="G19" s="114" t="s">
        <v>59</v>
      </c>
      <c r="H19" s="115" t="s">
        <v>60</v>
      </c>
      <c r="I19" s="145" t="s">
        <v>33</v>
      </c>
      <c r="J19" s="135" t="s">
        <v>34</v>
      </c>
      <c r="K19" s="148" t="s">
        <v>35</v>
      </c>
      <c r="L19" s="148" t="s">
        <v>84</v>
      </c>
      <c r="M19" s="149" t="s">
        <v>85</v>
      </c>
      <c r="R19" s="121" t="s">
        <v>12</v>
      </c>
      <c r="S19" s="119">
        <v>1</v>
      </c>
      <c r="T19" s="119">
        <v>2</v>
      </c>
      <c r="U19" s="119">
        <v>3</v>
      </c>
      <c r="V19" s="119">
        <v>4</v>
      </c>
      <c r="W19" s="119">
        <v>5</v>
      </c>
      <c r="X19" s="119">
        <v>6</v>
      </c>
      <c r="Y19" s="119">
        <v>7</v>
      </c>
      <c r="Z19" s="119">
        <v>8</v>
      </c>
      <c r="AA19" s="119">
        <v>9</v>
      </c>
      <c r="AB19" s="119">
        <v>10</v>
      </c>
      <c r="AC19" s="119">
        <v>11</v>
      </c>
      <c r="AD19" s="119">
        <v>12</v>
      </c>
      <c r="AE19" s="119">
        <v>13</v>
      </c>
      <c r="AF19" s="119">
        <v>14</v>
      </c>
      <c r="AG19" s="120">
        <v>15</v>
      </c>
    </row>
    <row r="20" spans="1:34" ht="27.75" customHeight="1">
      <c r="A20" s="124">
        <v>8</v>
      </c>
      <c r="B20" s="124">
        <v>3</v>
      </c>
      <c r="C20" s="94" t="str">
        <f t="shared" ref="C20:C34" si="3">VLOOKUP(B20,$A$2:$Q$17,17,1)</f>
        <v>buzz-lightyears-space-ranger-spin</v>
      </c>
      <c r="D20" s="94">
        <f>ABS(E20)</f>
        <v>0</v>
      </c>
      <c r="E20" s="8"/>
      <c r="F20" s="78">
        <f t="shared" ref="F20:F34" si="4">INDEX($R$2:$AG$17,MATCH(A20,$R$2:$R$17,0),MATCH(B20,$R$2:$AG$2,0))</f>
        <v>8.6206896551724137E-3</v>
      </c>
      <c r="G20" s="8"/>
      <c r="H20" s="79">
        <f t="shared" ref="H20:H34" si="5">INDEX($R$19:$AG$34,MATCH(A20,$R$19:$R$34,0),MATCH(B20,$R$19:$AG$19,0))</f>
        <v>5</v>
      </c>
      <c r="I20" s="146">
        <v>1</v>
      </c>
      <c r="J20" s="137">
        <v>1</v>
      </c>
      <c r="K20" s="39">
        <v>8</v>
      </c>
      <c r="L20" s="150">
        <f>VLOOKUP(C20,coordMK!C:E,2,0)</f>
        <v>28.418243</v>
      </c>
      <c r="M20" s="151">
        <f>VLOOKUP(C20,coordMK!C:E,3,0)</f>
        <v>-81.579359999999994</v>
      </c>
      <c r="O20" s="133"/>
      <c r="R20" s="124">
        <v>8</v>
      </c>
      <c r="S20" s="130">
        <v>10</v>
      </c>
      <c r="T20" s="130">
        <v>25</v>
      </c>
      <c r="U20" s="130">
        <v>5</v>
      </c>
      <c r="V20" s="130">
        <v>10</v>
      </c>
      <c r="W20" s="130">
        <v>25</v>
      </c>
      <c r="X20" s="130">
        <v>10</v>
      </c>
      <c r="Y20" s="130">
        <v>40</v>
      </c>
      <c r="Z20" s="130">
        <v>5</v>
      </c>
      <c r="AA20" s="130">
        <v>5</v>
      </c>
      <c r="AB20" s="130">
        <v>10</v>
      </c>
      <c r="AC20" s="130">
        <v>10</v>
      </c>
      <c r="AD20" s="130">
        <v>70</v>
      </c>
      <c r="AE20" s="130">
        <v>5</v>
      </c>
      <c r="AF20" s="130">
        <v>5</v>
      </c>
      <c r="AG20" s="131">
        <v>15</v>
      </c>
    </row>
    <row r="21" spans="1:34">
      <c r="A21" s="124">
        <v>9</v>
      </c>
      <c r="B21" s="124">
        <v>11</v>
      </c>
      <c r="C21" s="94" t="str">
        <f t="shared" si="3"/>
        <v>seven-dwarfs-mine-train</v>
      </c>
      <c r="D21" s="94">
        <f t="shared" ref="D21:D34" si="6">ABS(E21)</f>
        <v>5.7890112992331204E-2</v>
      </c>
      <c r="E21" s="83">
        <f t="shared" ref="E21:E34" si="7">INDEX($A$2:$P$17,MATCH(B20,$A$2:$A$17,0),MATCH(B21,$A$2:$P$2,0))</f>
        <v>5.7890112992331204E-2</v>
      </c>
      <c r="F21" s="78">
        <f t="shared" si="4"/>
        <v>7.9051383399209481E-3</v>
      </c>
      <c r="G21" s="83">
        <f t="shared" ref="G21:G34" si="8">INDEX($S$36:$AH$52,MATCH(B20,$R$36:$R$51,0),MATCH(B21,$R$36:$AG$36,0))</f>
        <v>413.86441663557724</v>
      </c>
      <c r="H21" s="79">
        <f t="shared" si="5"/>
        <v>10</v>
      </c>
      <c r="I21" s="12">
        <v>1</v>
      </c>
      <c r="J21" s="8">
        <v>1</v>
      </c>
      <c r="K21" s="39">
        <v>9</v>
      </c>
      <c r="L21" s="150">
        <f>VLOOKUP(C21,coordMK!C:E,2,0)</f>
        <v>28.420463999999999</v>
      </c>
      <c r="M21" s="151">
        <f>VLOOKUP(C21,coordMK!C:E,3,0)</f>
        <v>-81.580502999999993</v>
      </c>
      <c r="O21" s="133"/>
      <c r="R21" s="124">
        <v>9</v>
      </c>
      <c r="S21" s="130">
        <v>25</v>
      </c>
      <c r="T21" s="130">
        <v>65</v>
      </c>
      <c r="U21" s="130">
        <v>35</v>
      </c>
      <c r="V21" s="130">
        <v>15</v>
      </c>
      <c r="W21" s="130">
        <v>40</v>
      </c>
      <c r="X21" s="130">
        <v>5</v>
      </c>
      <c r="Y21" s="130">
        <v>35</v>
      </c>
      <c r="Z21" s="130">
        <v>15</v>
      </c>
      <c r="AA21" s="130">
        <v>5</v>
      </c>
      <c r="AB21" s="130">
        <v>30</v>
      </c>
      <c r="AC21" s="130">
        <v>10</v>
      </c>
      <c r="AD21" s="130">
        <v>60</v>
      </c>
      <c r="AE21" s="130">
        <v>5</v>
      </c>
      <c r="AF21" s="130">
        <v>5</v>
      </c>
      <c r="AG21" s="131">
        <v>20</v>
      </c>
    </row>
    <row r="22" spans="1:34">
      <c r="A22" s="124">
        <v>10</v>
      </c>
      <c r="B22" s="124">
        <v>12</v>
      </c>
      <c r="C22" s="94" t="str">
        <f t="shared" si="3"/>
        <v>space-mountain</v>
      </c>
      <c r="D22" s="94">
        <f t="shared" si="6"/>
        <v>6.5264966140275119E-2</v>
      </c>
      <c r="E22" s="83">
        <f t="shared" si="7"/>
        <v>6.5264966140275119E-2</v>
      </c>
      <c r="F22" s="78">
        <f t="shared" si="4"/>
        <v>4.9261083743842367E-2</v>
      </c>
      <c r="G22" s="83">
        <f t="shared" si="8"/>
        <v>229.52406256746684</v>
      </c>
      <c r="H22" s="79">
        <f t="shared" si="5"/>
        <v>50</v>
      </c>
      <c r="I22" s="12">
        <v>1</v>
      </c>
      <c r="J22" s="8">
        <v>1</v>
      </c>
      <c r="K22" s="39">
        <v>10</v>
      </c>
      <c r="L22" s="150">
        <f>VLOOKUP(C22,coordMK!C:E,2,0)</f>
        <v>28.419082</v>
      </c>
      <c r="M22" s="151">
        <f>VLOOKUP(C22,coordMK!C:E,3,0)</f>
        <v>-81.577305999999993</v>
      </c>
      <c r="O22" s="133"/>
      <c r="R22" s="124">
        <v>10</v>
      </c>
      <c r="S22" s="130">
        <v>25</v>
      </c>
      <c r="T22" s="130">
        <v>45</v>
      </c>
      <c r="U22" s="130">
        <v>30</v>
      </c>
      <c r="V22" s="130">
        <v>15</v>
      </c>
      <c r="W22" s="130">
        <v>40</v>
      </c>
      <c r="X22" s="130">
        <v>5</v>
      </c>
      <c r="Y22" s="130">
        <v>60</v>
      </c>
      <c r="Z22" s="130">
        <v>10</v>
      </c>
      <c r="AA22" s="130">
        <v>20</v>
      </c>
      <c r="AB22" s="130">
        <v>45</v>
      </c>
      <c r="AC22" s="130">
        <v>60</v>
      </c>
      <c r="AD22" s="130">
        <v>50</v>
      </c>
      <c r="AE22" s="130">
        <v>20</v>
      </c>
      <c r="AF22" s="130">
        <v>10</v>
      </c>
      <c r="AG22" s="131">
        <v>20</v>
      </c>
    </row>
    <row r="23" spans="1:34">
      <c r="A23" s="124">
        <v>11</v>
      </c>
      <c r="B23" s="124">
        <v>7</v>
      </c>
      <c r="C23" s="94" t="str">
        <f t="shared" si="3"/>
        <v>jungle-cruise</v>
      </c>
      <c r="D23" s="94">
        <f t="shared" si="6"/>
        <v>2.0024271268220917E-2</v>
      </c>
      <c r="E23" s="83">
        <f t="shared" si="7"/>
        <v>2.0024271268220917E-2</v>
      </c>
      <c r="F23" s="78">
        <f t="shared" si="4"/>
        <v>5.6603773584905662E-2</v>
      </c>
      <c r="G23" s="83">
        <f t="shared" si="8"/>
        <v>196.24129880676142</v>
      </c>
      <c r="H23" s="79">
        <f t="shared" si="5"/>
        <v>45</v>
      </c>
      <c r="I23" s="12">
        <v>1</v>
      </c>
      <c r="J23" s="8">
        <v>1</v>
      </c>
      <c r="K23" s="39">
        <v>11</v>
      </c>
      <c r="L23" s="150">
        <f>VLOOKUP(C23,coordMK!C:E,2,0)</f>
        <v>28.418016000000001</v>
      </c>
      <c r="M23" s="151">
        <f>VLOOKUP(C23,coordMK!C:E,3,0)</f>
        <v>-81.583437000000004</v>
      </c>
      <c r="O23" s="133"/>
      <c r="R23" s="124">
        <v>11</v>
      </c>
      <c r="S23" s="130">
        <v>25</v>
      </c>
      <c r="T23" s="130">
        <v>45</v>
      </c>
      <c r="U23" s="130">
        <v>35</v>
      </c>
      <c r="V23" s="130">
        <v>15</v>
      </c>
      <c r="W23" s="130">
        <v>40</v>
      </c>
      <c r="X23" s="130">
        <v>10</v>
      </c>
      <c r="Y23" s="130">
        <v>45</v>
      </c>
      <c r="Z23" s="130">
        <v>10</v>
      </c>
      <c r="AA23" s="130">
        <v>45</v>
      </c>
      <c r="AB23" s="130">
        <v>40</v>
      </c>
      <c r="AC23" s="130">
        <v>90</v>
      </c>
      <c r="AD23" s="130">
        <v>75</v>
      </c>
      <c r="AE23" s="130">
        <v>50</v>
      </c>
      <c r="AF23" s="130">
        <v>20</v>
      </c>
      <c r="AG23" s="131">
        <v>25</v>
      </c>
    </row>
    <row r="24" spans="1:34">
      <c r="A24" s="124">
        <v>12</v>
      </c>
      <c r="B24" s="124">
        <v>6</v>
      </c>
      <c r="C24" s="94" t="str">
        <f t="shared" si="3"/>
        <v>its-a-small-world</v>
      </c>
      <c r="D24" s="94">
        <f t="shared" si="6"/>
        <v>4.8502488917617437E-2</v>
      </c>
      <c r="E24" s="83">
        <f t="shared" si="7"/>
        <v>4.8502488917617437E-2</v>
      </c>
      <c r="F24" s="78">
        <f t="shared" si="4"/>
        <v>3.6363636363636362E-2</v>
      </c>
      <c r="G24" s="83">
        <f t="shared" si="8"/>
        <v>0</v>
      </c>
      <c r="H24" s="79">
        <f t="shared" si="5"/>
        <v>10</v>
      </c>
      <c r="I24" s="12">
        <v>1</v>
      </c>
      <c r="J24" s="8">
        <v>1</v>
      </c>
      <c r="K24" s="39">
        <v>12</v>
      </c>
      <c r="L24" s="150">
        <f>VLOOKUP(C24,coordMK!C:E,2,0)</f>
        <v>28.420539999999999</v>
      </c>
      <c r="M24" s="151">
        <f>VLOOKUP(C24,coordMK!C:E,3,0)</f>
        <v>-81.581951000000004</v>
      </c>
      <c r="O24" s="133"/>
      <c r="R24" s="124">
        <v>12</v>
      </c>
      <c r="S24" s="130">
        <v>35</v>
      </c>
      <c r="T24" s="130">
        <v>50</v>
      </c>
      <c r="U24" s="130">
        <v>50</v>
      </c>
      <c r="V24" s="130">
        <v>20</v>
      </c>
      <c r="W24" s="130">
        <v>45</v>
      </c>
      <c r="X24" s="130">
        <v>10</v>
      </c>
      <c r="Y24" s="130">
        <v>50</v>
      </c>
      <c r="Z24" s="130">
        <v>15</v>
      </c>
      <c r="AA24" s="130">
        <v>75</v>
      </c>
      <c r="AB24" s="130">
        <v>30</v>
      </c>
      <c r="AC24" s="130">
        <v>75</v>
      </c>
      <c r="AD24" s="130">
        <v>95</v>
      </c>
      <c r="AE24" s="130">
        <v>35</v>
      </c>
      <c r="AF24" s="130">
        <v>30</v>
      </c>
      <c r="AG24" s="131">
        <v>20</v>
      </c>
    </row>
    <row r="25" spans="1:34">
      <c r="A25" s="124">
        <v>13</v>
      </c>
      <c r="B25" s="124">
        <v>10</v>
      </c>
      <c r="C25" s="94" t="str">
        <f t="shared" si="3"/>
        <v>pirates-of-the-caribbean</v>
      </c>
      <c r="D25" s="94">
        <f t="shared" si="6"/>
        <v>2.1224732711973001E-2</v>
      </c>
      <c r="E25" s="83">
        <f t="shared" si="7"/>
        <v>2.1224732711973001E-2</v>
      </c>
      <c r="F25" s="78">
        <f t="shared" si="4"/>
        <v>6.4814814814814811E-2</v>
      </c>
      <c r="G25" s="83">
        <f t="shared" si="8"/>
        <v>150.6555634966613</v>
      </c>
      <c r="H25" s="79">
        <f t="shared" si="5"/>
        <v>35</v>
      </c>
      <c r="I25" s="12">
        <v>1</v>
      </c>
      <c r="J25" s="8">
        <v>1</v>
      </c>
      <c r="K25" s="39">
        <v>13</v>
      </c>
      <c r="L25" s="150">
        <f>VLOOKUP(C25,coordMK!C:E,2,0)</f>
        <v>28.418123999999999</v>
      </c>
      <c r="M25" s="151">
        <f>VLOOKUP(C25,coordMK!C:E,3,0)</f>
        <v>-81.584284999999994</v>
      </c>
      <c r="O25" s="133"/>
      <c r="R25" s="124">
        <v>13</v>
      </c>
      <c r="S25" s="130">
        <v>35</v>
      </c>
      <c r="T25" s="130">
        <v>45</v>
      </c>
      <c r="U25" s="130">
        <v>45</v>
      </c>
      <c r="V25" s="130">
        <v>35</v>
      </c>
      <c r="W25" s="130">
        <v>45</v>
      </c>
      <c r="X25" s="130">
        <v>15</v>
      </c>
      <c r="Y25" s="130">
        <v>55</v>
      </c>
      <c r="Z25" s="130">
        <v>15</v>
      </c>
      <c r="AA25" s="130">
        <v>90</v>
      </c>
      <c r="AB25" s="130">
        <v>35</v>
      </c>
      <c r="AC25" s="130">
        <v>75</v>
      </c>
      <c r="AD25" s="130">
        <v>80</v>
      </c>
      <c r="AE25" s="130">
        <v>35</v>
      </c>
      <c r="AF25" s="130">
        <v>35</v>
      </c>
      <c r="AG25" s="131">
        <v>20</v>
      </c>
    </row>
    <row r="26" spans="1:34">
      <c r="A26" s="124">
        <v>14</v>
      </c>
      <c r="B26" s="124">
        <v>5</v>
      </c>
      <c r="C26" s="94" t="str">
        <f t="shared" si="3"/>
        <v>haunted-mansion</v>
      </c>
      <c r="D26" s="94">
        <f t="shared" si="6"/>
        <v>1.9123562363221994E-2</v>
      </c>
      <c r="E26" s="83">
        <f t="shared" si="7"/>
        <v>1.9123562363221994E-2</v>
      </c>
      <c r="F26" s="78">
        <f t="shared" si="4"/>
        <v>6.4000000000000001E-2</v>
      </c>
      <c r="G26" s="83">
        <f t="shared" si="8"/>
        <v>55.11594960765737</v>
      </c>
      <c r="H26" s="79">
        <f t="shared" si="5"/>
        <v>40</v>
      </c>
      <c r="I26" s="12">
        <v>1</v>
      </c>
      <c r="J26" s="8">
        <v>1</v>
      </c>
      <c r="K26" s="39">
        <v>14</v>
      </c>
      <c r="L26" s="150">
        <f>VLOOKUP(C26,coordMK!C:E,2,0)</f>
        <v>28.420445999999998</v>
      </c>
      <c r="M26" s="151">
        <f>VLOOKUP(C26,coordMK!C:E,3,0)</f>
        <v>-81.582879000000005</v>
      </c>
      <c r="O26" s="133"/>
      <c r="R26" s="124">
        <v>14</v>
      </c>
      <c r="S26" s="130">
        <v>20</v>
      </c>
      <c r="T26" s="130">
        <v>40</v>
      </c>
      <c r="U26" s="130">
        <v>45</v>
      </c>
      <c r="V26" s="130">
        <v>35</v>
      </c>
      <c r="W26" s="130">
        <v>40</v>
      </c>
      <c r="X26" s="130">
        <v>20</v>
      </c>
      <c r="Y26" s="130">
        <v>65</v>
      </c>
      <c r="Z26" s="130">
        <v>15</v>
      </c>
      <c r="AA26" s="130">
        <v>70</v>
      </c>
      <c r="AB26" s="130">
        <v>35</v>
      </c>
      <c r="AC26" s="130">
        <v>95</v>
      </c>
      <c r="AD26" s="130">
        <v>80</v>
      </c>
      <c r="AE26" s="130">
        <v>35</v>
      </c>
      <c r="AF26" s="130">
        <v>25</v>
      </c>
      <c r="AG26" s="131">
        <v>20</v>
      </c>
    </row>
    <row r="27" spans="1:34">
      <c r="A27" s="124">
        <v>15</v>
      </c>
      <c r="B27" s="124">
        <v>8</v>
      </c>
      <c r="C27" s="94" t="str">
        <f t="shared" si="3"/>
        <v>monsters-inc-laugh-floor</v>
      </c>
      <c r="D27" s="94">
        <f t="shared" si="6"/>
        <v>7.7395722034668945E-3</v>
      </c>
      <c r="E27" s="83">
        <f t="shared" si="7"/>
        <v>7.7395722034668945E-3</v>
      </c>
      <c r="F27" s="78">
        <f t="shared" si="4"/>
        <v>5.8823529411764705E-2</v>
      </c>
      <c r="G27" s="83">
        <f t="shared" si="8"/>
        <v>46.120406617537434</v>
      </c>
      <c r="H27" s="79">
        <f t="shared" si="5"/>
        <v>10</v>
      </c>
      <c r="I27" s="12">
        <v>1</v>
      </c>
      <c r="J27" s="8">
        <v>1</v>
      </c>
      <c r="K27" s="39">
        <v>15</v>
      </c>
      <c r="L27" s="150">
        <f>VLOOKUP(C27,coordMK!C:E,2,0)</f>
        <v>28.418417000000002</v>
      </c>
      <c r="M27" s="151">
        <f>VLOOKUP(C27,coordMK!C:E,3,0)</f>
        <v>-81.579811000000007</v>
      </c>
      <c r="O27" s="133"/>
      <c r="R27" s="124">
        <v>15</v>
      </c>
      <c r="S27" s="130">
        <v>40</v>
      </c>
      <c r="T27" s="130">
        <v>40</v>
      </c>
      <c r="U27" s="130">
        <v>45</v>
      </c>
      <c r="V27" s="130">
        <v>35</v>
      </c>
      <c r="W27" s="130">
        <v>45</v>
      </c>
      <c r="X27" s="130">
        <v>20</v>
      </c>
      <c r="Y27" s="130">
        <v>75</v>
      </c>
      <c r="Z27" s="130">
        <v>10</v>
      </c>
      <c r="AA27" s="130">
        <v>65</v>
      </c>
      <c r="AB27" s="130">
        <v>40</v>
      </c>
      <c r="AC27" s="130">
        <v>115</v>
      </c>
      <c r="AD27" s="130">
        <v>70</v>
      </c>
      <c r="AE27" s="130">
        <v>25</v>
      </c>
      <c r="AF27" s="130">
        <v>40</v>
      </c>
      <c r="AG27" s="131">
        <v>25</v>
      </c>
    </row>
    <row r="28" spans="1:34">
      <c r="A28" s="124">
        <v>16</v>
      </c>
      <c r="B28" s="124">
        <v>9</v>
      </c>
      <c r="C28" s="94" t="str">
        <f t="shared" si="3"/>
        <v>peter-pans-flight</v>
      </c>
      <c r="D28" s="94">
        <f t="shared" si="6"/>
        <v>2.0897411024069883E-2</v>
      </c>
      <c r="E28" s="83">
        <f t="shared" si="7"/>
        <v>2.0897411024069883E-2</v>
      </c>
      <c r="F28" s="78">
        <f t="shared" si="4"/>
        <v>6.2111801242236024E-2</v>
      </c>
      <c r="G28" s="83">
        <f t="shared" si="8"/>
        <v>58.440074323805938</v>
      </c>
      <c r="H28" s="79">
        <f t="shared" si="5"/>
        <v>50</v>
      </c>
      <c r="I28" s="12">
        <v>1</v>
      </c>
      <c r="J28" s="8">
        <v>1</v>
      </c>
      <c r="K28" s="39">
        <v>16</v>
      </c>
      <c r="L28" s="150">
        <f>VLOOKUP(C28,coordMK!C:E,2,0)</f>
        <v>28.420356000000002</v>
      </c>
      <c r="M28" s="151">
        <f>VLOOKUP(C28,coordMK!C:E,3,0)</f>
        <v>-81.581855000000004</v>
      </c>
      <c r="O28" s="133"/>
      <c r="R28" s="124">
        <v>16</v>
      </c>
      <c r="S28" s="130">
        <v>30</v>
      </c>
      <c r="T28" s="130">
        <v>65</v>
      </c>
      <c r="U28" s="130">
        <v>40</v>
      </c>
      <c r="V28" s="130">
        <v>10</v>
      </c>
      <c r="W28" s="130">
        <v>50</v>
      </c>
      <c r="X28" s="130">
        <v>20</v>
      </c>
      <c r="Y28" s="130">
        <v>60</v>
      </c>
      <c r="Z28" s="130">
        <v>10</v>
      </c>
      <c r="AA28" s="130">
        <v>50</v>
      </c>
      <c r="AB28" s="130">
        <v>40</v>
      </c>
      <c r="AC28" s="130">
        <v>130</v>
      </c>
      <c r="AD28" s="130">
        <v>70</v>
      </c>
      <c r="AE28" s="130">
        <v>35</v>
      </c>
      <c r="AF28" s="130">
        <v>35</v>
      </c>
      <c r="AG28" s="131">
        <v>25</v>
      </c>
    </row>
    <row r="29" spans="1:34">
      <c r="A29" s="124">
        <v>17</v>
      </c>
      <c r="B29" s="124">
        <v>15</v>
      </c>
      <c r="C29" s="94" t="str">
        <f t="shared" si="3"/>
        <v>tomorrowland-speedway</v>
      </c>
      <c r="D29" s="94">
        <f t="shared" si="6"/>
        <v>3.0603092403673621E-2</v>
      </c>
      <c r="E29" s="83">
        <f t="shared" si="7"/>
        <v>3.0603092403673621E-2</v>
      </c>
      <c r="F29" s="78">
        <f t="shared" si="4"/>
        <v>7.0422535211267609E-2</v>
      </c>
      <c r="G29" s="83">
        <f t="shared" si="8"/>
        <v>0</v>
      </c>
      <c r="H29" s="79">
        <f t="shared" si="5"/>
        <v>25</v>
      </c>
      <c r="I29" s="12">
        <v>1</v>
      </c>
      <c r="J29" s="8">
        <v>1</v>
      </c>
      <c r="K29" s="39">
        <v>17</v>
      </c>
      <c r="L29" s="150">
        <f>VLOOKUP(C29,coordMK!C:E,2,0)</f>
        <v>28.419384000000001</v>
      </c>
      <c r="M29" s="151">
        <f>VLOOKUP(C29,coordMK!C:E,3,0)</f>
        <v>-81.579367000000005</v>
      </c>
      <c r="R29" s="124">
        <v>17</v>
      </c>
      <c r="S29" s="130">
        <v>30</v>
      </c>
      <c r="T29" s="130">
        <v>45</v>
      </c>
      <c r="U29" s="130">
        <v>40</v>
      </c>
      <c r="V29" s="130">
        <v>15</v>
      </c>
      <c r="W29" s="130">
        <v>45</v>
      </c>
      <c r="X29" s="130">
        <v>35</v>
      </c>
      <c r="Y29" s="130">
        <v>30</v>
      </c>
      <c r="Z29" s="130">
        <v>10</v>
      </c>
      <c r="AA29" s="130">
        <v>50</v>
      </c>
      <c r="AB29" s="130">
        <v>40</v>
      </c>
      <c r="AC29" s="130">
        <v>110</v>
      </c>
      <c r="AD29" s="130">
        <v>60</v>
      </c>
      <c r="AE29" s="130">
        <v>30</v>
      </c>
      <c r="AF29" s="130">
        <v>50</v>
      </c>
      <c r="AG29" s="131">
        <v>25</v>
      </c>
    </row>
    <row r="30" spans="1:34">
      <c r="A30" s="124">
        <v>18</v>
      </c>
      <c r="B30" s="124">
        <v>14</v>
      </c>
      <c r="C30" s="94" t="str">
        <f t="shared" si="3"/>
        <v>the-many-adventures-of-winnie-the-pooh</v>
      </c>
      <c r="D30" s="94">
        <f t="shared" si="6"/>
        <v>7.7159829397700191E-2</v>
      </c>
      <c r="E30" s="83">
        <f t="shared" si="7"/>
        <v>7.7159829397700191E-2</v>
      </c>
      <c r="F30" s="78">
        <f t="shared" si="4"/>
        <v>7.2289156626506021E-2</v>
      </c>
      <c r="G30" s="83">
        <f t="shared" si="8"/>
        <v>0</v>
      </c>
      <c r="H30" s="79">
        <f t="shared" si="5"/>
        <v>30</v>
      </c>
      <c r="I30" s="12">
        <v>1</v>
      </c>
      <c r="J30" s="8">
        <v>1</v>
      </c>
      <c r="K30" s="39">
        <v>18</v>
      </c>
      <c r="L30" s="150">
        <f>VLOOKUP(C30,coordMK!C:E,2,0)</f>
        <v>28.420138999999999</v>
      </c>
      <c r="M30" s="151">
        <f>VLOOKUP(C30,coordMK!C:E,3,0)</f>
        <v>-81.580201000000002</v>
      </c>
      <c r="R30" s="124">
        <v>18</v>
      </c>
      <c r="S30" s="130">
        <v>15</v>
      </c>
      <c r="T30" s="130">
        <v>50</v>
      </c>
      <c r="U30" s="130">
        <v>45</v>
      </c>
      <c r="V30" s="130">
        <v>20</v>
      </c>
      <c r="W30" s="130">
        <v>35</v>
      </c>
      <c r="X30" s="130">
        <v>35</v>
      </c>
      <c r="Y30" s="130">
        <v>40</v>
      </c>
      <c r="Z30" s="130">
        <v>15</v>
      </c>
      <c r="AA30" s="130">
        <v>75</v>
      </c>
      <c r="AB30" s="130">
        <v>30</v>
      </c>
      <c r="AC30" s="130">
        <v>85</v>
      </c>
      <c r="AD30" s="130">
        <v>60</v>
      </c>
      <c r="AE30" s="130">
        <v>20</v>
      </c>
      <c r="AF30" s="130">
        <v>30</v>
      </c>
      <c r="AG30" s="131">
        <v>20</v>
      </c>
    </row>
    <row r="31" spans="1:34">
      <c r="A31" s="124">
        <v>19</v>
      </c>
      <c r="B31" s="124">
        <v>1</v>
      </c>
      <c r="C31" s="94" t="str">
        <f t="shared" si="3"/>
        <v>astro-orbiter</v>
      </c>
      <c r="D31" s="94">
        <f t="shared" si="6"/>
        <v>1.3168409585852855E-2</v>
      </c>
      <c r="E31" s="83">
        <f t="shared" si="7"/>
        <v>1.3168409585852855E-2</v>
      </c>
      <c r="F31" s="78">
        <f t="shared" si="4"/>
        <v>4.0540540540540543E-2</v>
      </c>
      <c r="G31" s="83">
        <f t="shared" si="8"/>
        <v>79.03822260954027</v>
      </c>
      <c r="H31" s="79">
        <f t="shared" si="5"/>
        <v>15</v>
      </c>
      <c r="I31" s="12">
        <v>1</v>
      </c>
      <c r="J31" s="8">
        <v>1</v>
      </c>
      <c r="K31" s="39">
        <v>19</v>
      </c>
      <c r="L31" s="150">
        <f>VLOOKUP(C31,coordMK!C:E,2,0)</f>
        <v>28.418493000000002</v>
      </c>
      <c r="M31" s="151">
        <f>VLOOKUP(C31,coordMK!C:E,3,0)</f>
        <v>-81.579230999999993</v>
      </c>
      <c r="R31" s="124">
        <v>19</v>
      </c>
      <c r="S31" s="130">
        <v>15</v>
      </c>
      <c r="T31" s="130">
        <v>55</v>
      </c>
      <c r="U31" s="130">
        <v>40</v>
      </c>
      <c r="V31" s="130">
        <v>10</v>
      </c>
      <c r="W31" s="130">
        <v>40</v>
      </c>
      <c r="X31" s="130">
        <v>25</v>
      </c>
      <c r="Y31" s="130">
        <v>55</v>
      </c>
      <c r="Z31" s="130">
        <v>5</v>
      </c>
      <c r="AA31" s="130">
        <v>60</v>
      </c>
      <c r="AB31" s="130">
        <v>45</v>
      </c>
      <c r="AC31" s="130">
        <v>105</v>
      </c>
      <c r="AD31" s="130">
        <v>60</v>
      </c>
      <c r="AE31" s="130">
        <v>35</v>
      </c>
      <c r="AF31" s="130">
        <v>35</v>
      </c>
      <c r="AG31" s="131">
        <v>25</v>
      </c>
    </row>
    <row r="32" spans="1:34">
      <c r="A32" s="124">
        <v>20</v>
      </c>
      <c r="B32" s="124">
        <v>2</v>
      </c>
      <c r="C32" s="94" t="str">
        <f t="shared" si="3"/>
        <v>big-thunder-mountain-railroad</v>
      </c>
      <c r="D32" s="94">
        <f t="shared" si="6"/>
        <v>1.117527131493248E-2</v>
      </c>
      <c r="E32" s="83">
        <f t="shared" si="7"/>
        <v>1.117527131493248E-2</v>
      </c>
      <c r="F32" s="78">
        <f t="shared" si="4"/>
        <v>3.6231884057971016E-2</v>
      </c>
      <c r="G32" s="83">
        <f t="shared" si="8"/>
        <v>75.235308449802986</v>
      </c>
      <c r="H32" s="79">
        <f t="shared" si="5"/>
        <v>25</v>
      </c>
      <c r="I32" s="12">
        <v>1</v>
      </c>
      <c r="J32" s="8">
        <v>1</v>
      </c>
      <c r="K32" s="39">
        <v>20</v>
      </c>
      <c r="L32" s="150">
        <f>VLOOKUP(C32,coordMK!C:E,2,0)</f>
        <v>28.420021999999999</v>
      </c>
      <c r="M32" s="151">
        <f>VLOOKUP(C32,coordMK!C:E,3,0)</f>
        <v>-81.584692000000004</v>
      </c>
      <c r="R32" s="124">
        <v>20</v>
      </c>
      <c r="S32" s="130">
        <v>20</v>
      </c>
      <c r="T32" s="130">
        <v>25</v>
      </c>
      <c r="U32" s="130">
        <v>40</v>
      </c>
      <c r="V32" s="130">
        <v>15</v>
      </c>
      <c r="W32" s="130">
        <v>50</v>
      </c>
      <c r="X32" s="130">
        <v>25</v>
      </c>
      <c r="Y32" s="130">
        <v>50</v>
      </c>
      <c r="Z32" s="130">
        <v>15</v>
      </c>
      <c r="AA32" s="130">
        <v>55</v>
      </c>
      <c r="AB32" s="130">
        <v>45</v>
      </c>
      <c r="AC32" s="130">
        <v>85</v>
      </c>
      <c r="AD32" s="130">
        <v>60</v>
      </c>
      <c r="AE32" s="130">
        <v>30</v>
      </c>
      <c r="AF32" s="130">
        <v>35</v>
      </c>
      <c r="AG32" s="131">
        <v>40</v>
      </c>
    </row>
    <row r="33" spans="1:33">
      <c r="A33" s="124">
        <v>21</v>
      </c>
      <c r="B33" s="124">
        <v>4</v>
      </c>
      <c r="C33" s="94" t="str">
        <f t="shared" si="3"/>
        <v>dumbo-the-flying-elephant</v>
      </c>
      <c r="D33" s="94">
        <f t="shared" si="6"/>
        <v>5.5126561601008373E-2</v>
      </c>
      <c r="E33" s="83">
        <f t="shared" si="7"/>
        <v>5.5126561601008373E-2</v>
      </c>
      <c r="F33" s="78">
        <f t="shared" si="4"/>
        <v>8.3333333333333329E-2</v>
      </c>
      <c r="G33" s="83">
        <f t="shared" si="8"/>
        <v>257.94215654492939</v>
      </c>
      <c r="H33" s="79">
        <f t="shared" si="5"/>
        <v>25</v>
      </c>
      <c r="I33" s="12">
        <v>1</v>
      </c>
      <c r="J33" s="8">
        <v>1</v>
      </c>
      <c r="K33" s="39">
        <v>21</v>
      </c>
      <c r="L33" s="150">
        <f>VLOOKUP(C33,coordMK!C:E,2,0)</f>
        <v>28.420459999999999</v>
      </c>
      <c r="M33" s="151">
        <f>VLOOKUP(C33,coordMK!C:E,3,0)</f>
        <v>-81.578979000000004</v>
      </c>
      <c r="R33" s="124">
        <v>21</v>
      </c>
      <c r="S33" s="130">
        <v>25</v>
      </c>
      <c r="T33" s="130">
        <v>45</v>
      </c>
      <c r="U33" s="130">
        <v>55</v>
      </c>
      <c r="V33" s="130">
        <v>25</v>
      </c>
      <c r="W33" s="130">
        <v>40</v>
      </c>
      <c r="X33" s="130">
        <v>20</v>
      </c>
      <c r="Y33" s="130">
        <v>65</v>
      </c>
      <c r="Z33" s="130">
        <v>10</v>
      </c>
      <c r="AA33" s="130">
        <v>65</v>
      </c>
      <c r="AB33" s="130">
        <v>30</v>
      </c>
      <c r="AC33" s="130">
        <v>115</v>
      </c>
      <c r="AD33" s="130">
        <v>60</v>
      </c>
      <c r="AE33" s="130">
        <v>35</v>
      </c>
      <c r="AF33" s="130">
        <v>25</v>
      </c>
      <c r="AG33" s="131">
        <v>30</v>
      </c>
    </row>
    <row r="34" spans="1:33" ht="15" thickBot="1">
      <c r="A34" s="132">
        <v>22</v>
      </c>
      <c r="B34" s="132">
        <v>13</v>
      </c>
      <c r="C34" s="97" t="str">
        <f t="shared" si="3"/>
        <v>splash-mountain</v>
      </c>
      <c r="D34" s="97">
        <f t="shared" si="6"/>
        <v>1.9464148409406176E-2</v>
      </c>
      <c r="E34" s="105">
        <f t="shared" si="7"/>
        <v>1.9464148409406176E-2</v>
      </c>
      <c r="F34" s="80">
        <f t="shared" si="4"/>
        <v>4.8192771084337352E-2</v>
      </c>
      <c r="G34" s="105">
        <f t="shared" si="8"/>
        <v>209.16282830150311</v>
      </c>
      <c r="H34" s="81">
        <f t="shared" si="5"/>
        <v>20</v>
      </c>
      <c r="I34" s="41">
        <v>1</v>
      </c>
      <c r="J34" s="16">
        <v>1</v>
      </c>
      <c r="K34" s="147">
        <v>22</v>
      </c>
      <c r="L34" s="152">
        <f>VLOOKUP(C34,coordMK!C:E,2,0)</f>
        <v>28.419139000000001</v>
      </c>
      <c r="M34" s="153">
        <f>VLOOKUP(C34,coordMK!C:E,3,0)</f>
        <v>-81.585058000000004</v>
      </c>
      <c r="R34" s="124">
        <v>22</v>
      </c>
      <c r="S34" s="130">
        <v>20</v>
      </c>
      <c r="T34" s="130">
        <v>50</v>
      </c>
      <c r="U34" s="130">
        <v>30</v>
      </c>
      <c r="V34" s="130">
        <v>25</v>
      </c>
      <c r="W34" s="130">
        <v>45</v>
      </c>
      <c r="X34" s="130">
        <v>20</v>
      </c>
      <c r="Y34" s="130">
        <v>70</v>
      </c>
      <c r="Z34" s="130">
        <v>10</v>
      </c>
      <c r="AA34" s="130">
        <v>75</v>
      </c>
      <c r="AB34" s="130">
        <v>45</v>
      </c>
      <c r="AC34" s="130">
        <v>105</v>
      </c>
      <c r="AD34" s="130">
        <v>65</v>
      </c>
      <c r="AE34" s="130">
        <v>20</v>
      </c>
      <c r="AF34" s="130">
        <v>35</v>
      </c>
      <c r="AG34" s="131">
        <v>25</v>
      </c>
    </row>
    <row r="35" spans="1:33" ht="15.75" thickBot="1">
      <c r="A35" s="7"/>
      <c r="B35" s="4"/>
      <c r="C35" s="4"/>
      <c r="D35" s="108">
        <f>SUM(D20:D34)</f>
        <v>0.46736443033375014</v>
      </c>
      <c r="F35" s="82">
        <f>SUM(F20:F34)</f>
        <v>0.75951468801024935</v>
      </c>
      <c r="G35" s="106">
        <f>SUM(G21:G34)</f>
        <v>1771.3402879612433</v>
      </c>
      <c r="H35" s="107">
        <f>SUM(H20:H34)</f>
        <v>395</v>
      </c>
      <c r="K35" s="82">
        <f>D35-SUM(D27:D30)</f>
        <v>0.33096452530483955</v>
      </c>
      <c r="R35" s="41"/>
      <c r="S35" s="109">
        <f>SUM(S20:S34)</f>
        <v>370</v>
      </c>
      <c r="T35" s="109">
        <f t="shared" ref="T35:AG35" si="9">SUM(T20:T34)</f>
        <v>690</v>
      </c>
      <c r="U35" s="109">
        <f t="shared" si="9"/>
        <v>580</v>
      </c>
      <c r="V35" s="109">
        <f t="shared" si="9"/>
        <v>300</v>
      </c>
      <c r="W35" s="109">
        <f t="shared" si="9"/>
        <v>625</v>
      </c>
      <c r="X35" s="109">
        <f t="shared" si="9"/>
        <v>275</v>
      </c>
      <c r="Y35" s="109">
        <f t="shared" si="9"/>
        <v>795</v>
      </c>
      <c r="Z35" s="109">
        <f t="shared" si="9"/>
        <v>170</v>
      </c>
      <c r="AA35" s="109">
        <f t="shared" si="9"/>
        <v>805</v>
      </c>
      <c r="AB35" s="109">
        <f t="shared" si="9"/>
        <v>540</v>
      </c>
      <c r="AC35" s="109">
        <f t="shared" si="9"/>
        <v>1265</v>
      </c>
      <c r="AD35" s="109">
        <f t="shared" si="9"/>
        <v>1015</v>
      </c>
      <c r="AE35" s="109">
        <f t="shared" si="9"/>
        <v>415</v>
      </c>
      <c r="AF35" s="109">
        <f t="shared" si="9"/>
        <v>415</v>
      </c>
      <c r="AG35" s="110">
        <f t="shared" si="9"/>
        <v>355</v>
      </c>
    </row>
    <row r="36" spans="1:33">
      <c r="C36" s="133" t="s">
        <v>3</v>
      </c>
      <c r="D36" s="134">
        <v>1</v>
      </c>
      <c r="F36" s="134">
        <v>1</v>
      </c>
      <c r="K36" s="82">
        <f>F35-SUM(F27:F30)</f>
        <v>0.495867665518475</v>
      </c>
      <c r="R36" s="121" t="s">
        <v>7</v>
      </c>
      <c r="S36" s="119">
        <v>1</v>
      </c>
      <c r="T36" s="119">
        <v>2</v>
      </c>
      <c r="U36" s="119">
        <v>3</v>
      </c>
      <c r="V36" s="119">
        <v>4</v>
      </c>
      <c r="W36" s="119">
        <v>5</v>
      </c>
      <c r="X36" s="119">
        <v>6</v>
      </c>
      <c r="Y36" s="119">
        <v>7</v>
      </c>
      <c r="Z36" s="119">
        <v>8</v>
      </c>
      <c r="AA36" s="119">
        <v>9</v>
      </c>
      <c r="AB36" s="119">
        <v>10</v>
      </c>
      <c r="AC36" s="119">
        <v>11</v>
      </c>
      <c r="AD36" s="119">
        <v>12</v>
      </c>
      <c r="AE36" s="119">
        <v>13</v>
      </c>
      <c r="AF36" s="119">
        <v>14</v>
      </c>
      <c r="AG36" s="120">
        <v>15</v>
      </c>
    </row>
    <row r="37" spans="1:33" ht="15">
      <c r="L37" s="133" t="s">
        <v>31</v>
      </c>
      <c r="R37" s="124">
        <v>1</v>
      </c>
      <c r="S37" s="111">
        <f t="shared" ref="S37:AG51" si="10">B3*B$18</f>
        <v>0</v>
      </c>
      <c r="T37" s="78">
        <f t="shared" si="10"/>
        <v>35.41571747416252</v>
      </c>
      <c r="U37" s="78">
        <f t="shared" si="10"/>
        <v>75.235308449802986</v>
      </c>
      <c r="V37" s="78">
        <f t="shared" si="10"/>
        <v>243.12415046854716</v>
      </c>
      <c r="W37" s="78">
        <f t="shared" si="10"/>
        <v>285.38608101250298</v>
      </c>
      <c r="X37" s="78">
        <f t="shared" si="10"/>
        <v>289.17855867575389</v>
      </c>
      <c r="Y37" s="78">
        <f t="shared" si="10"/>
        <v>422.239931684601</v>
      </c>
      <c r="Z37" s="78">
        <f t="shared" si="10"/>
        <v>299.18469658294089</v>
      </c>
      <c r="AA37" s="78">
        <f t="shared" si="10"/>
        <v>294.34674965435448</v>
      </c>
      <c r="AB37" s="78">
        <f t="shared" si="10"/>
        <v>243.58872607986012</v>
      </c>
      <c r="AC37" s="78">
        <f t="shared" si="10"/>
        <v>203.00393542072791</v>
      </c>
      <c r="AD37" s="78">
        <f t="shared" si="10"/>
        <v>476.53795812918798</v>
      </c>
      <c r="AE37" s="78">
        <f t="shared" si="10"/>
        <v>166.24766329420822</v>
      </c>
      <c r="AF37" s="78">
        <f t="shared" si="10"/>
        <v>43.627434418712667</v>
      </c>
      <c r="AG37" s="79">
        <f t="shared" si="10"/>
        <v>235.9205617282789</v>
      </c>
    </row>
    <row r="38" spans="1:33" ht="15">
      <c r="C38" s="108">
        <f>D35*D36</f>
        <v>0.46736443033375014</v>
      </c>
      <c r="E38" s="82">
        <f>F35*F36</f>
        <v>0.75951468801024935</v>
      </c>
      <c r="G38" s="133" t="s">
        <v>8</v>
      </c>
      <c r="H38" s="113">
        <f>E38+C38</f>
        <v>1.2268791183439995</v>
      </c>
      <c r="I38" s="4"/>
      <c r="J38" s="4"/>
      <c r="K38" s="4"/>
      <c r="L38" s="133" t="s">
        <v>32</v>
      </c>
      <c r="R38" s="124">
        <v>2</v>
      </c>
      <c r="S38" s="78">
        <f t="shared" si="10"/>
        <v>35.41571747416252</v>
      </c>
      <c r="T38" s="111">
        <f t="shared" si="10"/>
        <v>0</v>
      </c>
      <c r="U38" s="78">
        <f t="shared" si="10"/>
        <v>44.436335182955069</v>
      </c>
      <c r="V38" s="78">
        <f t="shared" si="10"/>
        <v>273.1282170184997</v>
      </c>
      <c r="W38" s="78">
        <f t="shared" si="10"/>
        <v>257.94215654492939</v>
      </c>
      <c r="X38" s="78">
        <f t="shared" si="10"/>
        <v>268.18432904191525</v>
      </c>
      <c r="Y38" s="78">
        <f t="shared" si="10"/>
        <v>398.14575455830294</v>
      </c>
      <c r="Z38" s="78">
        <f t="shared" si="10"/>
        <v>273.11509923526529</v>
      </c>
      <c r="AA38" s="78">
        <f t="shared" si="10"/>
        <v>263.58393767409399</v>
      </c>
      <c r="AB38" s="78">
        <f t="shared" si="10"/>
        <v>219.53121870866028</v>
      </c>
      <c r="AC38" s="78">
        <f t="shared" si="10"/>
        <v>200.11373184634658</v>
      </c>
      <c r="AD38" s="78">
        <f t="shared" si="10"/>
        <v>456.11462948302579</v>
      </c>
      <c r="AE38" s="78">
        <f t="shared" si="10"/>
        <v>199.21786127021554</v>
      </c>
      <c r="AF38" s="78">
        <f t="shared" si="10"/>
        <v>79.03822260954027</v>
      </c>
      <c r="AG38" s="79">
        <f t="shared" si="10"/>
        <v>201.14756751767686</v>
      </c>
    </row>
    <row r="39" spans="1:33" ht="15">
      <c r="R39" s="124">
        <v>3</v>
      </c>
      <c r="S39" s="78">
        <f t="shared" si="10"/>
        <v>75.235308449802986</v>
      </c>
      <c r="T39" s="78">
        <f t="shared" si="10"/>
        <v>44.436335182955069</v>
      </c>
      <c r="U39" s="111">
        <f t="shared" si="10"/>
        <v>0</v>
      </c>
      <c r="V39" s="78">
        <f t="shared" si="10"/>
        <v>291.68873208474383</v>
      </c>
      <c r="W39" s="78">
        <f t="shared" si="10"/>
        <v>213.54567105456346</v>
      </c>
      <c r="X39" s="78">
        <f t="shared" si="10"/>
        <v>226.12164826396045</v>
      </c>
      <c r="Y39" s="78">
        <f t="shared" si="10"/>
        <v>354.40223799523591</v>
      </c>
      <c r="Z39" s="78">
        <f t="shared" si="10"/>
        <v>228.93534948956807</v>
      </c>
      <c r="AA39" s="78">
        <f t="shared" si="10"/>
        <v>219.64957303895187</v>
      </c>
      <c r="AB39" s="78">
        <f t="shared" si="10"/>
        <v>176.13361760590166</v>
      </c>
      <c r="AC39" s="78">
        <f t="shared" si="10"/>
        <v>175.53810902631469</v>
      </c>
      <c r="AD39" s="78">
        <f t="shared" si="10"/>
        <v>413.86441663557724</v>
      </c>
      <c r="AE39" s="78">
        <f t="shared" si="10"/>
        <v>225.4098968763337</v>
      </c>
      <c r="AF39" s="78">
        <f t="shared" si="10"/>
        <v>117.05948454950835</v>
      </c>
      <c r="AG39" s="79">
        <f t="shared" si="10"/>
        <v>163.05880626550467</v>
      </c>
    </row>
    <row r="40" spans="1:33" ht="15">
      <c r="L40" s="4"/>
      <c r="M40" s="4"/>
      <c r="N40" s="4"/>
      <c r="O40" s="4"/>
      <c r="P40" s="4"/>
      <c r="Q40" s="4"/>
      <c r="R40" s="124">
        <v>4</v>
      </c>
      <c r="S40" s="78">
        <f t="shared" si="10"/>
        <v>243.12415046854716</v>
      </c>
      <c r="T40" s="78">
        <f t="shared" si="10"/>
        <v>273.1282170184997</v>
      </c>
      <c r="U40" s="78">
        <f t="shared" si="10"/>
        <v>291.68873208474383</v>
      </c>
      <c r="V40" s="111">
        <f t="shared" si="10"/>
        <v>0</v>
      </c>
      <c r="W40" s="78">
        <f t="shared" si="10"/>
        <v>430.58523917795361</v>
      </c>
      <c r="X40" s="78">
        <f t="shared" si="10"/>
        <v>393.65678799828748</v>
      </c>
      <c r="Y40" s="78">
        <f t="shared" si="10"/>
        <v>523.92586826058493</v>
      </c>
      <c r="Z40" s="78">
        <f t="shared" si="10"/>
        <v>433.02117322658597</v>
      </c>
      <c r="AA40" s="78">
        <f t="shared" si="10"/>
        <v>460.99990848306379</v>
      </c>
      <c r="AB40" s="78">
        <f t="shared" si="10"/>
        <v>377.39239285121084</v>
      </c>
      <c r="AC40" s="78">
        <f t="shared" si="10"/>
        <v>243.50268764516565</v>
      </c>
      <c r="AD40" s="78">
        <f t="shared" si="10"/>
        <v>545.19424297983869</v>
      </c>
      <c r="AE40" s="78">
        <f t="shared" si="10"/>
        <v>85.530866119049492</v>
      </c>
      <c r="AF40" s="78">
        <f t="shared" si="10"/>
        <v>209.16282830150311</v>
      </c>
      <c r="AG40" s="79">
        <f t="shared" si="10"/>
        <v>443.65343531531397</v>
      </c>
    </row>
    <row r="41" spans="1:33" ht="15">
      <c r="C41" s="133" t="s">
        <v>64</v>
      </c>
      <c r="G41" s="82">
        <f>G35*3</f>
        <v>5314.0208638837303</v>
      </c>
      <c r="R41" s="124">
        <v>5</v>
      </c>
      <c r="S41" s="78">
        <f t="shared" si="10"/>
        <v>285.38608101250298</v>
      </c>
      <c r="T41" s="78">
        <f t="shared" si="10"/>
        <v>257.94215654492939</v>
      </c>
      <c r="U41" s="78">
        <f t="shared" si="10"/>
        <v>213.54567105456346</v>
      </c>
      <c r="V41" s="78">
        <f t="shared" si="10"/>
        <v>430.58523917795367</v>
      </c>
      <c r="W41" s="111">
        <f t="shared" si="10"/>
        <v>0</v>
      </c>
      <c r="X41" s="78">
        <f t="shared" si="10"/>
        <v>69.455125502039664</v>
      </c>
      <c r="Y41" s="78">
        <f t="shared" si="10"/>
        <v>146.08932876096961</v>
      </c>
      <c r="Z41" s="78">
        <f t="shared" si="10"/>
        <v>21.968778976333269</v>
      </c>
      <c r="AA41" s="78">
        <f t="shared" si="10"/>
        <v>46.120406617537434</v>
      </c>
      <c r="AB41" s="78">
        <f t="shared" si="10"/>
        <v>53.252802281154523</v>
      </c>
      <c r="AC41" s="78">
        <f t="shared" si="10"/>
        <v>196.18586926043142</v>
      </c>
      <c r="AD41" s="78">
        <f t="shared" si="10"/>
        <v>217.34893875517616</v>
      </c>
      <c r="AE41" s="78">
        <f t="shared" si="10"/>
        <v>394.82939421009377</v>
      </c>
      <c r="AF41" s="78">
        <f t="shared" si="10"/>
        <v>321.85836784012554</v>
      </c>
      <c r="AG41" s="79">
        <f t="shared" si="10"/>
        <v>130.10141514607648</v>
      </c>
    </row>
    <row r="42" spans="1:33" ht="15">
      <c r="C42" s="133" t="s">
        <v>65</v>
      </c>
      <c r="G42" s="82">
        <f>G41/5280</f>
        <v>1.0064433454325248</v>
      </c>
      <c r="R42" s="124">
        <v>6</v>
      </c>
      <c r="S42" s="78">
        <f t="shared" si="10"/>
        <v>289.17855867575389</v>
      </c>
      <c r="T42" s="78">
        <f t="shared" si="10"/>
        <v>268.18432904191525</v>
      </c>
      <c r="U42" s="78">
        <f t="shared" si="10"/>
        <v>226.12164826396042</v>
      </c>
      <c r="V42" s="78">
        <f t="shared" si="10"/>
        <v>393.6567879982876</v>
      </c>
      <c r="W42" s="78">
        <f t="shared" si="10"/>
        <v>69.455125502039664</v>
      </c>
      <c r="X42" s="111">
        <f t="shared" si="10"/>
        <v>0</v>
      </c>
      <c r="Y42" s="78">
        <f t="shared" si="10"/>
        <v>137.10365996034804</v>
      </c>
      <c r="Z42" s="78">
        <f t="shared" si="10"/>
        <v>54.816916820998742</v>
      </c>
      <c r="AA42" s="78">
        <f t="shared" si="10"/>
        <v>115.54084629340072</v>
      </c>
      <c r="AB42" s="78">
        <f t="shared" si="10"/>
        <v>55.115949607657377</v>
      </c>
      <c r="AC42" s="78">
        <f t="shared" si="10"/>
        <v>150.6555634966613</v>
      </c>
      <c r="AD42" s="78">
        <f t="shared" si="10"/>
        <v>187.93059434003794</v>
      </c>
      <c r="AE42" s="78">
        <f t="shared" si="10"/>
        <v>370.49370442246158</v>
      </c>
      <c r="AF42" s="78">
        <f t="shared" si="10"/>
        <v>319.2524065418915</v>
      </c>
      <c r="AG42" s="79">
        <f t="shared" si="10"/>
        <v>189.22843379725697</v>
      </c>
    </row>
    <row r="43" spans="1:33" ht="15">
      <c r="C43" s="133" t="s">
        <v>66</v>
      </c>
      <c r="G43" s="82">
        <f>H35/60</f>
        <v>6.583333333333333</v>
      </c>
      <c r="R43" s="124">
        <v>7</v>
      </c>
      <c r="S43" s="78">
        <f t="shared" si="10"/>
        <v>422.239931684601</v>
      </c>
      <c r="T43" s="78">
        <f t="shared" si="10"/>
        <v>398.14575455830294</v>
      </c>
      <c r="U43" s="78">
        <f t="shared" si="10"/>
        <v>354.40223799523591</v>
      </c>
      <c r="V43" s="78">
        <f t="shared" si="10"/>
        <v>523.92586826058493</v>
      </c>
      <c r="W43" s="78">
        <f t="shared" si="10"/>
        <v>146.08932876096961</v>
      </c>
      <c r="X43" s="78">
        <f t="shared" si="10"/>
        <v>137.10365996034804</v>
      </c>
      <c r="Y43" s="111">
        <f t="shared" si="10"/>
        <v>0</v>
      </c>
      <c r="Z43" s="78">
        <f t="shared" si="10"/>
        <v>127.04302098859857</v>
      </c>
      <c r="AA43" s="78">
        <f t="shared" si="10"/>
        <v>166.51786372548233</v>
      </c>
      <c r="AB43" s="78">
        <f t="shared" si="10"/>
        <v>178.79249083232054</v>
      </c>
      <c r="AC43" s="78">
        <f t="shared" si="10"/>
        <v>281.09763747137629</v>
      </c>
      <c r="AD43" s="78">
        <f t="shared" si="10"/>
        <v>80.985227741250185</v>
      </c>
      <c r="AE43" s="78">
        <f t="shared" si="10"/>
        <v>506.44970871063845</v>
      </c>
      <c r="AF43" s="78">
        <f t="shared" si="10"/>
        <v>454.60608976349619</v>
      </c>
      <c r="AG43" s="79">
        <f t="shared" si="10"/>
        <v>266.95448741353545</v>
      </c>
    </row>
    <row r="44" spans="1:33" ht="15">
      <c r="C44" s="133" t="s">
        <v>67</v>
      </c>
      <c r="R44" s="124">
        <v>8</v>
      </c>
      <c r="S44" s="78">
        <f t="shared" si="10"/>
        <v>299.18469658294089</v>
      </c>
      <c r="T44" s="78">
        <f t="shared" si="10"/>
        <v>273.11509923526529</v>
      </c>
      <c r="U44" s="78">
        <f t="shared" si="10"/>
        <v>228.93534948956807</v>
      </c>
      <c r="V44" s="78">
        <f t="shared" si="10"/>
        <v>433.02117322658592</v>
      </c>
      <c r="W44" s="78">
        <f t="shared" si="10"/>
        <v>21.968778976333269</v>
      </c>
      <c r="X44" s="78">
        <f t="shared" si="10"/>
        <v>54.816916820998742</v>
      </c>
      <c r="Y44" s="78">
        <f t="shared" si="10"/>
        <v>127.04302098859856</v>
      </c>
      <c r="Z44" s="111">
        <f t="shared" si="10"/>
        <v>0</v>
      </c>
      <c r="AA44" s="78">
        <f t="shared" si="10"/>
        <v>63.794208341811625</v>
      </c>
      <c r="AB44" s="78">
        <f t="shared" si="10"/>
        <v>58.440074323805938</v>
      </c>
      <c r="AC44" s="78">
        <f t="shared" si="10"/>
        <v>194.30568622833707</v>
      </c>
      <c r="AD44" s="78">
        <f t="shared" si="10"/>
        <v>196.24129880676139</v>
      </c>
      <c r="AE44" s="78">
        <f t="shared" si="10"/>
        <v>401.34210495569926</v>
      </c>
      <c r="AF44" s="78">
        <f t="shared" si="10"/>
        <v>334.23445421028055</v>
      </c>
      <c r="AG44" s="79">
        <f t="shared" si="10"/>
        <v>152.05756119461753</v>
      </c>
    </row>
    <row r="45" spans="1:33" ht="15">
      <c r="C45" s="133" t="s">
        <v>68</v>
      </c>
      <c r="R45" s="124">
        <v>9</v>
      </c>
      <c r="S45" s="78">
        <f t="shared" si="10"/>
        <v>294.34674965435448</v>
      </c>
      <c r="T45" s="78">
        <f t="shared" si="10"/>
        <v>263.58393767409399</v>
      </c>
      <c r="U45" s="78">
        <f t="shared" si="10"/>
        <v>219.64957303895184</v>
      </c>
      <c r="V45" s="78">
        <f t="shared" si="10"/>
        <v>460.99990848306379</v>
      </c>
      <c r="W45" s="78">
        <f t="shared" si="10"/>
        <v>46.120406617537441</v>
      </c>
      <c r="X45" s="78">
        <f t="shared" si="10"/>
        <v>115.54084629340073</v>
      </c>
      <c r="Y45" s="78">
        <f t="shared" si="10"/>
        <v>166.51786372548233</v>
      </c>
      <c r="Z45" s="78">
        <f t="shared" si="10"/>
        <v>63.794208341811625</v>
      </c>
      <c r="AA45" s="111">
        <f t="shared" si="10"/>
        <v>0</v>
      </c>
      <c r="AB45" s="78">
        <f t="shared" si="10"/>
        <v>90.664956666995778</v>
      </c>
      <c r="AC45" s="78">
        <f t="shared" si="10"/>
        <v>234.26543137137054</v>
      </c>
      <c r="AD45" s="78">
        <f t="shared" si="10"/>
        <v>244.21262443256944</v>
      </c>
      <c r="AE45" s="78">
        <f t="shared" si="10"/>
        <v>418.58691675179392</v>
      </c>
      <c r="AF45" s="78">
        <f t="shared" si="10"/>
        <v>333.91043574757589</v>
      </c>
      <c r="AG45" s="79">
        <f t="shared" si="10"/>
        <v>100.53876287995733</v>
      </c>
    </row>
    <row r="46" spans="1:33" ht="15">
      <c r="R46" s="124">
        <v>10</v>
      </c>
      <c r="S46" s="78">
        <f t="shared" si="10"/>
        <v>243.58872607986009</v>
      </c>
      <c r="T46" s="78">
        <f t="shared" si="10"/>
        <v>219.53121870866028</v>
      </c>
      <c r="U46" s="78">
        <f t="shared" si="10"/>
        <v>176.13361760590169</v>
      </c>
      <c r="V46" s="78">
        <f t="shared" si="10"/>
        <v>377.39239285121084</v>
      </c>
      <c r="W46" s="78">
        <f t="shared" si="10"/>
        <v>53.252802281154523</v>
      </c>
      <c r="X46" s="78">
        <f t="shared" si="10"/>
        <v>55.11594960765737</v>
      </c>
      <c r="Y46" s="78">
        <f t="shared" si="10"/>
        <v>178.79249083232051</v>
      </c>
      <c r="Z46" s="78">
        <f t="shared" si="10"/>
        <v>58.440074323805938</v>
      </c>
      <c r="AA46" s="78">
        <f t="shared" si="10"/>
        <v>90.664956666995778</v>
      </c>
      <c r="AB46" s="111">
        <f t="shared" si="10"/>
        <v>0</v>
      </c>
      <c r="AC46" s="78">
        <f t="shared" si="10"/>
        <v>144.14840241197871</v>
      </c>
      <c r="AD46" s="78">
        <f t="shared" si="10"/>
        <v>238.93956076898075</v>
      </c>
      <c r="AE46" s="78">
        <f t="shared" si="10"/>
        <v>343.23800472175242</v>
      </c>
      <c r="AF46" s="78">
        <f t="shared" si="10"/>
        <v>277.19471876766289</v>
      </c>
      <c r="AG46" s="79">
        <f t="shared" si="10"/>
        <v>140.34652822183338</v>
      </c>
    </row>
    <row r="47" spans="1:33" ht="15">
      <c r="R47" s="124">
        <v>11</v>
      </c>
      <c r="S47" s="78">
        <f t="shared" si="10"/>
        <v>203.00393542072791</v>
      </c>
      <c r="T47" s="78">
        <f t="shared" si="10"/>
        <v>200.11373184634658</v>
      </c>
      <c r="U47" s="78">
        <f t="shared" si="10"/>
        <v>175.53810902631469</v>
      </c>
      <c r="V47" s="78">
        <f t="shared" si="10"/>
        <v>243.50268764516565</v>
      </c>
      <c r="W47" s="78">
        <f t="shared" si="10"/>
        <v>196.18586926043142</v>
      </c>
      <c r="X47" s="78">
        <f t="shared" si="10"/>
        <v>150.6555634966613</v>
      </c>
      <c r="Y47" s="78">
        <f t="shared" si="10"/>
        <v>281.09763747137629</v>
      </c>
      <c r="Z47" s="78">
        <f t="shared" si="10"/>
        <v>194.30568622833701</v>
      </c>
      <c r="AA47" s="78">
        <f t="shared" si="10"/>
        <v>234.26543137137054</v>
      </c>
      <c r="AB47" s="78">
        <f t="shared" si="10"/>
        <v>144.14840241197871</v>
      </c>
      <c r="AC47" s="111">
        <f t="shared" si="10"/>
        <v>0</v>
      </c>
      <c r="AD47" s="78">
        <f t="shared" si="10"/>
        <v>310.40995171196965</v>
      </c>
      <c r="AE47" s="78">
        <f t="shared" si="10"/>
        <v>229.52406256746684</v>
      </c>
      <c r="AF47" s="78">
        <f t="shared" si="10"/>
        <v>215.60524896378325</v>
      </c>
      <c r="AG47" s="79">
        <f t="shared" si="10"/>
        <v>253.90774206554249</v>
      </c>
    </row>
    <row r="48" spans="1:33" ht="15">
      <c r="R48" s="124">
        <v>12</v>
      </c>
      <c r="S48" s="78">
        <f t="shared" si="10"/>
        <v>476.53795812918798</v>
      </c>
      <c r="T48" s="78">
        <f t="shared" si="10"/>
        <v>456.11462948302579</v>
      </c>
      <c r="U48" s="78">
        <f t="shared" si="10"/>
        <v>413.86441663557724</v>
      </c>
      <c r="V48" s="78">
        <f t="shared" si="10"/>
        <v>545.19424297983869</v>
      </c>
      <c r="W48" s="78">
        <f t="shared" si="10"/>
        <v>217.34893875517614</v>
      </c>
      <c r="X48" s="78">
        <f t="shared" si="10"/>
        <v>187.93059434003794</v>
      </c>
      <c r="Y48" s="78">
        <f t="shared" si="10"/>
        <v>80.985227741250185</v>
      </c>
      <c r="Z48" s="78">
        <f t="shared" si="10"/>
        <v>196.24129880676142</v>
      </c>
      <c r="AA48" s="78">
        <f t="shared" si="10"/>
        <v>244.21262443256944</v>
      </c>
      <c r="AB48" s="78">
        <f t="shared" si="10"/>
        <v>238.93956076898075</v>
      </c>
      <c r="AC48" s="78">
        <f t="shared" si="10"/>
        <v>310.40995171196965</v>
      </c>
      <c r="AD48" s="111">
        <f t="shared" si="10"/>
        <v>0</v>
      </c>
      <c r="AE48" s="78">
        <f t="shared" si="10"/>
        <v>539.93396275766452</v>
      </c>
      <c r="AF48" s="78">
        <f t="shared" si="10"/>
        <v>504.71867173682426</v>
      </c>
      <c r="AG48" s="79">
        <f t="shared" si="10"/>
        <v>343.71766130424044</v>
      </c>
    </row>
    <row r="49" spans="18:33" ht="15">
      <c r="R49" s="124">
        <v>13</v>
      </c>
      <c r="S49" s="78">
        <f t="shared" si="10"/>
        <v>166.24766329420825</v>
      </c>
      <c r="T49" s="78">
        <f t="shared" si="10"/>
        <v>199.21786127021554</v>
      </c>
      <c r="U49" s="78">
        <f t="shared" si="10"/>
        <v>225.4098968763337</v>
      </c>
      <c r="V49" s="78">
        <f t="shared" si="10"/>
        <v>85.530866119049492</v>
      </c>
      <c r="W49" s="78">
        <f t="shared" si="10"/>
        <v>394.82939421009377</v>
      </c>
      <c r="X49" s="78">
        <f t="shared" si="10"/>
        <v>370.49370442246152</v>
      </c>
      <c r="Y49" s="78">
        <f t="shared" si="10"/>
        <v>506.44970871063845</v>
      </c>
      <c r="Z49" s="78">
        <f t="shared" si="10"/>
        <v>401.34210495569931</v>
      </c>
      <c r="AA49" s="78">
        <f t="shared" si="10"/>
        <v>418.58691675179392</v>
      </c>
      <c r="AB49" s="78">
        <f t="shared" si="10"/>
        <v>343.23800472175242</v>
      </c>
      <c r="AC49" s="78">
        <f t="shared" si="10"/>
        <v>229.52406256746684</v>
      </c>
      <c r="AD49" s="78">
        <f t="shared" si="10"/>
        <v>539.93396275766452</v>
      </c>
      <c r="AE49" s="111">
        <f t="shared" si="10"/>
        <v>0</v>
      </c>
      <c r="AF49" s="78">
        <f t="shared" si="10"/>
        <v>127.97216072056759</v>
      </c>
      <c r="AG49" s="79">
        <f t="shared" si="10"/>
        <v>385.50102343587747</v>
      </c>
    </row>
    <row r="50" spans="18:33" ht="15">
      <c r="R50" s="124">
        <v>14</v>
      </c>
      <c r="S50" s="78">
        <f t="shared" si="10"/>
        <v>43.627434418712667</v>
      </c>
      <c r="T50" s="78">
        <f t="shared" si="10"/>
        <v>79.03822260954027</v>
      </c>
      <c r="U50" s="78">
        <f t="shared" si="10"/>
        <v>117.05948454950837</v>
      </c>
      <c r="V50" s="78">
        <f t="shared" si="10"/>
        <v>209.16282830150308</v>
      </c>
      <c r="W50" s="78">
        <f t="shared" si="10"/>
        <v>321.85836784012554</v>
      </c>
      <c r="X50" s="78">
        <f t="shared" si="10"/>
        <v>319.2524065418915</v>
      </c>
      <c r="Y50" s="78">
        <f t="shared" si="10"/>
        <v>454.60608976349624</v>
      </c>
      <c r="Z50" s="78">
        <f t="shared" si="10"/>
        <v>334.23445421028055</v>
      </c>
      <c r="AA50" s="78">
        <f t="shared" si="10"/>
        <v>333.91043574757589</v>
      </c>
      <c r="AB50" s="78">
        <f t="shared" si="10"/>
        <v>277.19471876766289</v>
      </c>
      <c r="AC50" s="78">
        <f t="shared" si="10"/>
        <v>215.60524896378325</v>
      </c>
      <c r="AD50" s="78">
        <f t="shared" si="10"/>
        <v>504.71867173682426</v>
      </c>
      <c r="AE50" s="78">
        <f t="shared" si="10"/>
        <v>127.9721607205676</v>
      </c>
      <c r="AF50" s="111">
        <f t="shared" si="10"/>
        <v>0</v>
      </c>
      <c r="AG50" s="79">
        <f t="shared" si="10"/>
        <v>279.11449624635367</v>
      </c>
    </row>
    <row r="51" spans="18:33" ht="15.75" thickBot="1">
      <c r="R51" s="132">
        <v>15</v>
      </c>
      <c r="S51" s="80">
        <f t="shared" si="10"/>
        <v>235.92056172827887</v>
      </c>
      <c r="T51" s="80">
        <f t="shared" si="10"/>
        <v>201.14756751767686</v>
      </c>
      <c r="U51" s="80">
        <f t="shared" si="10"/>
        <v>163.05880626550467</v>
      </c>
      <c r="V51" s="80">
        <f t="shared" si="10"/>
        <v>443.65343531531397</v>
      </c>
      <c r="W51" s="80">
        <f t="shared" si="10"/>
        <v>130.10141514607648</v>
      </c>
      <c r="X51" s="80">
        <f t="shared" si="10"/>
        <v>189.22843379725694</v>
      </c>
      <c r="Y51" s="80">
        <f t="shared" si="10"/>
        <v>266.95448741353545</v>
      </c>
      <c r="Z51" s="80">
        <f t="shared" si="10"/>
        <v>152.05756119461753</v>
      </c>
      <c r="AA51" s="80">
        <f t="shared" si="10"/>
        <v>100.53876287995732</v>
      </c>
      <c r="AB51" s="80">
        <f t="shared" si="10"/>
        <v>140.34652822183338</v>
      </c>
      <c r="AC51" s="80">
        <f t="shared" si="10"/>
        <v>253.90774206554252</v>
      </c>
      <c r="AD51" s="80">
        <f t="shared" si="10"/>
        <v>343.71766130424044</v>
      </c>
      <c r="AE51" s="80">
        <f t="shared" si="10"/>
        <v>385.50102343587747</v>
      </c>
      <c r="AF51" s="80">
        <f t="shared" si="10"/>
        <v>279.11449624635367</v>
      </c>
      <c r="AG51" s="112">
        <f t="shared" si="10"/>
        <v>0</v>
      </c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120BC8-DAE2-458C-B7AE-4DA1649192F6}">
  <dimension ref="A1:AH51"/>
  <sheetViews>
    <sheetView topLeftCell="A12" workbookViewId="0">
      <selection activeCell="A19" sqref="A19:M34"/>
    </sheetView>
  </sheetViews>
  <sheetFormatPr defaultRowHeight="14.25"/>
  <cols>
    <col min="1" max="1" width="11.625" bestFit="1" customWidth="1"/>
    <col min="2" max="2" width="14.75" bestFit="1" customWidth="1"/>
    <col min="3" max="3" width="18.5" customWidth="1"/>
    <col min="4" max="4" width="7.625" customWidth="1"/>
    <col min="5" max="5" width="7.75" bestFit="1" customWidth="1"/>
    <col min="6" max="6" width="9.75" customWidth="1"/>
    <col min="7" max="7" width="7.875" customWidth="1"/>
    <col min="8" max="8" width="8" customWidth="1"/>
    <col min="9" max="12" width="7.375" bestFit="1" customWidth="1"/>
    <col min="13" max="13" width="7.625" customWidth="1"/>
    <col min="14" max="16" width="7.375" bestFit="1" customWidth="1"/>
    <col min="17" max="17" width="37.875" bestFit="1" customWidth="1"/>
    <col min="18" max="18" width="18.25" customWidth="1"/>
    <col min="19" max="19" width="12.75" bestFit="1" customWidth="1"/>
    <col min="20" max="34" width="6.125" customWidth="1"/>
    <col min="35" max="35" width="15.75" bestFit="1" customWidth="1"/>
  </cols>
  <sheetData>
    <row r="1" spans="1:34" ht="48.75" customHeight="1" thickBot="1">
      <c r="A1" s="125" t="s">
        <v>41</v>
      </c>
      <c r="B1" s="116" t="s">
        <v>5</v>
      </c>
      <c r="C1" s="25"/>
      <c r="D1" s="25"/>
      <c r="E1" s="25"/>
      <c r="F1" s="25"/>
      <c r="G1" s="25"/>
      <c r="H1" s="25"/>
      <c r="I1" s="25"/>
      <c r="J1" s="25"/>
      <c r="K1" s="25"/>
      <c r="L1" s="25"/>
      <c r="M1" s="25"/>
      <c r="N1" s="25"/>
      <c r="O1" s="25"/>
      <c r="P1" s="25"/>
      <c r="Q1" s="117" t="s">
        <v>40</v>
      </c>
      <c r="R1" s="117" t="s">
        <v>11</v>
      </c>
      <c r="S1" s="118" t="s">
        <v>6</v>
      </c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</row>
    <row r="2" spans="1:34">
      <c r="A2" s="121" t="s">
        <v>5</v>
      </c>
      <c r="B2" s="119">
        <v>1</v>
      </c>
      <c r="C2" s="119">
        <v>2</v>
      </c>
      <c r="D2" s="119">
        <v>3</v>
      </c>
      <c r="E2" s="119">
        <v>4</v>
      </c>
      <c r="F2" s="119">
        <v>5</v>
      </c>
      <c r="G2" s="119">
        <v>6</v>
      </c>
      <c r="H2" s="119">
        <v>7</v>
      </c>
      <c r="I2" s="119">
        <v>8</v>
      </c>
      <c r="J2" s="119">
        <v>9</v>
      </c>
      <c r="K2" s="119">
        <v>10</v>
      </c>
      <c r="L2" s="119">
        <v>11</v>
      </c>
      <c r="M2" s="119">
        <v>12</v>
      </c>
      <c r="N2" s="119">
        <v>13</v>
      </c>
      <c r="O2" s="119">
        <v>14</v>
      </c>
      <c r="P2" s="120">
        <v>15</v>
      </c>
      <c r="R2" s="121" t="s">
        <v>12</v>
      </c>
      <c r="S2" s="119">
        <v>1</v>
      </c>
      <c r="T2" s="119">
        <v>2</v>
      </c>
      <c r="U2" s="119">
        <v>3</v>
      </c>
      <c r="V2" s="119">
        <v>4</v>
      </c>
      <c r="W2" s="119">
        <v>5</v>
      </c>
      <c r="X2" s="119">
        <v>6</v>
      </c>
      <c r="Y2" s="119">
        <v>7</v>
      </c>
      <c r="Z2" s="119">
        <v>8</v>
      </c>
      <c r="AA2" s="119">
        <v>9</v>
      </c>
      <c r="AB2" s="119">
        <v>10</v>
      </c>
      <c r="AC2" s="119">
        <v>11</v>
      </c>
      <c r="AD2" s="119">
        <v>12</v>
      </c>
      <c r="AE2" s="119">
        <v>13</v>
      </c>
      <c r="AF2" s="119">
        <v>14</v>
      </c>
      <c r="AG2" s="120">
        <v>15</v>
      </c>
      <c r="AH2" s="122" t="s">
        <v>13</v>
      </c>
    </row>
    <row r="3" spans="1:34" ht="15.75" customHeight="1">
      <c r="A3" s="124">
        <v>1</v>
      </c>
      <c r="B3" s="72">
        <f>(getDistance(coord!C1,coord!D1,coord!$C$1,coord!$D$1)*1000)/$B$18</f>
        <v>0</v>
      </c>
      <c r="C3" s="73">
        <f>(getDistance(coord!C1,coord!D1,coord!$C$2,coord!$D$2)*1000)/$C$18</f>
        <v>1.117527131493248E-2</v>
      </c>
      <c r="D3" s="73">
        <f>(getDistance(coord!$C1,coord!$D1,coord!$C$3,coord!$D$3)*1000)/$D$18</f>
        <v>2.5720776653345583E-2</v>
      </c>
      <c r="E3" s="73">
        <f>(getDistance(coord!$C1,coord!$D1,coord!$C$4,coord!$D$4)*1000)/$E$18</f>
        <v>4.9070720717916162E-2</v>
      </c>
      <c r="F3" s="73">
        <f>(getDistance(coord!$C1,coord!$D1,coord!$C$5,coord!$D$5)*1000)/$F$18</f>
        <v>0.10248471975285137</v>
      </c>
      <c r="G3" s="73">
        <f>(getDistance(coord!$C1,coord!$D1,coord!$C$6,coord!$D$6)*1000)/$G$18</f>
        <v>0.10230127949494407</v>
      </c>
      <c r="H3" s="73">
        <f>(getDistance(coord!$C1,coord!$D1,coord!$C$7,coord!$D$7)*1000)/$H$18</f>
        <v>0.10440233568696755</v>
      </c>
      <c r="I3" s="73">
        <f>(getDistance(coord!$C1,coord!$D1,coord!$C$8,coord!$D$8)*1000)/$I$18</f>
        <v>0.10540237870618735</v>
      </c>
      <c r="J3" s="73">
        <f>(getDistance(coord!$C1,coord!$D1,coord!$C$9,coord!$D$9)*1000)/$J$18</f>
        <v>9.6420743685199664E-2</v>
      </c>
      <c r="K3" s="73">
        <f>(getDistance(coord!$C1,coord!$D1,coord!$C$10,coord!$D$10)*1000)/$K$18</f>
        <v>9.3804164484117755E-2</v>
      </c>
      <c r="L3" s="73">
        <f>(getDistance(coord!$C1,coord!$D1,coord!$C$11,coord!$D$11)*1000)/$L$18</f>
        <v>6.6947974001657556E-2</v>
      </c>
      <c r="M3" s="73">
        <f>(getDistance(coord!$C1,coord!$D1,coord!$C$12,coord!$D$12)*1000)/$M$18</f>
        <v>0.10019406120946865</v>
      </c>
      <c r="N3" s="73">
        <f>(getDistance(coord!$C1,coord!$D1,coord!$C$13,coord!$D$13)*1000)/$N$18</f>
        <v>3.7832765385205913E-2</v>
      </c>
      <c r="O3" s="73">
        <f>(getDistance(coord!$C1,coord!$D1,coord!$C$14,coord!$D$14)*1000)/$O$18</f>
        <v>1.2060589622102796E-2</v>
      </c>
      <c r="P3" s="101">
        <f>(getDistance(coord!$C1,coord!$D1,coord!$C$15,coord!$D$15)*1000)/$P$18</f>
        <v>7.1812090617403165E-2</v>
      </c>
      <c r="Q3" s="123" t="s">
        <v>69</v>
      </c>
      <c r="R3" s="124">
        <v>8</v>
      </c>
      <c r="S3" s="103">
        <f t="shared" ref="S3:AG17" si="0">S20/S$18</f>
        <v>2.7027027027027029E-2</v>
      </c>
      <c r="T3" s="103">
        <f t="shared" si="0"/>
        <v>3.6231884057971016E-2</v>
      </c>
      <c r="U3" s="103">
        <f t="shared" si="0"/>
        <v>8.6206896551724137E-3</v>
      </c>
      <c r="V3" s="103">
        <f t="shared" si="0"/>
        <v>3.3333333333333333E-2</v>
      </c>
      <c r="W3" s="103">
        <f t="shared" si="0"/>
        <v>0.04</v>
      </c>
      <c r="X3" s="103">
        <f t="shared" si="0"/>
        <v>3.6363636363636362E-2</v>
      </c>
      <c r="Y3" s="103">
        <f t="shared" si="0"/>
        <v>5.0314465408805034E-2</v>
      </c>
      <c r="Z3" s="103">
        <f t="shared" si="0"/>
        <v>2.9411764705882353E-2</v>
      </c>
      <c r="AA3" s="103">
        <f t="shared" si="0"/>
        <v>6.2111801242236021E-3</v>
      </c>
      <c r="AB3" s="103">
        <f t="shared" si="0"/>
        <v>1.8518518518518517E-2</v>
      </c>
      <c r="AC3" s="103">
        <f t="shared" si="0"/>
        <v>7.9051383399209481E-3</v>
      </c>
      <c r="AD3" s="103">
        <f t="shared" si="0"/>
        <v>6.8965517241379309E-2</v>
      </c>
      <c r="AE3" s="103">
        <f t="shared" si="0"/>
        <v>1.2048192771084338E-2</v>
      </c>
      <c r="AF3" s="103">
        <f t="shared" si="0"/>
        <v>1.2048192771084338E-2</v>
      </c>
      <c r="AG3" s="104">
        <f t="shared" si="0"/>
        <v>4.2253521126760563E-2</v>
      </c>
      <c r="AH3" s="82">
        <f t="shared" ref="AH3:AH17" si="1">AVERAGE(S3:AG3)</f>
        <v>2.8616870762986604E-2</v>
      </c>
    </row>
    <row r="4" spans="1:34" ht="15.75" customHeight="1">
      <c r="A4" s="124">
        <v>2</v>
      </c>
      <c r="B4" s="73">
        <f>(getDistance(coord!C2,coord!D2,coord!$C$1,coord!$D$1)*1000)/$B$18</f>
        <v>1.0689802865799129E-2</v>
      </c>
      <c r="C4" s="72">
        <f>(getDistance(coord!C2,coord!D2,coord!$C$2,coord!$D$2)*1000)/$C$18</f>
        <v>0</v>
      </c>
      <c r="D4" s="73">
        <f>(getDistance(coord!$C2,coord!$D2,coord!$C$3,coord!$D$3)*1000)/$D$18</f>
        <v>1.5191498195246419E-2</v>
      </c>
      <c r="E4" s="73">
        <f>(getDistance(coord!$C2,coord!$D2,coord!$C$4,coord!$D$4)*1000)/$E$18</f>
        <v>5.5126561601008373E-2</v>
      </c>
      <c r="F4" s="73">
        <f>(getDistance(coord!$C2,coord!$D2,coord!$C$5,coord!$D$5)*1000)/$F$18</f>
        <v>9.2629358559344246E-2</v>
      </c>
      <c r="G4" s="73">
        <f>(getDistance(coord!$C2,coord!$D2,coord!$C$6,coord!$D$6)*1000)/$G$18</f>
        <v>9.4874253911209322E-2</v>
      </c>
      <c r="H4" s="73">
        <f>(getDistance(coord!$C2,coord!$D2,coord!$C$7,coord!$D$7)*1000)/$H$18</f>
        <v>9.8444849955087482E-2</v>
      </c>
      <c r="I4" s="73">
        <f>(getDistance(coord!$C2,coord!$D2,coord!$C$8,coord!$D$8)*1000)/$I$18</f>
        <v>9.6218093534717122E-2</v>
      </c>
      <c r="J4" s="73">
        <f>(getDistance(coord!$C2,coord!$D2,coord!$C$9,coord!$D$9)*1000)/$J$18</f>
        <v>8.6343604350493902E-2</v>
      </c>
      <c r="K4" s="73">
        <f>(getDistance(coord!$C2,coord!$D2,coord!$C$10,coord!$D$10)*1000)/$K$18</f>
        <v>8.4539801494731906E-2</v>
      </c>
      <c r="L4" s="73">
        <f>(getDistance(coord!$C2,coord!$D2,coord!$C$11,coord!$D$11)*1000)/$L$18</f>
        <v>6.5994823643482664E-2</v>
      </c>
      <c r="M4" s="73">
        <f>(getDistance(coord!$C2,coord!$D2,coord!$C$12,coord!$D$12)*1000)/$M$18</f>
        <v>9.5899972552799834E-2</v>
      </c>
      <c r="N4" s="73">
        <f>(getDistance(coord!$C2,coord!$D2,coord!$C$13,coord!$D$13)*1000)/$N$18</f>
        <v>4.5335750630313601E-2</v>
      </c>
      <c r="O4" s="73">
        <f>(getDistance(coord!$C2,coord!$D2,coord!$C$14,coord!$D$14)*1000)/$O$18</f>
        <v>2.1849727815881039E-2</v>
      </c>
      <c r="P4" s="101">
        <f>(getDistance(coord!$C2,coord!$D2,coord!$C$15,coord!$D$15)*1000)/$P$18</f>
        <v>6.122750488652378E-2</v>
      </c>
      <c r="Q4" s="123" t="s">
        <v>70</v>
      </c>
      <c r="R4" s="124">
        <v>9</v>
      </c>
      <c r="S4" s="103">
        <f t="shared" ref="S4:S17" si="2">S21/$S$18</f>
        <v>6.7567567567567571E-2</v>
      </c>
      <c r="T4" s="103">
        <f t="shared" si="0"/>
        <v>9.420289855072464E-2</v>
      </c>
      <c r="U4" s="103">
        <f t="shared" si="0"/>
        <v>6.0344827586206899E-2</v>
      </c>
      <c r="V4" s="103">
        <f t="shared" si="0"/>
        <v>0.05</v>
      </c>
      <c r="W4" s="103">
        <f t="shared" si="0"/>
        <v>6.4000000000000001E-2</v>
      </c>
      <c r="X4" s="103">
        <f t="shared" si="0"/>
        <v>1.8181818181818181E-2</v>
      </c>
      <c r="Y4" s="103">
        <f t="shared" si="0"/>
        <v>4.40251572327044E-2</v>
      </c>
      <c r="Z4" s="103">
        <f t="shared" si="0"/>
        <v>8.8235294117647065E-2</v>
      </c>
      <c r="AA4" s="103">
        <f t="shared" si="0"/>
        <v>6.2111801242236021E-3</v>
      </c>
      <c r="AB4" s="103">
        <f t="shared" si="0"/>
        <v>5.5555555555555552E-2</v>
      </c>
      <c r="AC4" s="103">
        <f t="shared" si="0"/>
        <v>7.9051383399209481E-3</v>
      </c>
      <c r="AD4" s="103">
        <f t="shared" si="0"/>
        <v>5.9113300492610835E-2</v>
      </c>
      <c r="AE4" s="103">
        <f t="shared" si="0"/>
        <v>1.2048192771084338E-2</v>
      </c>
      <c r="AF4" s="103">
        <f t="shared" si="0"/>
        <v>1.2048192771084338E-2</v>
      </c>
      <c r="AG4" s="104">
        <f t="shared" si="0"/>
        <v>5.6338028169014086E-2</v>
      </c>
      <c r="AH4" s="82">
        <f t="shared" si="1"/>
        <v>4.6385143430677504E-2</v>
      </c>
    </row>
    <row r="5" spans="1:34" ht="15.75" customHeight="1">
      <c r="A5" s="124">
        <v>3</v>
      </c>
      <c r="B5" s="73">
        <f>(getDistance(coord!C3,coord!D3,coord!$C$1,coord!$D$1)*1000)/$B$18</f>
        <v>2.2708861297606776E-2</v>
      </c>
      <c r="C5" s="73">
        <f>(getDistance(coord!C3,coord!D3,coord!$C$2,coord!$D$2)*1000)/$C$18</f>
        <v>1.4021686904213865E-2</v>
      </c>
      <c r="D5" s="72">
        <f>(getDistance(coord!$C3,coord!$D3,coord!$C$3,coord!$D$3)*1000)/$D$18</f>
        <v>0</v>
      </c>
      <c r="E5" s="73">
        <f>(getDistance(coord!$C3,coord!$D3,coord!$C$4,coord!$D$4)*1000)/$E$18</f>
        <v>5.8872704670058063E-2</v>
      </c>
      <c r="F5" s="73">
        <f>(getDistance(coord!$C3,coord!$D3,coord!$C$5,coord!$D$5)*1000)/$F$18</f>
        <v>7.6686179560042075E-2</v>
      </c>
      <c r="G5" s="73">
        <f>(getDistance(coord!$C3,coord!$D3,coord!$C$6,coord!$D$6)*1000)/$G$18</f>
        <v>7.9993945764307434E-2</v>
      </c>
      <c r="H5" s="73">
        <f>(getDistance(coord!$C3,coord!$D3,coord!$C$7,coord!$D$7)*1000)/$H$18</f>
        <v>8.7628901586288749E-2</v>
      </c>
      <c r="I5" s="73">
        <f>(getDistance(coord!$C3,coord!$D3,coord!$C$8,coord!$D$8)*1000)/$I$18</f>
        <v>8.0653625274724985E-2</v>
      </c>
      <c r="J5" s="73">
        <f>(getDistance(coord!$C3,coord!$D3,coord!$C$9,coord!$D$9)*1000)/$J$18</f>
        <v>7.1951788859303298E-2</v>
      </c>
      <c r="K5" s="73">
        <f>(getDistance(coord!$C3,coord!$D3,coord!$C$10,coord!$D$10)*1000)/$K$18</f>
        <v>6.7827715604826352E-2</v>
      </c>
      <c r="L5" s="73">
        <f>(getDistance(coord!$C3,coord!$D3,coord!$C$11,coord!$D$11)*1000)/$L$18</f>
        <v>5.7890112992331204E-2</v>
      </c>
      <c r="M5" s="73">
        <f>(getDistance(coord!$C3,coord!$D3,coord!$C$12,coord!$D$12)*1000)/$M$18</f>
        <v>8.7016691924391362E-2</v>
      </c>
      <c r="N5" s="73">
        <f>(getDistance(coord!$C3,coord!$D3,coord!$C$13,coord!$D$13)*1000)/$N$18</f>
        <v>5.1296238245069445E-2</v>
      </c>
      <c r="O5" s="73">
        <f>(getDistance(coord!$C3,coord!$D3,coord!$C$14,coord!$D$14)*1000)/$O$18</f>
        <v>3.2360518635515992E-2</v>
      </c>
      <c r="P5" s="101">
        <f>(getDistance(coord!$C3,coord!$D3,coord!$C$15,coord!$D$15)*1000)/$P$18</f>
        <v>4.9633629581598372E-2</v>
      </c>
      <c r="Q5" s="123" t="s">
        <v>71</v>
      </c>
      <c r="R5" s="124">
        <v>10</v>
      </c>
      <c r="S5" s="103">
        <f t="shared" si="2"/>
        <v>6.7567567567567571E-2</v>
      </c>
      <c r="T5" s="103">
        <f t="shared" si="0"/>
        <v>6.5217391304347824E-2</v>
      </c>
      <c r="U5" s="103">
        <f t="shared" si="0"/>
        <v>5.1724137931034482E-2</v>
      </c>
      <c r="V5" s="103">
        <f t="shared" si="0"/>
        <v>0.05</v>
      </c>
      <c r="W5" s="103">
        <f t="shared" si="0"/>
        <v>6.4000000000000001E-2</v>
      </c>
      <c r="X5" s="103">
        <f t="shared" si="0"/>
        <v>1.8181818181818181E-2</v>
      </c>
      <c r="Y5" s="103">
        <f t="shared" si="0"/>
        <v>7.5471698113207544E-2</v>
      </c>
      <c r="Z5" s="103">
        <f t="shared" si="0"/>
        <v>5.8823529411764705E-2</v>
      </c>
      <c r="AA5" s="103">
        <f t="shared" si="0"/>
        <v>2.4844720496894408E-2</v>
      </c>
      <c r="AB5" s="103">
        <f t="shared" si="0"/>
        <v>8.3333333333333329E-2</v>
      </c>
      <c r="AC5" s="103">
        <f t="shared" si="0"/>
        <v>4.7430830039525688E-2</v>
      </c>
      <c r="AD5" s="103">
        <f t="shared" si="0"/>
        <v>4.9261083743842367E-2</v>
      </c>
      <c r="AE5" s="103">
        <f t="shared" si="0"/>
        <v>4.8192771084337352E-2</v>
      </c>
      <c r="AF5" s="103">
        <f t="shared" si="0"/>
        <v>2.4096385542168676E-2</v>
      </c>
      <c r="AG5" s="104">
        <f t="shared" si="0"/>
        <v>5.6338028169014086E-2</v>
      </c>
      <c r="AH5" s="82">
        <f t="shared" si="1"/>
        <v>5.2298886327923753E-2</v>
      </c>
    </row>
    <row r="6" spans="1:34" ht="15.75" customHeight="1">
      <c r="A6" s="124">
        <v>4</v>
      </c>
      <c r="B6" s="73">
        <f>(getDistance(coord!C4,coord!D4,coord!$C$1,coord!$D$1)*1000)/$B$18</f>
        <v>7.3384062946620046E-2</v>
      </c>
      <c r="C6" s="73">
        <f>(getDistance(coord!C4,coord!D4,coord!$C$2,coord!$D$2)*1000)/$C$18</f>
        <v>8.6184387798222087E-2</v>
      </c>
      <c r="D6" s="73">
        <f>(getDistance(coord!$C4,coord!$D4,coord!$C$3,coord!$D$3)*1000)/$D$18</f>
        <v>9.9719943798129013E-2</v>
      </c>
      <c r="E6" s="72">
        <f>(getDistance(coord!$C4,coord!$D4,coord!$C$4,coord!$D$4)*1000)/$E$18</f>
        <v>0</v>
      </c>
      <c r="F6" s="73">
        <f>(getDistance(coord!$C4,coord!$D4,coord!$C$5,coord!$D$5)*1000)/$F$18</f>
        <v>0.15462704911993852</v>
      </c>
      <c r="G6" s="73">
        <f>(getDistance(coord!$C4,coord!$D4,coord!$C$6,coord!$D$6)*1000)/$G$18</f>
        <v>0.13926202993234338</v>
      </c>
      <c r="H6" s="73">
        <f>(getDistance(coord!$C4,coord!$D4,coord!$C$7,coord!$D$7)*1000)/$H$18</f>
        <v>0.12954502942200619</v>
      </c>
      <c r="I6" s="73">
        <f>(getDistance(coord!$C4,coord!$D4,coord!$C$8,coord!$D$8)*1000)/$I$18</f>
        <v>0.15255279501093499</v>
      </c>
      <c r="J6" s="73">
        <f>(getDistance(coord!$C4,coord!$D4,coord!$C$9,coord!$D$9)*1000)/$J$18</f>
        <v>0.15101221286439442</v>
      </c>
      <c r="K6" s="73">
        <f>(getDistance(coord!$C4,coord!$D4,coord!$C$10,coord!$D$10)*1000)/$K$18</f>
        <v>0.14533093819154677</v>
      </c>
      <c r="L6" s="73">
        <f>(getDistance(coord!$C4,coord!$D4,coord!$C$11,coord!$D$11)*1000)/$L$18</f>
        <v>8.0303919074357799E-2</v>
      </c>
      <c r="M6" s="73">
        <f>(getDistance(coord!$C4,coord!$D4,coord!$C$12,coord!$D$12)*1000)/$M$18</f>
        <v>0.11462932683604429</v>
      </c>
      <c r="N6" s="73">
        <f>(getDistance(coord!$C4,coord!$D4,coord!$C$13,coord!$D$13)*1000)/$N$18</f>
        <v>1.9464148409406176E-2</v>
      </c>
      <c r="O6" s="73">
        <f>(getDistance(coord!$C4,coord!$D4,coord!$C$14,coord!$D$14)*1000)/$O$18</f>
        <v>5.7822034918027933E-2</v>
      </c>
      <c r="P6" s="101">
        <f>(getDistance(coord!$C4,coord!$D4,coord!$C$15,coord!$D$15)*1000)/$P$18</f>
        <v>0.13504410326167277</v>
      </c>
      <c r="Q6" s="123" t="s">
        <v>72</v>
      </c>
      <c r="R6" s="124">
        <v>11</v>
      </c>
      <c r="S6" s="103">
        <f t="shared" si="2"/>
        <v>6.7567567567567571E-2</v>
      </c>
      <c r="T6" s="103">
        <f t="shared" si="0"/>
        <v>6.5217391304347824E-2</v>
      </c>
      <c r="U6" s="103">
        <f t="shared" si="0"/>
        <v>6.0344827586206899E-2</v>
      </c>
      <c r="V6" s="103">
        <f t="shared" si="0"/>
        <v>0.05</v>
      </c>
      <c r="W6" s="103">
        <f t="shared" si="0"/>
        <v>6.4000000000000001E-2</v>
      </c>
      <c r="X6" s="103">
        <f t="shared" si="0"/>
        <v>3.6363636363636362E-2</v>
      </c>
      <c r="Y6" s="103">
        <f t="shared" si="0"/>
        <v>5.6603773584905662E-2</v>
      </c>
      <c r="Z6" s="103">
        <f t="shared" si="0"/>
        <v>5.8823529411764705E-2</v>
      </c>
      <c r="AA6" s="103">
        <f t="shared" si="0"/>
        <v>5.5900621118012424E-2</v>
      </c>
      <c r="AB6" s="103">
        <f t="shared" si="0"/>
        <v>7.407407407407407E-2</v>
      </c>
      <c r="AC6" s="103">
        <f t="shared" si="0"/>
        <v>7.1146245059288543E-2</v>
      </c>
      <c r="AD6" s="103">
        <f t="shared" si="0"/>
        <v>7.3891625615763554E-2</v>
      </c>
      <c r="AE6" s="103">
        <f t="shared" si="0"/>
        <v>0.12048192771084337</v>
      </c>
      <c r="AF6" s="103">
        <f t="shared" si="0"/>
        <v>4.8192771084337352E-2</v>
      </c>
      <c r="AG6" s="104">
        <f t="shared" si="0"/>
        <v>7.0422535211267609E-2</v>
      </c>
      <c r="AH6" s="82">
        <f t="shared" si="1"/>
        <v>6.4868701712801069E-2</v>
      </c>
    </row>
    <row r="7" spans="1:34" ht="15.75" customHeight="1">
      <c r="A7" s="124">
        <v>5</v>
      </c>
      <c r="B7" s="73">
        <f>(getDistance(coord!C5,coord!D5,coord!$C$1,coord!$D$1)*1000)/$B$18</f>
        <v>8.6140311823197854E-2</v>
      </c>
      <c r="C7" s="73">
        <f>(getDistance(coord!C5,coord!D5,coord!$C$2,coord!$D$2)*1000)/$C$18</f>
        <v>8.139249430853264E-2</v>
      </c>
      <c r="D7" s="73">
        <f>(getDistance(coord!$C5,coord!$D5,coord!$C$3,coord!$D$3)*1000)/$D$18</f>
        <v>7.3005090610452794E-2</v>
      </c>
      <c r="E7" s="73">
        <f>(getDistance(coord!$C5,coord!$D5,coord!$C$4,coord!$D$4)*1000)/$E$18</f>
        <v>8.6906742815300697E-2</v>
      </c>
      <c r="F7" s="72">
        <f>(getDistance(coord!$C5,coord!$D5,coord!$C$5,coord!$D$5)*1000)/$F$18</f>
        <v>0</v>
      </c>
      <c r="G7" s="73">
        <f>(getDistance(coord!$C5,coord!$D5,coord!$C$6,coord!$D$6)*1000)/$G$18</f>
        <v>2.4570798882456439E-2</v>
      </c>
      <c r="H7" s="73">
        <f>(getDistance(coord!$C5,coord!$D5,coord!$C$7,coord!$D$7)*1000)/$H$18</f>
        <v>3.612180184080574E-2</v>
      </c>
      <c r="I7" s="73">
        <f>(getDistance(coord!$C5,coord!$D5,coord!$C$8,coord!$D$8)*1000)/$I$18</f>
        <v>7.7395722034668945E-3</v>
      </c>
      <c r="J7" s="73">
        <f>(getDistance(coord!$C5,coord!$D5,coord!$C$9,coord!$D$9)*1000)/$J$18</f>
        <v>1.5107908989478376E-2</v>
      </c>
      <c r="K7" s="73">
        <f>(getDistance(coord!$C5,coord!$D5,coord!$C$10,coord!$D$10)*1000)/$K$18</f>
        <v>2.0507248856763218E-2</v>
      </c>
      <c r="L7" s="73">
        <f>(getDistance(coord!$C5,coord!$D5,coord!$C$11,coord!$D$11)*1000)/$L$18</f>
        <v>6.4699467266578256E-2</v>
      </c>
      <c r="M7" s="73">
        <f>(getDistance(coord!$C5,coord!$D5,coord!$C$12,coord!$D$12)*1000)/$M$18</f>
        <v>4.5698506282568732E-2</v>
      </c>
      <c r="N7" s="73">
        <f>(getDistance(coord!$C5,coord!$D5,coord!$C$13,coord!$D$13)*1000)/$N$18</f>
        <v>8.9850813793987627E-2</v>
      </c>
      <c r="O7" s="73">
        <f>(getDistance(coord!$C5,coord!$D5,coord!$C$14,coord!$D$14)*1000)/$O$18</f>
        <v>8.8976162423490601E-2</v>
      </c>
      <c r="P7" s="101">
        <f>(getDistance(coord!$C5,coord!$D5,coord!$C$15,coord!$D$15)*1000)/$P$18</f>
        <v>3.9601697052090989E-2</v>
      </c>
      <c r="Q7" s="123" t="s">
        <v>73</v>
      </c>
      <c r="R7" s="124">
        <v>12</v>
      </c>
      <c r="S7" s="103">
        <f t="shared" si="2"/>
        <v>9.45945945945946E-2</v>
      </c>
      <c r="T7" s="103">
        <f t="shared" si="0"/>
        <v>7.2463768115942032E-2</v>
      </c>
      <c r="U7" s="103">
        <f t="shared" si="0"/>
        <v>8.6206896551724144E-2</v>
      </c>
      <c r="V7" s="103">
        <f t="shared" si="0"/>
        <v>6.6666666666666666E-2</v>
      </c>
      <c r="W7" s="103">
        <f t="shared" si="0"/>
        <v>7.1999999999999995E-2</v>
      </c>
      <c r="X7" s="103">
        <f t="shared" si="0"/>
        <v>3.6363636363636362E-2</v>
      </c>
      <c r="Y7" s="103">
        <f t="shared" si="0"/>
        <v>6.2893081761006289E-2</v>
      </c>
      <c r="Z7" s="103">
        <f t="shared" si="0"/>
        <v>8.8235294117647065E-2</v>
      </c>
      <c r="AA7" s="103">
        <f t="shared" si="0"/>
        <v>9.3167701863354033E-2</v>
      </c>
      <c r="AB7" s="103">
        <f t="shared" si="0"/>
        <v>5.5555555555555552E-2</v>
      </c>
      <c r="AC7" s="103">
        <f t="shared" si="0"/>
        <v>5.9288537549407112E-2</v>
      </c>
      <c r="AD7" s="103">
        <f t="shared" si="0"/>
        <v>9.3596059113300489E-2</v>
      </c>
      <c r="AE7" s="103">
        <f t="shared" si="0"/>
        <v>8.4337349397590355E-2</v>
      </c>
      <c r="AF7" s="103">
        <f t="shared" si="0"/>
        <v>7.2289156626506021E-2</v>
      </c>
      <c r="AG7" s="104">
        <f t="shared" si="0"/>
        <v>5.6338028169014086E-2</v>
      </c>
      <c r="AH7" s="82">
        <f t="shared" si="1"/>
        <v>7.2933088429729648E-2</v>
      </c>
    </row>
    <row r="8" spans="1:34" ht="15.75" customHeight="1">
      <c r="A8" s="124">
        <v>6</v>
      </c>
      <c r="B8" s="73">
        <f>(getDistance(coord!C6,coord!D6,coord!$C$1,coord!$D$1)*1000)/$B$18</f>
        <v>8.7285025003798394E-2</v>
      </c>
      <c r="C8" s="73">
        <f>(getDistance(coord!C6,coord!D6,coord!$C$2,coord!$D$2)*1000)/$C$18</f>
        <v>8.4624366049989241E-2</v>
      </c>
      <c r="D8" s="73">
        <f>(getDistance(coord!$C6,coord!$D6,coord!$C$3,coord!$D$3)*1000)/$D$18</f>
        <v>7.7304453604575149E-2</v>
      </c>
      <c r="E8" s="73">
        <f>(getDistance(coord!$C6,coord!$D6,coord!$C$4,coord!$D$4)*1000)/$E$18</f>
        <v>7.9453325658303667E-2</v>
      </c>
      <c r="F8" s="73">
        <f>(getDistance(coord!$C6,coord!$D6,coord!$C$5,coord!$D$5)*1000)/$F$18</f>
        <v>2.4941962997010375E-2</v>
      </c>
      <c r="G8" s="72">
        <f>(getDistance(coord!$C6,coord!$D6,coord!$C$6,coord!$D$6)*1000)/$G$18</f>
        <v>0</v>
      </c>
      <c r="H8" s="73">
        <f>(getDistance(coord!$C6,coord!$D6,coord!$C$7,coord!$D$7)*1000)/$H$18</f>
        <v>3.3900020478840311E-2</v>
      </c>
      <c r="I8" s="73">
        <f>(getDistance(coord!$C6,coord!$D6,coord!$C$8,coord!$D$8)*1000)/$I$18</f>
        <v>1.9311928358176342E-2</v>
      </c>
      <c r="J8" s="73">
        <f>(getDistance(coord!$C6,coord!$D6,coord!$C$9,coord!$D$9)*1000)/$J$18</f>
        <v>3.7848334791225485E-2</v>
      </c>
      <c r="K8" s="73">
        <f>(getDistance(coord!$C6,coord!$D6,coord!$C$10,coord!$D$10)*1000)/$K$18</f>
        <v>2.1224732711973001E-2</v>
      </c>
      <c r="L8" s="73">
        <f>(getDistance(coord!$C6,coord!$D6,coord!$C$11,coord!$D$11)*1000)/$L$18</f>
        <v>4.9684183349825349E-2</v>
      </c>
      <c r="M8" s="73">
        <f>(getDistance(coord!$C6,coord!$D6,coord!$C$12,coord!$D$12)*1000)/$M$18</f>
        <v>3.9513178648683756E-2</v>
      </c>
      <c r="N8" s="73">
        <f>(getDistance(coord!$C6,coord!$D6,coord!$C$13,coord!$D$13)*1000)/$N$18</f>
        <v>8.4312772392507576E-2</v>
      </c>
      <c r="O8" s="73">
        <f>(getDistance(coord!$C6,coord!$D6,coord!$C$14,coord!$D$14)*1000)/$O$18</f>
        <v>8.82557572424882E-2</v>
      </c>
      <c r="P8" s="101">
        <f>(getDistance(coord!$C6,coord!$D6,coord!$C$15,coord!$D$15)*1000)/$P$18</f>
        <v>5.7599428111267691E-2</v>
      </c>
      <c r="Q8" s="123" t="s">
        <v>74</v>
      </c>
      <c r="R8" s="124">
        <v>13</v>
      </c>
      <c r="S8" s="103">
        <f t="shared" si="2"/>
        <v>9.45945945945946E-2</v>
      </c>
      <c r="T8" s="103">
        <f t="shared" si="0"/>
        <v>6.5217391304347824E-2</v>
      </c>
      <c r="U8" s="103">
        <f t="shared" si="0"/>
        <v>7.7586206896551727E-2</v>
      </c>
      <c r="V8" s="103">
        <f t="shared" si="0"/>
        <v>0.11666666666666667</v>
      </c>
      <c r="W8" s="103">
        <f t="shared" si="0"/>
        <v>7.1999999999999995E-2</v>
      </c>
      <c r="X8" s="103">
        <f t="shared" si="0"/>
        <v>5.4545454545454543E-2</v>
      </c>
      <c r="Y8" s="103">
        <f t="shared" si="0"/>
        <v>6.9182389937106917E-2</v>
      </c>
      <c r="Z8" s="103">
        <f t="shared" si="0"/>
        <v>8.8235294117647065E-2</v>
      </c>
      <c r="AA8" s="103">
        <f t="shared" si="0"/>
        <v>0.11180124223602485</v>
      </c>
      <c r="AB8" s="103">
        <f t="shared" si="0"/>
        <v>6.4814814814814811E-2</v>
      </c>
      <c r="AC8" s="103">
        <f t="shared" si="0"/>
        <v>5.9288537549407112E-2</v>
      </c>
      <c r="AD8" s="103">
        <f t="shared" si="0"/>
        <v>7.8817733990147784E-2</v>
      </c>
      <c r="AE8" s="103">
        <f t="shared" si="0"/>
        <v>8.4337349397590355E-2</v>
      </c>
      <c r="AF8" s="103">
        <f t="shared" si="0"/>
        <v>8.4337349397590355E-2</v>
      </c>
      <c r="AG8" s="104">
        <f t="shared" si="0"/>
        <v>5.6338028169014086E-2</v>
      </c>
      <c r="AH8" s="82">
        <f t="shared" si="1"/>
        <v>7.8517536907797239E-2</v>
      </c>
    </row>
    <row r="9" spans="1:34" ht="15.75" customHeight="1">
      <c r="A9" s="124">
        <v>7</v>
      </c>
      <c r="B9" s="73">
        <f>(getDistance(coord!C7,coord!D7,coord!$C$1,coord!$D$1)*1000)/$B$18</f>
        <v>0.12744797941958427</v>
      </c>
      <c r="C9" s="73">
        <f>(getDistance(coord!C7,coord!D7,coord!$C$2,coord!$D$2)*1000)/$C$18</f>
        <v>0.12563311284950232</v>
      </c>
      <c r="D9" s="73">
        <f>(getDistance(coord!$C7,coord!$D7,coord!$C$3,coord!$D$3)*1000)/$D$18</f>
        <v>0.12115987821068286</v>
      </c>
      <c r="E9" s="73">
        <f>(getDistance(coord!$C7,coord!$D7,coord!$C$4,coord!$D$4)*1000)/$E$18</f>
        <v>0.10574605570347448</v>
      </c>
      <c r="F9" s="73">
        <f>(getDistance(coord!$C7,coord!$D7,coord!$C$5,coord!$D$5)*1000)/$F$18</f>
        <v>5.2461997669375496E-2</v>
      </c>
      <c r="G9" s="73">
        <f>(getDistance(coord!$C7,coord!$D7,coord!$C$6,coord!$D$6)*1000)/$G$18</f>
        <v>4.8502488917617437E-2</v>
      </c>
      <c r="H9" s="72">
        <f>(getDistance(coord!$C7,coord!$D7,coord!$C$7,coord!$D$7)*1000)/$H$18</f>
        <v>0</v>
      </c>
      <c r="I9" s="73">
        <f>(getDistance(coord!$C7,coord!$D7,coord!$C$8,coord!$D$8)*1000)/$I$18</f>
        <v>4.475709073076263E-2</v>
      </c>
      <c r="J9" s="73">
        <f>(getDistance(coord!$C7,coord!$D7,coord!$C$9,coord!$D$9)*1000)/$J$18</f>
        <v>5.4547149836496299E-2</v>
      </c>
      <c r="K9" s="73">
        <f>(getDistance(coord!$C7,coord!$D7,coord!$C$10,coord!$D$10)*1000)/$K$18</f>
        <v>6.8851627447904185E-2</v>
      </c>
      <c r="L9" s="73">
        <f>(getDistance(coord!$C7,coord!$D7,coord!$C$11,coord!$D$11)*1000)/$L$18</f>
        <v>9.2702229079247384E-2</v>
      </c>
      <c r="M9" s="73">
        <f>(getDistance(coord!$C7,coord!$D7,coord!$C$12,coord!$D$12)*1000)/$M$18</f>
        <v>1.7027476462157992E-2</v>
      </c>
      <c r="N9" s="73">
        <f>(getDistance(coord!$C7,coord!$D7,coord!$C$13,coord!$D$13)*1000)/$N$18</f>
        <v>0.11525210417632964</v>
      </c>
      <c r="O9" s="73">
        <f>(getDistance(coord!$C7,coord!$D7,coord!$C$14,coord!$D$14)*1000)/$O$18</f>
        <v>0.12567361710352296</v>
      </c>
      <c r="P9" s="101">
        <f>(getDistance(coord!$C7,coord!$D7,coord!$C$15,coord!$D$15)*1000)/$P$18</f>
        <v>8.125853762141716E-2</v>
      </c>
      <c r="Q9" s="123" t="s">
        <v>75</v>
      </c>
      <c r="R9" s="124">
        <v>14</v>
      </c>
      <c r="S9" s="103">
        <f t="shared" si="2"/>
        <v>5.4054054054054057E-2</v>
      </c>
      <c r="T9" s="103">
        <f t="shared" si="0"/>
        <v>5.7971014492753624E-2</v>
      </c>
      <c r="U9" s="103">
        <f t="shared" si="0"/>
        <v>7.7586206896551727E-2</v>
      </c>
      <c r="V9" s="103">
        <f t="shared" si="0"/>
        <v>0.11666666666666667</v>
      </c>
      <c r="W9" s="103">
        <f t="shared" si="0"/>
        <v>6.4000000000000001E-2</v>
      </c>
      <c r="X9" s="103">
        <f t="shared" si="0"/>
        <v>7.2727272727272724E-2</v>
      </c>
      <c r="Y9" s="103">
        <f t="shared" si="0"/>
        <v>8.1761006289308172E-2</v>
      </c>
      <c r="Z9" s="103">
        <f t="shared" si="0"/>
        <v>8.8235294117647065E-2</v>
      </c>
      <c r="AA9" s="103">
        <f t="shared" si="0"/>
        <v>8.6956521739130432E-2</v>
      </c>
      <c r="AB9" s="103">
        <f t="shared" si="0"/>
        <v>6.4814814814814811E-2</v>
      </c>
      <c r="AC9" s="103">
        <f t="shared" si="0"/>
        <v>7.5098814229249009E-2</v>
      </c>
      <c r="AD9" s="103">
        <f t="shared" si="0"/>
        <v>7.8817733990147784E-2</v>
      </c>
      <c r="AE9" s="103">
        <f t="shared" si="0"/>
        <v>8.4337349397590355E-2</v>
      </c>
      <c r="AF9" s="103">
        <f t="shared" si="0"/>
        <v>6.0240963855421686E-2</v>
      </c>
      <c r="AG9" s="104">
        <f t="shared" si="0"/>
        <v>5.6338028169014086E-2</v>
      </c>
      <c r="AH9" s="82">
        <f t="shared" si="1"/>
        <v>7.4640382762641469E-2</v>
      </c>
    </row>
    <row r="10" spans="1:34" ht="15.75" customHeight="1">
      <c r="A10" s="124">
        <v>8</v>
      </c>
      <c r="B10" s="73">
        <f>(getDistance(coord!C8,coord!D8,coord!$C$1,coord!$D$1)*1000)/$B$18</f>
        <v>9.0305255830799541E-2</v>
      </c>
      <c r="C10" s="73">
        <f>(getDistance(coord!C8,coord!D8,coord!$C$2,coord!$D$2)*1000)/$C$18</f>
        <v>8.6180248540368515E-2</v>
      </c>
      <c r="D10" s="73">
        <f>(getDistance(coord!$C8,coord!$D8,coord!$C$3,coord!$D$3)*1000)/$D$18</f>
        <v>7.826637670005078E-2</v>
      </c>
      <c r="E10" s="73">
        <f>(getDistance(coord!$C8,coord!$D8,coord!$C$4,coord!$D$4)*1000)/$E$18</f>
        <v>8.7398397137412806E-2</v>
      </c>
      <c r="F10" s="73">
        <f>(getDistance(coord!$C8,coord!$D8,coord!$C$5,coord!$D$5)*1000)/$F$18</f>
        <v>7.8891869873752157E-3</v>
      </c>
      <c r="G10" s="73">
        <f>(getDistance(coord!$C8,coord!$D8,coord!$C$6,coord!$D$6)*1000)/$G$18</f>
        <v>1.9392311637613405E-2</v>
      </c>
      <c r="H10" s="73">
        <f>(getDistance(coord!$C8,coord!$D8,coord!$C$7,coord!$D$7)*1000)/$H$18</f>
        <v>3.1412443799478405E-2</v>
      </c>
      <c r="I10" s="72">
        <f>(getDistance(coord!$C8,coord!$D8,coord!$C$8,coord!$D$8)*1000)/$I$18</f>
        <v>0</v>
      </c>
      <c r="J10" s="73">
        <f>(getDistance(coord!$C8,coord!$D8,coord!$C$9,coord!$D$9)*1000)/$J$18</f>
        <v>2.0897411024069883E-2</v>
      </c>
      <c r="K10" s="73">
        <f>(getDistance(coord!$C8,coord!$D8,coord!$C$10,coord!$D$10)*1000)/$K$18</f>
        <v>2.2504827840583726E-2</v>
      </c>
      <c r="L10" s="73">
        <f>(getDistance(coord!$C8,coord!$D8,coord!$C$11,coord!$D$11)*1000)/$L$18</f>
        <v>6.4079408130827339E-2</v>
      </c>
      <c r="M10" s="73">
        <f>(getDistance(coord!$C8,coord!$D8,coord!$C$12,coord!$D$12)*1000)/$M$18</f>
        <v>4.1260538366473448E-2</v>
      </c>
      <c r="N10" s="73">
        <f>(getDistance(coord!$C8,coord!$D8,coord!$C$13,coord!$D$13)*1000)/$N$18</f>
        <v>9.1332902942056787E-2</v>
      </c>
      <c r="O10" s="73">
        <f>(getDistance(coord!$C8,coord!$D8,coord!$C$14,coord!$D$14)*1000)/$O$18</f>
        <v>9.2397470616990912E-2</v>
      </c>
      <c r="P10" s="101">
        <f>(getDistance(coord!$C8,coord!$D8,coord!$C$15,coord!$D$15)*1000)/$P$18</f>
        <v>4.6284949830467929E-2</v>
      </c>
      <c r="Q10" s="123" t="s">
        <v>76</v>
      </c>
      <c r="R10" s="124">
        <v>15</v>
      </c>
      <c r="S10" s="103">
        <f t="shared" si="2"/>
        <v>0.10810810810810811</v>
      </c>
      <c r="T10" s="103">
        <f t="shared" si="0"/>
        <v>5.7971014492753624E-2</v>
      </c>
      <c r="U10" s="103">
        <f t="shared" si="0"/>
        <v>7.7586206896551727E-2</v>
      </c>
      <c r="V10" s="103">
        <f t="shared" si="0"/>
        <v>0.11666666666666667</v>
      </c>
      <c r="W10" s="103">
        <f t="shared" si="0"/>
        <v>7.1999999999999995E-2</v>
      </c>
      <c r="X10" s="103">
        <f t="shared" si="0"/>
        <v>7.2727272727272724E-2</v>
      </c>
      <c r="Y10" s="103">
        <f t="shared" si="0"/>
        <v>9.4339622641509441E-2</v>
      </c>
      <c r="Z10" s="103">
        <f t="shared" si="0"/>
        <v>5.8823529411764705E-2</v>
      </c>
      <c r="AA10" s="103">
        <f t="shared" si="0"/>
        <v>8.0745341614906832E-2</v>
      </c>
      <c r="AB10" s="103">
        <f t="shared" si="0"/>
        <v>7.407407407407407E-2</v>
      </c>
      <c r="AC10" s="103">
        <f t="shared" si="0"/>
        <v>9.0909090909090912E-2</v>
      </c>
      <c r="AD10" s="103">
        <f t="shared" si="0"/>
        <v>6.8965517241379309E-2</v>
      </c>
      <c r="AE10" s="103">
        <f t="shared" si="0"/>
        <v>6.0240963855421686E-2</v>
      </c>
      <c r="AF10" s="103">
        <f t="shared" si="0"/>
        <v>9.6385542168674704E-2</v>
      </c>
      <c r="AG10" s="104">
        <f t="shared" si="0"/>
        <v>7.0422535211267609E-2</v>
      </c>
      <c r="AH10" s="82">
        <f t="shared" si="1"/>
        <v>7.9997699067962807E-2</v>
      </c>
    </row>
    <row r="11" spans="1:34" ht="15.75" customHeight="1">
      <c r="A11" s="124">
        <v>9</v>
      </c>
      <c r="B11" s="73">
        <f>(getDistance(coord!C9,coord!D9,coord!$C$1,coord!$D$1)*1000)/$B$18</f>
        <v>8.8844980488939906E-2</v>
      </c>
      <c r="C11" s="73">
        <f>(getDistance(coord!C9,coord!D9,coord!$C$2,coord!$D$2)*1000)/$C$18</f>
        <v>8.3172733120971704E-2</v>
      </c>
      <c r="D11" s="73">
        <f>(getDistance(coord!$C9,coord!$D9,coord!$C$3,coord!$D$3)*1000)/$D$18</f>
        <v>7.5091838214592879E-2</v>
      </c>
      <c r="E11" s="73">
        <f>(getDistance(coord!$C9,coord!$D9,coord!$C$4,coord!$D$4)*1000)/$E$18</f>
        <v>9.304545729645182E-2</v>
      </c>
      <c r="F11" s="73">
        <f>(getDistance(coord!$C9,coord!$D9,coord!$C$5,coord!$D$5)*1000)/$F$18</f>
        <v>1.656225464926861E-2</v>
      </c>
      <c r="G11" s="73">
        <f>(getDistance(coord!$C9,coord!$D9,coord!$C$6,coord!$D$6)*1000)/$G$18</f>
        <v>4.0874318150941821E-2</v>
      </c>
      <c r="H11" s="73">
        <f>(getDistance(coord!$C9,coord!$D9,coord!$C$7,coord!$D$7)*1000)/$H$18</f>
        <v>4.1172927054020134E-2</v>
      </c>
      <c r="I11" s="73">
        <f>(getDistance(coord!$C9,coord!$D9,coord!$C$8,coord!$D$8)*1000)/$I$18</f>
        <v>2.2474616461677813E-2</v>
      </c>
      <c r="J11" s="72">
        <f>(getDistance(coord!$C9,coord!$D9,coord!$C$9,coord!$D$9)*1000)/$J$18</f>
        <v>0</v>
      </c>
      <c r="K11" s="73">
        <f>(getDistance(coord!$C9,coord!$D9,coord!$C$10,coord!$D$10)*1000)/$K$18</f>
        <v>3.4914384770615425E-2</v>
      </c>
      <c r="L11" s="73">
        <f>(getDistance(coord!$C9,coord!$D9,coord!$C$11,coord!$D$11)*1000)/$L$18</f>
        <v>7.7257595900459664E-2</v>
      </c>
      <c r="M11" s="73">
        <f>(getDistance(coord!$C9,coord!$D9,coord!$C$12,coord!$D$12)*1000)/$M$18</f>
        <v>5.1346706433590052E-2</v>
      </c>
      <c r="N11" s="73">
        <f>(getDistance(coord!$C9,coord!$D9,coord!$C$13,coord!$D$13)*1000)/$N$18</f>
        <v>9.5257282424245929E-2</v>
      </c>
      <c r="O11" s="73">
        <f>(getDistance(coord!$C9,coord!$D9,coord!$C$14,coord!$D$14)*1000)/$O$18</f>
        <v>9.2307897306968603E-2</v>
      </c>
      <c r="P11" s="101">
        <f>(getDistance(coord!$C9,coord!$D9,coord!$C$15,coord!$D$15)*1000)/$P$18</f>
        <v>3.0603092403673621E-2</v>
      </c>
      <c r="Q11" s="123" t="s">
        <v>77</v>
      </c>
      <c r="R11" s="124">
        <v>16</v>
      </c>
      <c r="S11" s="103">
        <f t="shared" si="2"/>
        <v>8.1081081081081086E-2</v>
      </c>
      <c r="T11" s="103">
        <f t="shared" si="0"/>
        <v>9.420289855072464E-2</v>
      </c>
      <c r="U11" s="103">
        <f t="shared" si="0"/>
        <v>6.8965517241379309E-2</v>
      </c>
      <c r="V11" s="103">
        <f t="shared" si="0"/>
        <v>3.3333333333333333E-2</v>
      </c>
      <c r="W11" s="103">
        <f t="shared" si="0"/>
        <v>0.08</v>
      </c>
      <c r="X11" s="103">
        <f t="shared" si="0"/>
        <v>7.2727272727272724E-2</v>
      </c>
      <c r="Y11" s="103">
        <f t="shared" si="0"/>
        <v>7.5471698113207544E-2</v>
      </c>
      <c r="Z11" s="103">
        <f t="shared" si="0"/>
        <v>5.8823529411764705E-2</v>
      </c>
      <c r="AA11" s="103">
        <f t="shared" si="0"/>
        <v>6.2111801242236024E-2</v>
      </c>
      <c r="AB11" s="103">
        <f t="shared" si="0"/>
        <v>7.407407407407407E-2</v>
      </c>
      <c r="AC11" s="103">
        <f t="shared" si="0"/>
        <v>0.10276679841897234</v>
      </c>
      <c r="AD11" s="103">
        <f t="shared" si="0"/>
        <v>6.8965517241379309E-2</v>
      </c>
      <c r="AE11" s="103">
        <f t="shared" si="0"/>
        <v>8.4337349397590355E-2</v>
      </c>
      <c r="AF11" s="103">
        <f t="shared" si="0"/>
        <v>8.4337349397590355E-2</v>
      </c>
      <c r="AG11" s="104">
        <f t="shared" si="0"/>
        <v>7.0422535211267609E-2</v>
      </c>
      <c r="AH11" s="82">
        <f t="shared" si="1"/>
        <v>7.4108050362791555E-2</v>
      </c>
    </row>
    <row r="12" spans="1:34" ht="15.75" customHeight="1">
      <c r="A12" s="124">
        <v>10</v>
      </c>
      <c r="B12" s="73">
        <f>(getDistance(coord!C10,coord!D10,coord!$C$1,coord!$D$1)*1000)/$B$18</f>
        <v>7.3524289435178872E-2</v>
      </c>
      <c r="C12" s="73">
        <f>(getDistance(coord!C10,coord!D10,coord!$C$2,coord!$D$2)*1000)/$C$18</f>
        <v>6.9272094599152942E-2</v>
      </c>
      <c r="D12" s="73">
        <f>(getDistance(coord!$C10,coord!$D10,coord!$C$3,coord!$D$3)*1000)/$D$18</f>
        <v>6.0214991244566876E-2</v>
      </c>
      <c r="E12" s="73">
        <f>(getDistance(coord!$C10,coord!$D10,coord!$C$4,coord!$D$4)*1000)/$E$18</f>
        <v>7.6170617665823573E-2</v>
      </c>
      <c r="F12" s="73">
        <f>(getDistance(coord!$C10,coord!$D10,coord!$C$5,coord!$D$5)*1000)/$F$18</f>
        <v>1.9123562363221994E-2</v>
      </c>
      <c r="G12" s="73">
        <f>(getDistance(coord!$C10,coord!$D10,coord!$C$6,coord!$D$6)*1000)/$G$18</f>
        <v>1.9498098998980046E-2</v>
      </c>
      <c r="H12" s="73">
        <f>(getDistance(coord!$C10,coord!$D10,coord!$C$7,coord!$D$7)*1000)/$H$18</f>
        <v>4.4207930717761038E-2</v>
      </c>
      <c r="I12" s="73">
        <f>(getDistance(coord!$C10,coord!$D10,coord!$C$8,coord!$D$8)*1000)/$I$18</f>
        <v>2.0588362024686353E-2</v>
      </c>
      <c r="J12" s="73">
        <f>(getDistance(coord!$C10,coord!$D10,coord!$C$9,coord!$D$9)*1000)/$J$18</f>
        <v>2.9699606189922838E-2</v>
      </c>
      <c r="K12" s="72">
        <f>(getDistance(coord!$C10,coord!$D10,coord!$C$10,coord!$D$10)*1000)/$K$18</f>
        <v>0</v>
      </c>
      <c r="L12" s="73">
        <f>(getDistance(coord!$C10,coord!$D10,coord!$C$11,coord!$D$11)*1000)/$L$18</f>
        <v>4.753820893696948E-2</v>
      </c>
      <c r="M12" s="73">
        <f>(getDistance(coord!$C10,coord!$D10,coord!$C$12,coord!$D$12)*1000)/$M$18</f>
        <v>5.0238023159868965E-2</v>
      </c>
      <c r="N12" s="73">
        <f>(getDistance(coord!$C10,coord!$D10,coord!$C$13,coord!$D$13)*1000)/$N$18</f>
        <v>7.8110228117574121E-2</v>
      </c>
      <c r="O12" s="73">
        <f>(getDistance(coord!$C10,coord!$D10,coord!$C$14,coord!$D$14)*1000)/$O$18</f>
        <v>7.6629116357964044E-2</v>
      </c>
      <c r="P12" s="101">
        <f>(getDistance(coord!$C10,coord!$D10,coord!$C$15,coord!$D$15)*1000)/$P$18</f>
        <v>4.2720217045397739E-2</v>
      </c>
      <c r="Q12" s="123" t="s">
        <v>78</v>
      </c>
      <c r="R12" s="124">
        <v>17</v>
      </c>
      <c r="S12" s="103">
        <f t="shared" si="2"/>
        <v>8.1081081081081086E-2</v>
      </c>
      <c r="T12" s="103">
        <f t="shared" si="0"/>
        <v>6.5217391304347824E-2</v>
      </c>
      <c r="U12" s="103">
        <f t="shared" si="0"/>
        <v>6.8965517241379309E-2</v>
      </c>
      <c r="V12" s="103">
        <f t="shared" si="0"/>
        <v>0.05</v>
      </c>
      <c r="W12" s="103">
        <f t="shared" si="0"/>
        <v>7.1999999999999995E-2</v>
      </c>
      <c r="X12" s="103">
        <f t="shared" si="0"/>
        <v>0.12727272727272726</v>
      </c>
      <c r="Y12" s="103">
        <f t="shared" si="0"/>
        <v>3.7735849056603772E-2</v>
      </c>
      <c r="Z12" s="103">
        <f t="shared" si="0"/>
        <v>5.8823529411764705E-2</v>
      </c>
      <c r="AA12" s="103">
        <f t="shared" si="0"/>
        <v>6.2111801242236024E-2</v>
      </c>
      <c r="AB12" s="103">
        <f t="shared" si="0"/>
        <v>7.407407407407407E-2</v>
      </c>
      <c r="AC12" s="103">
        <f t="shared" si="0"/>
        <v>8.6956521739130432E-2</v>
      </c>
      <c r="AD12" s="103">
        <f t="shared" si="0"/>
        <v>5.9113300492610835E-2</v>
      </c>
      <c r="AE12" s="103">
        <f t="shared" si="0"/>
        <v>7.2289156626506021E-2</v>
      </c>
      <c r="AF12" s="103">
        <f t="shared" si="0"/>
        <v>0.12048192771084337</v>
      </c>
      <c r="AG12" s="104">
        <f t="shared" si="0"/>
        <v>7.0422535211267609E-2</v>
      </c>
      <c r="AH12" s="82">
        <f t="shared" si="1"/>
        <v>7.376969416430483E-2</v>
      </c>
    </row>
    <row r="13" spans="1:34" ht="15.75" customHeight="1">
      <c r="A13" s="124">
        <v>11</v>
      </c>
      <c r="B13" s="73">
        <f>(getDistance(coord!C11,coord!D11,coord!$C$1,coord!$D$1)*1000)/$B$18</f>
        <v>6.127426480099326E-2</v>
      </c>
      <c r="C13" s="73">
        <f>(getDistance(coord!C11,coord!D11,coord!$C$2,coord!$D$2)*1000)/$C$18</f>
        <v>6.3144993430051921E-2</v>
      </c>
      <c r="D13" s="73">
        <f>(getDistance(coord!$C11,coord!$D11,coord!$C$3,coord!$D$3)*1000)/$D$18</f>
        <v>6.0011404079360689E-2</v>
      </c>
      <c r="E13" s="73">
        <f>(getDistance(coord!$C11,coord!$D11,coord!$C$4,coord!$D$4)*1000)/$E$18</f>
        <v>4.9147122391873257E-2</v>
      </c>
      <c r="F13" s="73">
        <f>(getDistance(coord!$C11,coord!$D11,coord!$C$5,coord!$D$5)*1000)/$F$18</f>
        <v>7.0452117914412193E-2</v>
      </c>
      <c r="G13" s="73">
        <f>(getDistance(coord!$C11,coord!$D11,coord!$C$6,coord!$D$6)*1000)/$G$18</f>
        <v>5.3296679322693087E-2</v>
      </c>
      <c r="H13" s="73">
        <f>(getDistance(coord!$C11,coord!$D11,coord!$C$7,coord!$D$7)*1000)/$H$18</f>
        <v>6.9503729292049857E-2</v>
      </c>
      <c r="I13" s="73">
        <f>(getDistance(coord!$C11,coord!$D11,coord!$C$8,coord!$D$8)*1000)/$I$18</f>
        <v>6.8453640037458213E-2</v>
      </c>
      <c r="J13" s="73">
        <f>(getDistance(coord!$C11,coord!$D11,coord!$C$9,coord!$D$9)*1000)/$J$18</f>
        <v>7.6739583973957054E-2</v>
      </c>
      <c r="K13" s="73">
        <f>(getDistance(coord!$C11,coord!$D11,coord!$C$10,coord!$D$10)*1000)/$K$18</f>
        <v>5.5510452669894815E-2</v>
      </c>
      <c r="L13" s="72">
        <f>(getDistance(coord!$C11,coord!$D11,coord!$C$11,coord!$D$11)*1000)/$L$18</f>
        <v>0</v>
      </c>
      <c r="M13" s="73">
        <f>(getDistance(coord!$C11,coord!$D11,coord!$C$12,coord!$D$12)*1000)/$M$18</f>
        <v>6.5264966140275119E-2</v>
      </c>
      <c r="N13" s="73">
        <f>(getDistance(coord!$C11,coord!$D11,coord!$C$13,coord!$D$13)*1000)/$N$18</f>
        <v>5.2232493602072869E-2</v>
      </c>
      <c r="O13" s="73">
        <f>(getDistance(coord!$C11,coord!$D11,coord!$C$14,coord!$D$14)*1000)/$O$18</f>
        <v>5.9603010416953664E-2</v>
      </c>
      <c r="P13" s="101">
        <f>(getDistance(coord!$C11,coord!$D11,coord!$C$15,coord!$D$15)*1000)/$P$18</f>
        <v>7.7287226039549434E-2</v>
      </c>
      <c r="Q13" s="123" t="s">
        <v>79</v>
      </c>
      <c r="R13" s="124">
        <v>18</v>
      </c>
      <c r="S13" s="103">
        <f t="shared" si="2"/>
        <v>4.0540540540540543E-2</v>
      </c>
      <c r="T13" s="103">
        <f t="shared" si="0"/>
        <v>7.2463768115942032E-2</v>
      </c>
      <c r="U13" s="103">
        <f t="shared" si="0"/>
        <v>7.7586206896551727E-2</v>
      </c>
      <c r="V13" s="103">
        <f t="shared" si="0"/>
        <v>6.6666666666666666E-2</v>
      </c>
      <c r="W13" s="103">
        <f t="shared" si="0"/>
        <v>5.6000000000000001E-2</v>
      </c>
      <c r="X13" s="103">
        <f t="shared" si="0"/>
        <v>0.12727272727272726</v>
      </c>
      <c r="Y13" s="103">
        <f t="shared" si="0"/>
        <v>5.0314465408805034E-2</v>
      </c>
      <c r="Z13" s="103">
        <f t="shared" si="0"/>
        <v>8.8235294117647065E-2</v>
      </c>
      <c r="AA13" s="103">
        <f t="shared" si="0"/>
        <v>9.3167701863354033E-2</v>
      </c>
      <c r="AB13" s="103">
        <f t="shared" si="0"/>
        <v>5.5555555555555552E-2</v>
      </c>
      <c r="AC13" s="103">
        <f t="shared" si="0"/>
        <v>6.7193675889328064E-2</v>
      </c>
      <c r="AD13" s="103">
        <f t="shared" si="0"/>
        <v>5.9113300492610835E-2</v>
      </c>
      <c r="AE13" s="103">
        <f t="shared" si="0"/>
        <v>4.8192771084337352E-2</v>
      </c>
      <c r="AF13" s="103">
        <f t="shared" si="0"/>
        <v>7.2289156626506021E-2</v>
      </c>
      <c r="AG13" s="104">
        <f t="shared" si="0"/>
        <v>5.6338028169014086E-2</v>
      </c>
      <c r="AH13" s="82">
        <f t="shared" si="1"/>
        <v>6.8728657246639083E-2</v>
      </c>
    </row>
    <row r="14" spans="1:34" ht="15.75" customHeight="1">
      <c r="A14" s="124">
        <v>12</v>
      </c>
      <c r="B14" s="73">
        <f>(getDistance(coord!C12,coord!D12,coord!$C$1,coord!$D$1)*1000)/$B$18</f>
        <v>0.14383717721341799</v>
      </c>
      <c r="C14" s="73">
        <f>(getDistance(coord!C12,coord!D12,coord!$C$2,coord!$D$2)*1000)/$C$18</f>
        <v>0.14392493216892677</v>
      </c>
      <c r="D14" s="73">
        <f>(getDistance(coord!$C12,coord!$D12,coord!$C$3,coord!$D$3)*1000)/$D$18</f>
        <v>0.14148827783637166</v>
      </c>
      <c r="E14" s="73">
        <f>(getDistance(coord!$C12,coord!$D12,coord!$C$4,coord!$D$4)*1000)/$E$18</f>
        <v>0.11003873692811286</v>
      </c>
      <c r="F14" s="73">
        <f>(getDistance(coord!$C12,coord!$D12,coord!$C$5,coord!$D$5)*1000)/$F$18</f>
        <v>7.8051967348498674E-2</v>
      </c>
      <c r="G14" s="73">
        <f>(getDistance(coord!$C12,coord!$D12,coord!$C$6,coord!$D$6)*1000)/$G$18</f>
        <v>6.6483284048690902E-2</v>
      </c>
      <c r="H14" s="73">
        <f>(getDistance(coord!$C12,coord!$D12,coord!$C$7,coord!$D$7)*1000)/$H$18</f>
        <v>2.0024271268220917E-2</v>
      </c>
      <c r="I14" s="73">
        <f>(getDistance(coord!$C12,coord!$D12,coord!$C$8,coord!$D$8)*1000)/$I$18</f>
        <v>6.9135553826330728E-2</v>
      </c>
      <c r="J14" s="73">
        <f>(getDistance(coord!$C12,coord!$D12,coord!$C$9,coord!$D$9)*1000)/$J$18</f>
        <v>7.9998039362600984E-2</v>
      </c>
      <c r="K14" s="73">
        <f>(getDistance(coord!$C12,coord!$D12,coord!$C$10,coord!$D$10)*1000)/$K$18</f>
        <v>9.2013806307226581E-2</v>
      </c>
      <c r="L14" s="73">
        <f>(getDistance(coord!$C12,coord!$D12,coord!$C$11,coord!$D$11)*1000)/$L$18</f>
        <v>0.10236903700413104</v>
      </c>
      <c r="M14" s="72">
        <f>(getDistance(coord!$C12,coord!$D12,coord!$C$12,coord!$D$12)*1000)/$M$18</f>
        <v>0</v>
      </c>
      <c r="N14" s="73">
        <f>(getDistance(coord!$C12,coord!$D12,coord!$C$13,coord!$D$13)*1000)/$N$18</f>
        <v>0.12287207249563113</v>
      </c>
      <c r="O14" s="73">
        <f>(getDistance(coord!$C12,coord!$D12,coord!$C$14,coord!$D$14)*1000)/$O$18</f>
        <v>0.13952699386374479</v>
      </c>
      <c r="P14" s="101">
        <f>(getDistance(coord!$C12,coord!$D12,coord!$C$15,coord!$D$15)*1000)/$P$18</f>
        <v>0.10462455522978409</v>
      </c>
      <c r="Q14" s="123" t="s">
        <v>80</v>
      </c>
      <c r="R14" s="124">
        <v>19</v>
      </c>
      <c r="S14" s="103">
        <f t="shared" si="2"/>
        <v>4.0540540540540543E-2</v>
      </c>
      <c r="T14" s="103">
        <f t="shared" si="0"/>
        <v>7.9710144927536225E-2</v>
      </c>
      <c r="U14" s="103">
        <f t="shared" si="0"/>
        <v>6.8965517241379309E-2</v>
      </c>
      <c r="V14" s="103">
        <f t="shared" si="0"/>
        <v>3.3333333333333333E-2</v>
      </c>
      <c r="W14" s="103">
        <f t="shared" si="0"/>
        <v>6.4000000000000001E-2</v>
      </c>
      <c r="X14" s="103">
        <f t="shared" si="0"/>
        <v>9.0909090909090912E-2</v>
      </c>
      <c r="Y14" s="103">
        <f t="shared" si="0"/>
        <v>6.9182389937106917E-2</v>
      </c>
      <c r="Z14" s="103">
        <f t="shared" si="0"/>
        <v>2.9411764705882353E-2</v>
      </c>
      <c r="AA14" s="103">
        <f t="shared" si="0"/>
        <v>7.4534161490683232E-2</v>
      </c>
      <c r="AB14" s="103">
        <f t="shared" si="0"/>
        <v>8.3333333333333329E-2</v>
      </c>
      <c r="AC14" s="103">
        <f t="shared" si="0"/>
        <v>8.3003952569169967E-2</v>
      </c>
      <c r="AD14" s="103">
        <f t="shared" si="0"/>
        <v>5.9113300492610835E-2</v>
      </c>
      <c r="AE14" s="103">
        <f t="shared" si="0"/>
        <v>8.4337349397590355E-2</v>
      </c>
      <c r="AF14" s="103">
        <f t="shared" si="0"/>
        <v>8.4337349397590355E-2</v>
      </c>
      <c r="AG14" s="104">
        <f t="shared" si="0"/>
        <v>7.0422535211267609E-2</v>
      </c>
      <c r="AH14" s="82">
        <f t="shared" si="1"/>
        <v>6.7675650899141016E-2</v>
      </c>
    </row>
    <row r="15" spans="1:34" ht="15.75" customHeight="1">
      <c r="A15" s="124">
        <v>13</v>
      </c>
      <c r="B15" s="73">
        <f>(getDistance(coord!C13,coord!D13,coord!$C$1,coord!$D$1)*1000)/$B$18</f>
        <v>5.017983184475526E-2</v>
      </c>
      <c r="C15" s="73">
        <f>(getDistance(coord!C13,coord!D13,coord!$C$2,coord!$D$2)*1000)/$C$18</f>
        <v>6.2862305474947436E-2</v>
      </c>
      <c r="D15" s="73">
        <f>(getDistance(coord!$C13,coord!$D13,coord!$C$3,coord!$D$3)*1000)/$D$18</f>
        <v>7.706112638427047E-2</v>
      </c>
      <c r="E15" s="73">
        <f>(getDistance(coord!$C13,coord!$D13,coord!$C$4,coord!$D$4)*1000)/$E$18</f>
        <v>1.7263037160236069E-2</v>
      </c>
      <c r="F15" s="73">
        <f>(getDistance(coord!$C13,coord!$D13,coord!$C$5,coord!$D$5)*1000)/$F$18</f>
        <v>0.14178680218828463</v>
      </c>
      <c r="G15" s="73">
        <f>(getDistance(coord!$C13,coord!$D13,coord!$C$6,coord!$D$6)*1000)/$G$18</f>
        <v>0.1310677395336825</v>
      </c>
      <c r="H15" s="73">
        <f>(getDistance(coord!$C13,coord!$D13,coord!$C$7,coord!$D$7)*1000)/$H$18</f>
        <v>0.12522390359060237</v>
      </c>
      <c r="I15" s="73">
        <f>(getDistance(coord!$C13,coord!$D13,coord!$C$8,coord!$D$8)*1000)/$I$18</f>
        <v>0.14139230054352664</v>
      </c>
      <c r="J15" s="73">
        <f>(getDistance(coord!$C13,coord!$D13,coord!$C$9,coord!$D$9)*1000)/$J$18</f>
        <v>0.13711876165609851</v>
      </c>
      <c r="K15" s="73">
        <f>(getDistance(coord!$C13,coord!$D13,coord!$C$10,coord!$D$10)*1000)/$K$18</f>
        <v>0.13217834326849706</v>
      </c>
      <c r="L15" s="73">
        <f>(getDistance(coord!$C13,coord!$D13,coord!$C$11,coord!$D$11)*1000)/$L$18</f>
        <v>7.5693956088462189E-2</v>
      </c>
      <c r="M15" s="73">
        <f>(getDistance(coord!$C13,coord!$D13,coord!$C$12,coord!$D$12)*1000)/$M$18</f>
        <v>0.11352333133333851</v>
      </c>
      <c r="N15" s="72">
        <f>(getDistance(coord!$C13,coord!$D13,coord!$C$13,coord!$D$13)*1000)/$N$18</f>
        <v>0</v>
      </c>
      <c r="O15" s="73">
        <f>(getDistance(coord!$C13,coord!$D13,coord!$C$14,coord!$D$14)*1000)/$O$18</f>
        <v>3.5377274278648514E-2</v>
      </c>
      <c r="P15" s="101">
        <f>(getDistance(coord!$C13,coord!$D13,coord!$C$15,coord!$D$15)*1000)/$P$18</f>
        <v>0.11734303371133657</v>
      </c>
      <c r="Q15" s="123" t="s">
        <v>81</v>
      </c>
      <c r="R15" s="124">
        <v>20</v>
      </c>
      <c r="S15" s="103">
        <f t="shared" si="2"/>
        <v>5.4054054054054057E-2</v>
      </c>
      <c r="T15" s="103">
        <f t="shared" si="0"/>
        <v>3.6231884057971016E-2</v>
      </c>
      <c r="U15" s="103">
        <f t="shared" si="0"/>
        <v>6.8965517241379309E-2</v>
      </c>
      <c r="V15" s="103">
        <f t="shared" si="0"/>
        <v>0.05</v>
      </c>
      <c r="W15" s="103">
        <f t="shared" si="0"/>
        <v>0.08</v>
      </c>
      <c r="X15" s="103">
        <f t="shared" si="0"/>
        <v>9.0909090909090912E-2</v>
      </c>
      <c r="Y15" s="103">
        <f t="shared" si="0"/>
        <v>6.2893081761006289E-2</v>
      </c>
      <c r="Z15" s="103">
        <f t="shared" si="0"/>
        <v>8.8235294117647065E-2</v>
      </c>
      <c r="AA15" s="103">
        <f t="shared" si="0"/>
        <v>6.8322981366459631E-2</v>
      </c>
      <c r="AB15" s="103">
        <f t="shared" si="0"/>
        <v>8.3333333333333329E-2</v>
      </c>
      <c r="AC15" s="103">
        <f t="shared" si="0"/>
        <v>6.7193675889328064E-2</v>
      </c>
      <c r="AD15" s="103">
        <f t="shared" si="0"/>
        <v>5.9113300492610835E-2</v>
      </c>
      <c r="AE15" s="103">
        <f t="shared" si="0"/>
        <v>7.2289156626506021E-2</v>
      </c>
      <c r="AF15" s="103">
        <f t="shared" si="0"/>
        <v>8.4337349397590355E-2</v>
      </c>
      <c r="AG15" s="104">
        <f t="shared" si="0"/>
        <v>0.11267605633802817</v>
      </c>
      <c r="AH15" s="82">
        <f t="shared" si="1"/>
        <v>7.1903651705667024E-2</v>
      </c>
    </row>
    <row r="16" spans="1:34" ht="15.75" customHeight="1">
      <c r="A16" s="124">
        <v>14</v>
      </c>
      <c r="B16" s="73">
        <f>(getDistance(coord!C14,coord!D14,coord!$C$1,coord!$D$1)*1000)/$B$18</f>
        <v>1.3168409585852855E-2</v>
      </c>
      <c r="C16" s="73">
        <f>(getDistance(coord!C14,coord!D14,coord!$C$2,coord!$D$2)*1000)/$C$18</f>
        <v>2.4940157786046097E-2</v>
      </c>
      <c r="D16" s="73">
        <f>(getDistance(coord!$C14,coord!$D14,coord!$C$3,coord!$D$3)*1000)/$D$18</f>
        <v>4.0019253184327808E-2</v>
      </c>
      <c r="E16" s="73">
        <f>(getDistance(coord!$C14,coord!$D14,coord!$C$4,coord!$D$4)*1000)/$E$18</f>
        <v>4.2216171089429995E-2</v>
      </c>
      <c r="F16" s="73">
        <f>(getDistance(coord!$C14,coord!$D14,coord!$C$5,coord!$D$5)*1000)/$F$18</f>
        <v>0.11558224742838909</v>
      </c>
      <c r="G16" s="73">
        <f>(getDistance(coord!$C14,coord!$D14,coord!$C$6,coord!$D$6)*1000)/$G$18</f>
        <v>0.11294035706048326</v>
      </c>
      <c r="H16" s="73">
        <f>(getDistance(coord!$C14,coord!$D14,coord!$C$7,coord!$D$7)*1000)/$H$18</f>
        <v>0.11240513752328073</v>
      </c>
      <c r="I16" s="73">
        <f>(getDistance(coord!$C14,coord!$D14,coord!$C$8,coord!$D$8)*1000)/$I$18</f>
        <v>0.11775036264116372</v>
      </c>
      <c r="J16" s="73">
        <f>(getDistance(coord!$C14,coord!$D14,coord!$C$9,coord!$D$9)*1000)/$J$18</f>
        <v>0.109380832561723</v>
      </c>
      <c r="K16" s="73">
        <f>(getDistance(coord!$C14,coord!$D14,coord!$C$10,coord!$D$10)*1000)/$K$18</f>
        <v>0.1067455764963683</v>
      </c>
      <c r="L16" s="73">
        <f>(getDistance(coord!$C14,coord!$D14,coord!$C$11,coord!$D$11)*1000)/$L$18</f>
        <v>7.1103718124148424E-2</v>
      </c>
      <c r="M16" s="73">
        <f>(getDistance(coord!$C14,coord!$D14,coord!$C$12,coord!$D$12)*1000)/$M$18</f>
        <v>0.10611917188735627</v>
      </c>
      <c r="N16" s="73">
        <f>(getDistance(coord!$C14,coord!$D14,coord!$C$13,coord!$D$13)*1000)/$N$18</f>
        <v>2.9122458845096851E-2</v>
      </c>
      <c r="O16" s="72">
        <f>(getDistance(coord!$C14,coord!$D14,coord!$C$14,coord!$D$14)*1000)/$O$18</f>
        <v>0</v>
      </c>
      <c r="P16" s="101">
        <f>(getDistance(coord!$C14,coord!$D14,coord!$C$15,coord!$D$15)*1000)/$P$18</f>
        <v>8.4959934607816812E-2</v>
      </c>
      <c r="Q16" s="123" t="s">
        <v>82</v>
      </c>
      <c r="R16" s="124">
        <v>21</v>
      </c>
      <c r="S16" s="103">
        <f t="shared" si="2"/>
        <v>6.7567567567567571E-2</v>
      </c>
      <c r="T16" s="103">
        <f t="shared" si="0"/>
        <v>6.5217391304347824E-2</v>
      </c>
      <c r="U16" s="103">
        <f t="shared" si="0"/>
        <v>9.4827586206896547E-2</v>
      </c>
      <c r="V16" s="103">
        <f t="shared" si="0"/>
        <v>8.3333333333333329E-2</v>
      </c>
      <c r="W16" s="103">
        <f t="shared" si="0"/>
        <v>6.4000000000000001E-2</v>
      </c>
      <c r="X16" s="103">
        <f t="shared" si="0"/>
        <v>7.2727272727272724E-2</v>
      </c>
      <c r="Y16" s="103">
        <f t="shared" si="0"/>
        <v>8.1761006289308172E-2</v>
      </c>
      <c r="Z16" s="103">
        <f t="shared" si="0"/>
        <v>5.8823529411764705E-2</v>
      </c>
      <c r="AA16" s="103">
        <f t="shared" si="0"/>
        <v>8.0745341614906832E-2</v>
      </c>
      <c r="AB16" s="103">
        <f t="shared" si="0"/>
        <v>5.5555555555555552E-2</v>
      </c>
      <c r="AC16" s="103">
        <f t="shared" si="0"/>
        <v>9.0909090909090912E-2</v>
      </c>
      <c r="AD16" s="103">
        <f t="shared" si="0"/>
        <v>5.9113300492610835E-2</v>
      </c>
      <c r="AE16" s="103">
        <f t="shared" si="0"/>
        <v>8.4337349397590355E-2</v>
      </c>
      <c r="AF16" s="103">
        <f t="shared" si="0"/>
        <v>6.0240963855421686E-2</v>
      </c>
      <c r="AG16" s="104">
        <f t="shared" si="0"/>
        <v>8.4507042253521125E-2</v>
      </c>
      <c r="AH16" s="82">
        <f t="shared" si="1"/>
        <v>7.3577755394612573E-2</v>
      </c>
    </row>
    <row r="17" spans="1:34" ht="15.75" customHeight="1">
      <c r="A17" s="124">
        <v>15</v>
      </c>
      <c r="B17" s="73">
        <f>(getDistance(coord!C15,coord!D15,coord!$C$1,coord!$D$1)*1000)/$B$18</f>
        <v>7.1209747443455748E-2</v>
      </c>
      <c r="C17" s="73">
        <f>(getDistance(coord!C15,coord!D15,coord!$C$2,coord!$D$2)*1000)/$C$18</f>
        <v>6.3471215654142113E-2</v>
      </c>
      <c r="D17" s="73">
        <f>(getDistance(coord!$C15,coord!$D15,coord!$C$3,coord!$D$3)*1000)/$D$18</f>
        <v>5.5745091284026972E-2</v>
      </c>
      <c r="E17" s="73">
        <f>(getDistance(coord!$C15,coord!$D15,coord!$C$4,coord!$D$4)*1000)/$E$18</f>
        <v>8.9544349164598025E-2</v>
      </c>
      <c r="F17" s="73">
        <f>(getDistance(coord!$C15,coord!$D15,coord!$C$5,coord!$D$5)*1000)/$F$18</f>
        <v>4.6720593461987633E-2</v>
      </c>
      <c r="G17" s="73">
        <f>(getDistance(coord!$C15,coord!$D15,coord!$C$6,coord!$D$6)*1000)/$G$18</f>
        <v>6.6942414344036902E-2</v>
      </c>
      <c r="H17" s="73">
        <f>(getDistance(coord!$C15,coord!$D15,coord!$C$7,coord!$D$7)*1000)/$H$18</f>
        <v>6.6006717784590621E-2</v>
      </c>
      <c r="I17" s="73">
        <f>(getDistance(coord!$C15,coord!$D15,coord!$C$8,coord!$D$8)*1000)/$I$18</f>
        <v>5.3569680646186453E-2</v>
      </c>
      <c r="J17" s="73">
        <f>(getDistance(coord!$C15,coord!$D15,coord!$C$9,coord!$D$9)*1000)/$J$18</f>
        <v>3.2934021855036376E-2</v>
      </c>
      <c r="K17" s="73">
        <f>(getDistance(coord!$C15,coord!$D15,coord!$C$10,coord!$D$10)*1000)/$K$18</f>
        <v>5.4046379854951018E-2</v>
      </c>
      <c r="L17" s="73">
        <f>(getDistance(coord!$C15,coord!$D15,coord!$C$11,coord!$D$11)*1000)/$L$18</f>
        <v>8.3735366407521647E-2</v>
      </c>
      <c r="M17" s="73">
        <f>(getDistance(coord!$C15,coord!$D15,coord!$C$12,coord!$D$12)*1000)/$M$18</f>
        <v>7.2268048762982942E-2</v>
      </c>
      <c r="N17" s="73">
        <f>(getDistance(coord!$C15,coord!$D15,coord!$C$13,coord!$D$13)*1000)/$N$18</f>
        <v>8.7727968540502299E-2</v>
      </c>
      <c r="O17" s="73">
        <f>(getDistance(coord!$C15,coord!$D15,coord!$C$14,coord!$D$14)*1000)/$O$18</f>
        <v>7.7159829397700191E-2</v>
      </c>
      <c r="P17" s="102">
        <f>(getDistance(coord!$C15,coord!$D15,coord!$C$15,coord!$D$15)*1000)/$P$18</f>
        <v>0</v>
      </c>
      <c r="Q17" s="123" t="s">
        <v>83</v>
      </c>
      <c r="R17" s="124">
        <v>22</v>
      </c>
      <c r="S17" s="103">
        <f t="shared" si="2"/>
        <v>5.4054054054054057E-2</v>
      </c>
      <c r="T17" s="103">
        <f t="shared" si="0"/>
        <v>7.2463768115942032E-2</v>
      </c>
      <c r="U17" s="103">
        <f t="shared" si="0"/>
        <v>5.1724137931034482E-2</v>
      </c>
      <c r="V17" s="103">
        <f t="shared" si="0"/>
        <v>8.3333333333333329E-2</v>
      </c>
      <c r="W17" s="103">
        <f t="shared" si="0"/>
        <v>7.1999999999999995E-2</v>
      </c>
      <c r="X17" s="103">
        <f t="shared" si="0"/>
        <v>7.2727272727272724E-2</v>
      </c>
      <c r="Y17" s="103">
        <f t="shared" si="0"/>
        <v>8.8050314465408799E-2</v>
      </c>
      <c r="Z17" s="103">
        <f t="shared" si="0"/>
        <v>5.8823529411764705E-2</v>
      </c>
      <c r="AA17" s="103">
        <f t="shared" si="0"/>
        <v>9.3167701863354033E-2</v>
      </c>
      <c r="AB17" s="103">
        <f t="shared" si="0"/>
        <v>8.3333333333333329E-2</v>
      </c>
      <c r="AC17" s="103">
        <f t="shared" si="0"/>
        <v>8.3003952569169967E-2</v>
      </c>
      <c r="AD17" s="103">
        <f t="shared" si="0"/>
        <v>6.4039408866995079E-2</v>
      </c>
      <c r="AE17" s="103">
        <f t="shared" si="0"/>
        <v>4.8192771084337352E-2</v>
      </c>
      <c r="AF17" s="103">
        <f t="shared" si="0"/>
        <v>8.4337349397590355E-2</v>
      </c>
      <c r="AG17" s="104">
        <f t="shared" si="0"/>
        <v>7.0422535211267609E-2</v>
      </c>
      <c r="AH17" s="82">
        <f t="shared" si="1"/>
        <v>7.1978230824323849E-2</v>
      </c>
    </row>
    <row r="18" spans="1:34" ht="15" thickBot="1">
      <c r="A18" s="49"/>
      <c r="B18" s="126">
        <v>3313.0374730736421</v>
      </c>
      <c r="C18" s="126">
        <v>3169.1147781655891</v>
      </c>
      <c r="D18" s="126">
        <v>2925.0791865189221</v>
      </c>
      <c r="E18" s="126">
        <v>4954.5665299303491</v>
      </c>
      <c r="F18" s="126">
        <v>2784.669575139887</v>
      </c>
      <c r="G18" s="126">
        <v>2826.7345247626708</v>
      </c>
      <c r="H18" s="126">
        <v>4044.3533078667401</v>
      </c>
      <c r="I18" s="126">
        <v>2838.5004233816035</v>
      </c>
      <c r="J18" s="126">
        <v>3052.7326216789588</v>
      </c>
      <c r="K18" s="126">
        <v>2596.7794438497749</v>
      </c>
      <c r="L18" s="126">
        <v>3032.2640594874724</v>
      </c>
      <c r="M18" s="126">
        <v>4756.1497395831047</v>
      </c>
      <c r="N18" s="126">
        <v>4394.277330813823</v>
      </c>
      <c r="O18" s="126">
        <v>3617.355020417825</v>
      </c>
      <c r="P18" s="127">
        <v>3285.2484825320653</v>
      </c>
      <c r="R18" s="41"/>
      <c r="S18" s="128">
        <v>370</v>
      </c>
      <c r="T18" s="128">
        <v>690</v>
      </c>
      <c r="U18" s="128">
        <v>580</v>
      </c>
      <c r="V18" s="128">
        <v>300</v>
      </c>
      <c r="W18" s="128">
        <v>625</v>
      </c>
      <c r="X18" s="128">
        <v>275</v>
      </c>
      <c r="Y18" s="128">
        <v>795</v>
      </c>
      <c r="Z18" s="128">
        <v>170</v>
      </c>
      <c r="AA18" s="128">
        <v>805</v>
      </c>
      <c r="AB18" s="128">
        <v>540</v>
      </c>
      <c r="AC18" s="128">
        <v>1265</v>
      </c>
      <c r="AD18" s="128">
        <v>1015</v>
      </c>
      <c r="AE18" s="128">
        <v>415</v>
      </c>
      <c r="AF18" s="128">
        <v>415</v>
      </c>
      <c r="AG18" s="129">
        <v>355</v>
      </c>
    </row>
    <row r="19" spans="1:34" ht="27.75" customHeight="1">
      <c r="A19" s="114" t="s">
        <v>4</v>
      </c>
      <c r="B19" s="114" t="s">
        <v>7</v>
      </c>
      <c r="C19" s="114" t="s">
        <v>9</v>
      </c>
      <c r="D19" s="114" t="s">
        <v>61</v>
      </c>
      <c r="E19" s="114" t="s">
        <v>62</v>
      </c>
      <c r="F19" s="114" t="s">
        <v>63</v>
      </c>
      <c r="G19" s="114" t="s">
        <v>59</v>
      </c>
      <c r="H19" s="115" t="s">
        <v>60</v>
      </c>
      <c r="I19" s="145" t="s">
        <v>33</v>
      </c>
      <c r="J19" s="135" t="s">
        <v>34</v>
      </c>
      <c r="K19" s="148" t="s">
        <v>35</v>
      </c>
      <c r="L19" s="148" t="s">
        <v>84</v>
      </c>
      <c r="M19" s="149" t="s">
        <v>85</v>
      </c>
      <c r="R19" s="121" t="s">
        <v>12</v>
      </c>
      <c r="S19" s="119">
        <v>1</v>
      </c>
      <c r="T19" s="119">
        <v>2</v>
      </c>
      <c r="U19" s="119">
        <v>3</v>
      </c>
      <c r="V19" s="119">
        <v>4</v>
      </c>
      <c r="W19" s="119">
        <v>5</v>
      </c>
      <c r="X19" s="119">
        <v>6</v>
      </c>
      <c r="Y19" s="119">
        <v>7</v>
      </c>
      <c r="Z19" s="119">
        <v>8</v>
      </c>
      <c r="AA19" s="119">
        <v>9</v>
      </c>
      <c r="AB19" s="119">
        <v>10</v>
      </c>
      <c r="AC19" s="119">
        <v>11</v>
      </c>
      <c r="AD19" s="119">
        <v>12</v>
      </c>
      <c r="AE19" s="119">
        <v>13</v>
      </c>
      <c r="AF19" s="119">
        <v>14</v>
      </c>
      <c r="AG19" s="120">
        <v>15</v>
      </c>
    </row>
    <row r="20" spans="1:34" ht="27.75" customHeight="1">
      <c r="A20" s="124">
        <v>8</v>
      </c>
      <c r="B20" s="124">
        <v>11</v>
      </c>
      <c r="C20" s="94" t="str">
        <f t="shared" ref="C20:C34" si="3">VLOOKUP(B20,$A$2:$Q$17,17,1)</f>
        <v>seven-dwarfs-mine-train</v>
      </c>
      <c r="D20" s="94">
        <f>ABS(E20)</f>
        <v>0</v>
      </c>
      <c r="E20" s="8"/>
      <c r="F20" s="78">
        <f t="shared" ref="F20:F34" si="4">INDEX($R$2:$AG$17,MATCH(A20,$R$2:$R$17,0),MATCH(B20,$R$2:$AG$2,0))</f>
        <v>7.9051383399209481E-3</v>
      </c>
      <c r="G20" s="8"/>
      <c r="H20" s="79">
        <f t="shared" ref="H20:H34" si="5">INDEX($R$19:$AG$34,MATCH(A20,$R$19:$R$34,0),MATCH(B20,$R$19:$AG$19,0))</f>
        <v>10</v>
      </c>
      <c r="I20" s="146">
        <v>1</v>
      </c>
      <c r="J20" s="137">
        <v>1</v>
      </c>
      <c r="K20" s="39">
        <v>8</v>
      </c>
      <c r="L20" s="150">
        <f>VLOOKUP(C20,coordMK!C:E,2,0)</f>
        <v>28.420463999999999</v>
      </c>
      <c r="M20" s="151">
        <f>VLOOKUP(C20,coordMK!C:E,3,0)</f>
        <v>-81.580502999999993</v>
      </c>
      <c r="O20" s="133"/>
      <c r="R20" s="124">
        <v>8</v>
      </c>
      <c r="S20" s="130">
        <v>10</v>
      </c>
      <c r="T20" s="130">
        <v>25</v>
      </c>
      <c r="U20" s="130">
        <v>5</v>
      </c>
      <c r="V20" s="130">
        <v>10</v>
      </c>
      <c r="W20" s="130">
        <v>25</v>
      </c>
      <c r="X20" s="130">
        <v>10</v>
      </c>
      <c r="Y20" s="130">
        <v>40</v>
      </c>
      <c r="Z20" s="130">
        <v>5</v>
      </c>
      <c r="AA20" s="130">
        <v>5</v>
      </c>
      <c r="AB20" s="130">
        <v>10</v>
      </c>
      <c r="AC20" s="130">
        <v>10</v>
      </c>
      <c r="AD20" s="130">
        <v>70</v>
      </c>
      <c r="AE20" s="130">
        <v>5</v>
      </c>
      <c r="AF20" s="130">
        <v>5</v>
      </c>
      <c r="AG20" s="131">
        <v>15</v>
      </c>
    </row>
    <row r="21" spans="1:34">
      <c r="A21" s="124">
        <v>9</v>
      </c>
      <c r="B21" s="124">
        <v>4</v>
      </c>
      <c r="C21" s="94" t="str">
        <f t="shared" si="3"/>
        <v>dumbo-the-flying-elephant</v>
      </c>
      <c r="D21" s="94">
        <f t="shared" ref="D21:D34" si="6">ABS(E21)</f>
        <v>4.9147122391873257E-2</v>
      </c>
      <c r="E21" s="83">
        <f t="shared" ref="E21:E34" si="7">INDEX($A$2:$P$17,MATCH(B20,$A$2:$A$17,0),MATCH(B21,$A$2:$P$2,0))</f>
        <v>4.9147122391873257E-2</v>
      </c>
      <c r="F21" s="78">
        <f t="shared" si="4"/>
        <v>0.05</v>
      </c>
      <c r="G21" s="83">
        <f t="shared" ref="G21:G34" si="8">INDEX($S$36:$AH$52,MATCH(B20,$R$36:$R$51,0),MATCH(B21,$R$36:$AG$36,0))</f>
        <v>196.18586926043142</v>
      </c>
      <c r="H21" s="79">
        <f t="shared" si="5"/>
        <v>15</v>
      </c>
      <c r="I21" s="12">
        <v>1</v>
      </c>
      <c r="J21" s="8">
        <v>1</v>
      </c>
      <c r="K21" s="39">
        <v>9</v>
      </c>
      <c r="L21" s="150">
        <f>VLOOKUP(C21,coordMK!C:E,2,0)</f>
        <v>28.420459999999999</v>
      </c>
      <c r="M21" s="151">
        <f>VLOOKUP(C21,coordMK!C:E,3,0)</f>
        <v>-81.578979000000004</v>
      </c>
      <c r="O21" s="133"/>
      <c r="R21" s="124">
        <v>9</v>
      </c>
      <c r="S21" s="130">
        <v>25</v>
      </c>
      <c r="T21" s="130">
        <v>65</v>
      </c>
      <c r="U21" s="130">
        <v>35</v>
      </c>
      <c r="V21" s="130">
        <v>15</v>
      </c>
      <c r="W21" s="130">
        <v>40</v>
      </c>
      <c r="X21" s="130">
        <v>5</v>
      </c>
      <c r="Y21" s="130">
        <v>35</v>
      </c>
      <c r="Z21" s="130">
        <v>15</v>
      </c>
      <c r="AA21" s="130">
        <v>5</v>
      </c>
      <c r="AB21" s="130">
        <v>30</v>
      </c>
      <c r="AC21" s="130">
        <v>10</v>
      </c>
      <c r="AD21" s="130">
        <v>60</v>
      </c>
      <c r="AE21" s="130">
        <v>5</v>
      </c>
      <c r="AF21" s="130">
        <v>5</v>
      </c>
      <c r="AG21" s="131">
        <v>20</v>
      </c>
    </row>
    <row r="22" spans="1:34">
      <c r="A22" s="124">
        <v>10</v>
      </c>
      <c r="B22" s="124">
        <v>13</v>
      </c>
      <c r="C22" s="94" t="str">
        <f t="shared" si="3"/>
        <v>splash-mountain</v>
      </c>
      <c r="D22" s="94">
        <f t="shared" si="6"/>
        <v>1.9464148409406176E-2</v>
      </c>
      <c r="E22" s="83">
        <f t="shared" si="7"/>
        <v>1.9464148409406176E-2</v>
      </c>
      <c r="F22" s="78">
        <f t="shared" si="4"/>
        <v>4.8192771084337352E-2</v>
      </c>
      <c r="G22" s="83">
        <f t="shared" si="8"/>
        <v>209.16282830150311</v>
      </c>
      <c r="H22" s="79">
        <f t="shared" si="5"/>
        <v>20</v>
      </c>
      <c r="I22" s="12">
        <v>1</v>
      </c>
      <c r="J22" s="8">
        <v>1</v>
      </c>
      <c r="K22" s="39">
        <v>10</v>
      </c>
      <c r="L22" s="150">
        <f>VLOOKUP(C22,coordMK!C:E,2,0)</f>
        <v>28.419139000000001</v>
      </c>
      <c r="M22" s="151">
        <f>VLOOKUP(C22,coordMK!C:E,3,0)</f>
        <v>-81.585058000000004</v>
      </c>
      <c r="O22" s="133"/>
      <c r="R22" s="124">
        <v>10</v>
      </c>
      <c r="S22" s="130">
        <v>25</v>
      </c>
      <c r="T22" s="130">
        <v>45</v>
      </c>
      <c r="U22" s="130">
        <v>30</v>
      </c>
      <c r="V22" s="130">
        <v>15</v>
      </c>
      <c r="W22" s="130">
        <v>40</v>
      </c>
      <c r="X22" s="130">
        <v>5</v>
      </c>
      <c r="Y22" s="130">
        <v>60</v>
      </c>
      <c r="Z22" s="130">
        <v>10</v>
      </c>
      <c r="AA22" s="130">
        <v>20</v>
      </c>
      <c r="AB22" s="130">
        <v>45</v>
      </c>
      <c r="AC22" s="130">
        <v>60</v>
      </c>
      <c r="AD22" s="130">
        <v>50</v>
      </c>
      <c r="AE22" s="130">
        <v>20</v>
      </c>
      <c r="AF22" s="130">
        <v>10</v>
      </c>
      <c r="AG22" s="131">
        <v>20</v>
      </c>
    </row>
    <row r="23" spans="1:34">
      <c r="A23" s="124">
        <v>11</v>
      </c>
      <c r="B23" s="124">
        <v>14</v>
      </c>
      <c r="C23" s="94" t="str">
        <f t="shared" si="3"/>
        <v>the-many-adventures-of-winnie-the-pooh</v>
      </c>
      <c r="D23" s="94">
        <f t="shared" si="6"/>
        <v>3.5377274278648514E-2</v>
      </c>
      <c r="E23" s="83">
        <f t="shared" si="7"/>
        <v>3.5377274278648514E-2</v>
      </c>
      <c r="F23" s="78">
        <f t="shared" si="4"/>
        <v>4.8192771084337352E-2</v>
      </c>
      <c r="G23" s="83">
        <f t="shared" si="8"/>
        <v>385.50102343587747</v>
      </c>
      <c r="H23" s="79">
        <f t="shared" si="5"/>
        <v>20</v>
      </c>
      <c r="I23" s="12">
        <v>1</v>
      </c>
      <c r="J23" s="8">
        <v>1</v>
      </c>
      <c r="K23" s="39">
        <v>11</v>
      </c>
      <c r="L23" s="150">
        <f>VLOOKUP(C23,coordMK!C:E,2,0)</f>
        <v>28.420138999999999</v>
      </c>
      <c r="M23" s="151">
        <f>VLOOKUP(C23,coordMK!C:E,3,0)</f>
        <v>-81.580201000000002</v>
      </c>
      <c r="O23" s="133"/>
      <c r="R23" s="124">
        <v>11</v>
      </c>
      <c r="S23" s="130">
        <v>25</v>
      </c>
      <c r="T23" s="130">
        <v>45</v>
      </c>
      <c r="U23" s="130">
        <v>35</v>
      </c>
      <c r="V23" s="130">
        <v>15</v>
      </c>
      <c r="W23" s="130">
        <v>40</v>
      </c>
      <c r="X23" s="130">
        <v>10</v>
      </c>
      <c r="Y23" s="130">
        <v>45</v>
      </c>
      <c r="Z23" s="130">
        <v>10</v>
      </c>
      <c r="AA23" s="130">
        <v>45</v>
      </c>
      <c r="AB23" s="130">
        <v>40</v>
      </c>
      <c r="AC23" s="130">
        <v>90</v>
      </c>
      <c r="AD23" s="130">
        <v>75</v>
      </c>
      <c r="AE23" s="130">
        <v>50</v>
      </c>
      <c r="AF23" s="130">
        <v>20</v>
      </c>
      <c r="AG23" s="131">
        <v>25</v>
      </c>
    </row>
    <row r="24" spans="1:34">
      <c r="A24" s="124">
        <v>12</v>
      </c>
      <c r="B24" s="124">
        <v>1</v>
      </c>
      <c r="C24" s="94" t="str">
        <f t="shared" si="3"/>
        <v>astro-orbiter</v>
      </c>
      <c r="D24" s="94">
        <f t="shared" si="6"/>
        <v>1.3168409585852855E-2</v>
      </c>
      <c r="E24" s="83">
        <f t="shared" si="7"/>
        <v>1.3168409585852855E-2</v>
      </c>
      <c r="F24" s="78">
        <f t="shared" si="4"/>
        <v>9.45945945945946E-2</v>
      </c>
      <c r="G24" s="83">
        <f t="shared" si="8"/>
        <v>79.03822260954027</v>
      </c>
      <c r="H24" s="79">
        <f t="shared" si="5"/>
        <v>35</v>
      </c>
      <c r="I24" s="12">
        <v>1</v>
      </c>
      <c r="J24" s="8">
        <v>1</v>
      </c>
      <c r="K24" s="39">
        <v>12</v>
      </c>
      <c r="L24" s="150">
        <f>VLOOKUP(C24,coordMK!C:E,2,0)</f>
        <v>28.418493000000002</v>
      </c>
      <c r="M24" s="151">
        <f>VLOOKUP(C24,coordMK!C:E,3,0)</f>
        <v>-81.579230999999993</v>
      </c>
      <c r="O24" s="133"/>
      <c r="R24" s="124">
        <v>12</v>
      </c>
      <c r="S24" s="130">
        <v>35</v>
      </c>
      <c r="T24" s="130">
        <v>50</v>
      </c>
      <c r="U24" s="130">
        <v>50</v>
      </c>
      <c r="V24" s="130">
        <v>20</v>
      </c>
      <c r="W24" s="130">
        <v>45</v>
      </c>
      <c r="X24" s="130">
        <v>10</v>
      </c>
      <c r="Y24" s="130">
        <v>50</v>
      </c>
      <c r="Z24" s="130">
        <v>15</v>
      </c>
      <c r="AA24" s="130">
        <v>75</v>
      </c>
      <c r="AB24" s="130">
        <v>30</v>
      </c>
      <c r="AC24" s="130">
        <v>75</v>
      </c>
      <c r="AD24" s="130">
        <v>95</v>
      </c>
      <c r="AE24" s="130">
        <v>35</v>
      </c>
      <c r="AF24" s="130">
        <v>30</v>
      </c>
      <c r="AG24" s="131">
        <v>20</v>
      </c>
    </row>
    <row r="25" spans="1:34">
      <c r="A25" s="124">
        <v>13</v>
      </c>
      <c r="B25" s="124">
        <v>2</v>
      </c>
      <c r="C25" s="94" t="str">
        <f t="shared" si="3"/>
        <v>big-thunder-mountain-railroad</v>
      </c>
      <c r="D25" s="94">
        <f t="shared" si="6"/>
        <v>1.117527131493248E-2</v>
      </c>
      <c r="E25" s="83">
        <f t="shared" si="7"/>
        <v>1.117527131493248E-2</v>
      </c>
      <c r="F25" s="78">
        <f t="shared" si="4"/>
        <v>6.5217391304347824E-2</v>
      </c>
      <c r="G25" s="83">
        <f t="shared" si="8"/>
        <v>75.235308449802986</v>
      </c>
      <c r="H25" s="79">
        <f t="shared" si="5"/>
        <v>45</v>
      </c>
      <c r="I25" s="12">
        <v>1</v>
      </c>
      <c r="J25" s="8">
        <v>1</v>
      </c>
      <c r="K25" s="39">
        <v>13</v>
      </c>
      <c r="L25" s="150">
        <f>VLOOKUP(C25,coordMK!C:E,2,0)</f>
        <v>28.420021999999999</v>
      </c>
      <c r="M25" s="151">
        <f>VLOOKUP(C25,coordMK!C:E,3,0)</f>
        <v>-81.584692000000004</v>
      </c>
      <c r="O25" s="133"/>
      <c r="R25" s="124">
        <v>13</v>
      </c>
      <c r="S25" s="130">
        <v>35</v>
      </c>
      <c r="T25" s="130">
        <v>45</v>
      </c>
      <c r="U25" s="130">
        <v>45</v>
      </c>
      <c r="V25" s="130">
        <v>35</v>
      </c>
      <c r="W25" s="130">
        <v>45</v>
      </c>
      <c r="X25" s="130">
        <v>15</v>
      </c>
      <c r="Y25" s="130">
        <v>55</v>
      </c>
      <c r="Z25" s="130">
        <v>15</v>
      </c>
      <c r="AA25" s="130">
        <v>90</v>
      </c>
      <c r="AB25" s="130">
        <v>35</v>
      </c>
      <c r="AC25" s="130">
        <v>75</v>
      </c>
      <c r="AD25" s="130">
        <v>80</v>
      </c>
      <c r="AE25" s="130">
        <v>35</v>
      </c>
      <c r="AF25" s="130">
        <v>35</v>
      </c>
      <c r="AG25" s="131">
        <v>20</v>
      </c>
    </row>
    <row r="26" spans="1:34">
      <c r="A26" s="124">
        <v>14</v>
      </c>
      <c r="B26" s="124">
        <v>3</v>
      </c>
      <c r="C26" s="94" t="str">
        <f t="shared" si="3"/>
        <v>buzz-lightyears-space-ranger-spin</v>
      </c>
      <c r="D26" s="94">
        <f t="shared" si="6"/>
        <v>1.5191498195246419E-2</v>
      </c>
      <c r="E26" s="83">
        <f t="shared" si="7"/>
        <v>1.5191498195246419E-2</v>
      </c>
      <c r="F26" s="78">
        <f t="shared" si="4"/>
        <v>7.7586206896551727E-2</v>
      </c>
      <c r="G26" s="83">
        <f t="shared" si="8"/>
        <v>273.1282170184997</v>
      </c>
      <c r="H26" s="79">
        <f t="shared" si="5"/>
        <v>45</v>
      </c>
      <c r="I26" s="12">
        <v>1</v>
      </c>
      <c r="J26" s="8">
        <v>1</v>
      </c>
      <c r="K26" s="39">
        <v>14</v>
      </c>
      <c r="L26" s="150">
        <f>VLOOKUP(C26,coordMK!C:E,2,0)</f>
        <v>28.418243</v>
      </c>
      <c r="M26" s="151">
        <f>VLOOKUP(C26,coordMK!C:E,3,0)</f>
        <v>-81.579359999999994</v>
      </c>
      <c r="O26" s="133"/>
      <c r="R26" s="124">
        <v>14</v>
      </c>
      <c r="S26" s="130">
        <v>20</v>
      </c>
      <c r="T26" s="130">
        <v>40</v>
      </c>
      <c r="U26" s="130">
        <v>45</v>
      </c>
      <c r="V26" s="130">
        <v>35</v>
      </c>
      <c r="W26" s="130">
        <v>40</v>
      </c>
      <c r="X26" s="130">
        <v>20</v>
      </c>
      <c r="Y26" s="130">
        <v>65</v>
      </c>
      <c r="Z26" s="130">
        <v>15</v>
      </c>
      <c r="AA26" s="130">
        <v>70</v>
      </c>
      <c r="AB26" s="130">
        <v>35</v>
      </c>
      <c r="AC26" s="130">
        <v>95</v>
      </c>
      <c r="AD26" s="130">
        <v>80</v>
      </c>
      <c r="AE26" s="130">
        <v>35</v>
      </c>
      <c r="AF26" s="130">
        <v>25</v>
      </c>
      <c r="AG26" s="131">
        <v>20</v>
      </c>
    </row>
    <row r="27" spans="1:34">
      <c r="A27" s="124">
        <v>15</v>
      </c>
      <c r="B27" s="124">
        <v>15</v>
      </c>
      <c r="C27" s="94" t="str">
        <f t="shared" si="3"/>
        <v>tomorrowland-speedway</v>
      </c>
      <c r="D27" s="94">
        <f t="shared" si="6"/>
        <v>4.9633629581598372E-2</v>
      </c>
      <c r="E27" s="83">
        <f t="shared" si="7"/>
        <v>4.9633629581598372E-2</v>
      </c>
      <c r="F27" s="78">
        <f t="shared" si="4"/>
        <v>7.0422535211267609E-2</v>
      </c>
      <c r="G27" s="83">
        <f t="shared" si="8"/>
        <v>0</v>
      </c>
      <c r="H27" s="79">
        <f t="shared" si="5"/>
        <v>25</v>
      </c>
      <c r="I27" s="12">
        <v>1</v>
      </c>
      <c r="J27" s="8">
        <v>1</v>
      </c>
      <c r="K27" s="39">
        <v>15</v>
      </c>
      <c r="L27" s="150">
        <f>VLOOKUP(C27,coordMK!C:E,2,0)</f>
        <v>28.419384000000001</v>
      </c>
      <c r="M27" s="151">
        <f>VLOOKUP(C27,coordMK!C:E,3,0)</f>
        <v>-81.579367000000005</v>
      </c>
      <c r="O27" s="133"/>
      <c r="R27" s="124">
        <v>15</v>
      </c>
      <c r="S27" s="130">
        <v>40</v>
      </c>
      <c r="T27" s="130">
        <v>40</v>
      </c>
      <c r="U27" s="130">
        <v>45</v>
      </c>
      <c r="V27" s="130">
        <v>35</v>
      </c>
      <c r="W27" s="130">
        <v>45</v>
      </c>
      <c r="X27" s="130">
        <v>20</v>
      </c>
      <c r="Y27" s="130">
        <v>75</v>
      </c>
      <c r="Z27" s="130">
        <v>10</v>
      </c>
      <c r="AA27" s="130">
        <v>65</v>
      </c>
      <c r="AB27" s="130">
        <v>40</v>
      </c>
      <c r="AC27" s="130">
        <v>115</v>
      </c>
      <c r="AD27" s="130">
        <v>70</v>
      </c>
      <c r="AE27" s="130">
        <v>25</v>
      </c>
      <c r="AF27" s="130">
        <v>40</v>
      </c>
      <c r="AG27" s="131">
        <v>25</v>
      </c>
    </row>
    <row r="28" spans="1:34">
      <c r="A28" s="124">
        <v>16</v>
      </c>
      <c r="B28" s="124">
        <v>9</v>
      </c>
      <c r="C28" s="94" t="str">
        <f t="shared" si="3"/>
        <v>peter-pans-flight</v>
      </c>
      <c r="D28" s="94">
        <f t="shared" si="6"/>
        <v>3.2934021855036376E-2</v>
      </c>
      <c r="E28" s="83">
        <f t="shared" si="7"/>
        <v>3.2934021855036376E-2</v>
      </c>
      <c r="F28" s="78">
        <f t="shared" si="4"/>
        <v>6.2111801242236024E-2</v>
      </c>
      <c r="G28" s="83">
        <f t="shared" si="8"/>
        <v>140.34652822183338</v>
      </c>
      <c r="H28" s="79">
        <f t="shared" si="5"/>
        <v>50</v>
      </c>
      <c r="I28" s="12">
        <v>1</v>
      </c>
      <c r="J28" s="8">
        <v>1</v>
      </c>
      <c r="K28" s="39">
        <v>16</v>
      </c>
      <c r="L28" s="150">
        <f>VLOOKUP(C28,coordMK!C:E,2,0)</f>
        <v>28.420356000000002</v>
      </c>
      <c r="M28" s="151">
        <f>VLOOKUP(C28,coordMK!C:E,3,0)</f>
        <v>-81.581855000000004</v>
      </c>
      <c r="O28" s="133"/>
      <c r="R28" s="124">
        <v>16</v>
      </c>
      <c r="S28" s="130">
        <v>30</v>
      </c>
      <c r="T28" s="130">
        <v>65</v>
      </c>
      <c r="U28" s="130">
        <v>40</v>
      </c>
      <c r="V28" s="130">
        <v>10</v>
      </c>
      <c r="W28" s="130">
        <v>50</v>
      </c>
      <c r="X28" s="130">
        <v>20</v>
      </c>
      <c r="Y28" s="130">
        <v>60</v>
      </c>
      <c r="Z28" s="130">
        <v>10</v>
      </c>
      <c r="AA28" s="130">
        <v>50</v>
      </c>
      <c r="AB28" s="130">
        <v>40</v>
      </c>
      <c r="AC28" s="130">
        <v>130</v>
      </c>
      <c r="AD28" s="130">
        <v>70</v>
      </c>
      <c r="AE28" s="130">
        <v>35</v>
      </c>
      <c r="AF28" s="130">
        <v>35</v>
      </c>
      <c r="AG28" s="131">
        <v>25</v>
      </c>
    </row>
    <row r="29" spans="1:34">
      <c r="A29" s="124">
        <v>17</v>
      </c>
      <c r="B29" s="124">
        <v>5</v>
      </c>
      <c r="C29" s="94" t="str">
        <f t="shared" si="3"/>
        <v>haunted-mansion</v>
      </c>
      <c r="D29" s="94">
        <f t="shared" si="6"/>
        <v>1.656225464926861E-2</v>
      </c>
      <c r="E29" s="83">
        <f t="shared" si="7"/>
        <v>1.656225464926861E-2</v>
      </c>
      <c r="F29" s="78">
        <f t="shared" si="4"/>
        <v>7.1999999999999995E-2</v>
      </c>
      <c r="G29" s="83">
        <f t="shared" si="8"/>
        <v>115.54084629340073</v>
      </c>
      <c r="H29" s="79">
        <f t="shared" si="5"/>
        <v>45</v>
      </c>
      <c r="I29" s="12">
        <v>1</v>
      </c>
      <c r="J29" s="8">
        <v>1</v>
      </c>
      <c r="K29" s="39">
        <v>17</v>
      </c>
      <c r="L29" s="150">
        <f>VLOOKUP(C29,coordMK!C:E,2,0)</f>
        <v>28.420445999999998</v>
      </c>
      <c r="M29" s="151">
        <f>VLOOKUP(C29,coordMK!C:E,3,0)</f>
        <v>-81.582879000000005</v>
      </c>
      <c r="R29" s="124">
        <v>17</v>
      </c>
      <c r="S29" s="130">
        <v>30</v>
      </c>
      <c r="T29" s="130">
        <v>45</v>
      </c>
      <c r="U29" s="130">
        <v>40</v>
      </c>
      <c r="V29" s="130">
        <v>15</v>
      </c>
      <c r="W29" s="130">
        <v>45</v>
      </c>
      <c r="X29" s="130">
        <v>35</v>
      </c>
      <c r="Y29" s="130">
        <v>30</v>
      </c>
      <c r="Z29" s="130">
        <v>10</v>
      </c>
      <c r="AA29" s="130">
        <v>50</v>
      </c>
      <c r="AB29" s="130">
        <v>40</v>
      </c>
      <c r="AC29" s="130">
        <v>110</v>
      </c>
      <c r="AD29" s="130">
        <v>60</v>
      </c>
      <c r="AE29" s="130">
        <v>30</v>
      </c>
      <c r="AF29" s="130">
        <v>50</v>
      </c>
      <c r="AG29" s="131">
        <v>25</v>
      </c>
    </row>
    <row r="30" spans="1:34">
      <c r="A30" s="124">
        <v>18</v>
      </c>
      <c r="B30" s="124">
        <v>8</v>
      </c>
      <c r="C30" s="94" t="str">
        <f t="shared" si="3"/>
        <v>monsters-inc-laugh-floor</v>
      </c>
      <c r="D30" s="94">
        <f t="shared" si="6"/>
        <v>7.7395722034668945E-3</v>
      </c>
      <c r="E30" s="83">
        <f t="shared" si="7"/>
        <v>7.7395722034668945E-3</v>
      </c>
      <c r="F30" s="78">
        <f t="shared" si="4"/>
        <v>8.8235294117647065E-2</v>
      </c>
      <c r="G30" s="83">
        <f t="shared" si="8"/>
        <v>46.120406617537434</v>
      </c>
      <c r="H30" s="79">
        <f t="shared" si="5"/>
        <v>15</v>
      </c>
      <c r="I30" s="12">
        <v>1</v>
      </c>
      <c r="J30" s="8">
        <v>1</v>
      </c>
      <c r="K30" s="39">
        <v>18</v>
      </c>
      <c r="L30" s="150">
        <f>VLOOKUP(C30,coordMK!C:E,2,0)</f>
        <v>28.418417000000002</v>
      </c>
      <c r="M30" s="151">
        <f>VLOOKUP(C30,coordMK!C:E,3,0)</f>
        <v>-81.579811000000007</v>
      </c>
      <c r="R30" s="124">
        <v>18</v>
      </c>
      <c r="S30" s="130">
        <v>15</v>
      </c>
      <c r="T30" s="130">
        <v>50</v>
      </c>
      <c r="U30" s="130">
        <v>45</v>
      </c>
      <c r="V30" s="130">
        <v>20</v>
      </c>
      <c r="W30" s="130">
        <v>35</v>
      </c>
      <c r="X30" s="130">
        <v>35</v>
      </c>
      <c r="Y30" s="130">
        <v>40</v>
      </c>
      <c r="Z30" s="130">
        <v>15</v>
      </c>
      <c r="AA30" s="130">
        <v>75</v>
      </c>
      <c r="AB30" s="130">
        <v>30</v>
      </c>
      <c r="AC30" s="130">
        <v>85</v>
      </c>
      <c r="AD30" s="130">
        <v>60</v>
      </c>
      <c r="AE30" s="130">
        <v>20</v>
      </c>
      <c r="AF30" s="130">
        <v>30</v>
      </c>
      <c r="AG30" s="131">
        <v>20</v>
      </c>
    </row>
    <row r="31" spans="1:34">
      <c r="A31" s="124">
        <v>19</v>
      </c>
      <c r="B31" s="124">
        <v>10</v>
      </c>
      <c r="C31" s="94" t="str">
        <f t="shared" si="3"/>
        <v>pirates-of-the-caribbean</v>
      </c>
      <c r="D31" s="94">
        <f t="shared" si="6"/>
        <v>2.2504827840583726E-2</v>
      </c>
      <c r="E31" s="83">
        <f t="shared" si="7"/>
        <v>2.2504827840583726E-2</v>
      </c>
      <c r="F31" s="78">
        <f t="shared" si="4"/>
        <v>8.3333333333333329E-2</v>
      </c>
      <c r="G31" s="83">
        <f t="shared" si="8"/>
        <v>194.30568622833707</v>
      </c>
      <c r="H31" s="79">
        <f t="shared" si="5"/>
        <v>45</v>
      </c>
      <c r="I31" s="12">
        <v>1</v>
      </c>
      <c r="J31" s="8">
        <v>1</v>
      </c>
      <c r="K31" s="39">
        <v>19</v>
      </c>
      <c r="L31" s="150">
        <f>VLOOKUP(C31,coordMK!C:E,2,0)</f>
        <v>28.418123999999999</v>
      </c>
      <c r="M31" s="151">
        <f>VLOOKUP(C31,coordMK!C:E,3,0)</f>
        <v>-81.584284999999994</v>
      </c>
      <c r="R31" s="124">
        <v>19</v>
      </c>
      <c r="S31" s="130">
        <v>15</v>
      </c>
      <c r="T31" s="130">
        <v>55</v>
      </c>
      <c r="U31" s="130">
        <v>40</v>
      </c>
      <c r="V31" s="130">
        <v>10</v>
      </c>
      <c r="W31" s="130">
        <v>40</v>
      </c>
      <c r="X31" s="130">
        <v>25</v>
      </c>
      <c r="Y31" s="130">
        <v>55</v>
      </c>
      <c r="Z31" s="130">
        <v>5</v>
      </c>
      <c r="AA31" s="130">
        <v>60</v>
      </c>
      <c r="AB31" s="130">
        <v>45</v>
      </c>
      <c r="AC31" s="130">
        <v>105</v>
      </c>
      <c r="AD31" s="130">
        <v>60</v>
      </c>
      <c r="AE31" s="130">
        <v>35</v>
      </c>
      <c r="AF31" s="130">
        <v>35</v>
      </c>
      <c r="AG31" s="131">
        <v>25</v>
      </c>
    </row>
    <row r="32" spans="1:34">
      <c r="A32" s="124">
        <v>20</v>
      </c>
      <c r="B32" s="124">
        <v>6</v>
      </c>
      <c r="C32" s="94" t="str">
        <f t="shared" si="3"/>
        <v>its-a-small-world</v>
      </c>
      <c r="D32" s="94">
        <f t="shared" si="6"/>
        <v>1.9498098998980046E-2</v>
      </c>
      <c r="E32" s="83">
        <f t="shared" si="7"/>
        <v>1.9498098998980046E-2</v>
      </c>
      <c r="F32" s="78">
        <f t="shared" si="4"/>
        <v>9.0909090909090912E-2</v>
      </c>
      <c r="G32" s="83">
        <f t="shared" si="8"/>
        <v>178.79249083232051</v>
      </c>
      <c r="H32" s="79">
        <f t="shared" si="5"/>
        <v>25</v>
      </c>
      <c r="I32" s="12">
        <v>1</v>
      </c>
      <c r="J32" s="8">
        <v>1</v>
      </c>
      <c r="K32" s="39">
        <v>20</v>
      </c>
      <c r="L32" s="150">
        <f>VLOOKUP(C32,coordMK!C:E,2,0)</f>
        <v>28.420539999999999</v>
      </c>
      <c r="M32" s="151">
        <f>VLOOKUP(C32,coordMK!C:E,3,0)</f>
        <v>-81.581951000000004</v>
      </c>
      <c r="R32" s="124">
        <v>20</v>
      </c>
      <c r="S32" s="130">
        <v>20</v>
      </c>
      <c r="T32" s="130">
        <v>25</v>
      </c>
      <c r="U32" s="130">
        <v>40</v>
      </c>
      <c r="V32" s="130">
        <v>15</v>
      </c>
      <c r="W32" s="130">
        <v>50</v>
      </c>
      <c r="X32" s="130">
        <v>25</v>
      </c>
      <c r="Y32" s="130">
        <v>50</v>
      </c>
      <c r="Z32" s="130">
        <v>15</v>
      </c>
      <c r="AA32" s="130">
        <v>55</v>
      </c>
      <c r="AB32" s="130">
        <v>45</v>
      </c>
      <c r="AC32" s="130">
        <v>85</v>
      </c>
      <c r="AD32" s="130">
        <v>60</v>
      </c>
      <c r="AE32" s="130">
        <v>30</v>
      </c>
      <c r="AF32" s="130">
        <v>35</v>
      </c>
      <c r="AG32" s="131">
        <v>40</v>
      </c>
    </row>
    <row r="33" spans="1:33">
      <c r="A33" s="124">
        <v>21</v>
      </c>
      <c r="B33" s="124">
        <v>7</v>
      </c>
      <c r="C33" s="94" t="str">
        <f t="shared" si="3"/>
        <v>jungle-cruise</v>
      </c>
      <c r="D33" s="94">
        <f t="shared" si="6"/>
        <v>3.3900020478840311E-2</v>
      </c>
      <c r="E33" s="83">
        <f t="shared" si="7"/>
        <v>3.3900020478840311E-2</v>
      </c>
      <c r="F33" s="78">
        <f t="shared" si="4"/>
        <v>8.1761006289308172E-2</v>
      </c>
      <c r="G33" s="83">
        <f t="shared" si="8"/>
        <v>54.816916820998742</v>
      </c>
      <c r="H33" s="79">
        <f t="shared" si="5"/>
        <v>65</v>
      </c>
      <c r="I33" s="12">
        <v>1</v>
      </c>
      <c r="J33" s="8">
        <v>1</v>
      </c>
      <c r="K33" s="39">
        <v>21</v>
      </c>
      <c r="L33" s="150">
        <f>VLOOKUP(C33,coordMK!C:E,2,0)</f>
        <v>28.418016000000001</v>
      </c>
      <c r="M33" s="151">
        <f>VLOOKUP(C33,coordMK!C:E,3,0)</f>
        <v>-81.583437000000004</v>
      </c>
      <c r="R33" s="124">
        <v>21</v>
      </c>
      <c r="S33" s="130">
        <v>25</v>
      </c>
      <c r="T33" s="130">
        <v>45</v>
      </c>
      <c r="U33" s="130">
        <v>55</v>
      </c>
      <c r="V33" s="130">
        <v>25</v>
      </c>
      <c r="W33" s="130">
        <v>40</v>
      </c>
      <c r="X33" s="130">
        <v>20</v>
      </c>
      <c r="Y33" s="130">
        <v>65</v>
      </c>
      <c r="Z33" s="130">
        <v>10</v>
      </c>
      <c r="AA33" s="130">
        <v>65</v>
      </c>
      <c r="AB33" s="130">
        <v>30</v>
      </c>
      <c r="AC33" s="130">
        <v>115</v>
      </c>
      <c r="AD33" s="130">
        <v>60</v>
      </c>
      <c r="AE33" s="130">
        <v>35</v>
      </c>
      <c r="AF33" s="130">
        <v>25</v>
      </c>
      <c r="AG33" s="131">
        <v>30</v>
      </c>
    </row>
    <row r="34" spans="1:33" ht="15" thickBot="1">
      <c r="A34" s="132">
        <v>22</v>
      </c>
      <c r="B34" s="132">
        <v>12</v>
      </c>
      <c r="C34" s="97" t="str">
        <f t="shared" si="3"/>
        <v>space-mountain</v>
      </c>
      <c r="D34" s="97">
        <f t="shared" si="6"/>
        <v>1.7027476462157992E-2</v>
      </c>
      <c r="E34" s="105">
        <f t="shared" si="7"/>
        <v>1.7027476462157992E-2</v>
      </c>
      <c r="F34" s="80">
        <f t="shared" si="4"/>
        <v>6.4039408866995079E-2</v>
      </c>
      <c r="G34" s="105">
        <f t="shared" si="8"/>
        <v>506.44970871063845</v>
      </c>
      <c r="H34" s="81">
        <f t="shared" si="5"/>
        <v>65</v>
      </c>
      <c r="I34" s="41">
        <v>1</v>
      </c>
      <c r="J34" s="16">
        <v>1</v>
      </c>
      <c r="K34" s="147">
        <v>22</v>
      </c>
      <c r="L34" s="152">
        <f>VLOOKUP(C34,coordMK!C:E,2,0)</f>
        <v>28.419082</v>
      </c>
      <c r="M34" s="153">
        <f>VLOOKUP(C34,coordMK!C:E,3,0)</f>
        <v>-81.577305999999993</v>
      </c>
      <c r="R34" s="124">
        <v>22</v>
      </c>
      <c r="S34" s="130">
        <v>20</v>
      </c>
      <c r="T34" s="130">
        <v>50</v>
      </c>
      <c r="U34" s="130">
        <v>30</v>
      </c>
      <c r="V34" s="130">
        <v>25</v>
      </c>
      <c r="W34" s="130">
        <v>45</v>
      </c>
      <c r="X34" s="130">
        <v>20</v>
      </c>
      <c r="Y34" s="130">
        <v>70</v>
      </c>
      <c r="Z34" s="130">
        <v>10</v>
      </c>
      <c r="AA34" s="130">
        <v>75</v>
      </c>
      <c r="AB34" s="130">
        <v>45</v>
      </c>
      <c r="AC34" s="130">
        <v>105</v>
      </c>
      <c r="AD34" s="130">
        <v>65</v>
      </c>
      <c r="AE34" s="130">
        <v>20</v>
      </c>
      <c r="AF34" s="130">
        <v>35</v>
      </c>
      <c r="AG34" s="131">
        <v>25</v>
      </c>
    </row>
    <row r="35" spans="1:33" ht="15.75" thickBot="1">
      <c r="A35" s="7"/>
      <c r="B35" s="4"/>
      <c r="C35" s="4"/>
      <c r="D35" s="108">
        <f>SUM(D20:D34)</f>
        <v>0.34332362624589208</v>
      </c>
      <c r="F35" s="82">
        <f>SUM(F20:F34)</f>
        <v>1.004501343273968</v>
      </c>
      <c r="G35" s="106">
        <f>SUM(G21:G34)</f>
        <v>2454.6240528007211</v>
      </c>
      <c r="H35" s="107">
        <f>SUM(H20:H34)</f>
        <v>525</v>
      </c>
      <c r="K35" s="82">
        <f>D35-SUM(D27:D30)</f>
        <v>0.23645414795652181</v>
      </c>
      <c r="R35" s="41"/>
      <c r="S35" s="109">
        <f>SUM(S20:S34)</f>
        <v>370</v>
      </c>
      <c r="T35" s="109">
        <f t="shared" ref="T35:AG35" si="9">SUM(T20:T34)</f>
        <v>690</v>
      </c>
      <c r="U35" s="109">
        <f t="shared" si="9"/>
        <v>580</v>
      </c>
      <c r="V35" s="109">
        <f t="shared" si="9"/>
        <v>300</v>
      </c>
      <c r="W35" s="109">
        <f t="shared" si="9"/>
        <v>625</v>
      </c>
      <c r="X35" s="109">
        <f t="shared" si="9"/>
        <v>275</v>
      </c>
      <c r="Y35" s="109">
        <f t="shared" si="9"/>
        <v>795</v>
      </c>
      <c r="Z35" s="109">
        <f t="shared" si="9"/>
        <v>170</v>
      </c>
      <c r="AA35" s="109">
        <f t="shared" si="9"/>
        <v>805</v>
      </c>
      <c r="AB35" s="109">
        <f t="shared" si="9"/>
        <v>540</v>
      </c>
      <c r="AC35" s="109">
        <f t="shared" si="9"/>
        <v>1265</v>
      </c>
      <c r="AD35" s="109">
        <f t="shared" si="9"/>
        <v>1015</v>
      </c>
      <c r="AE35" s="109">
        <f t="shared" si="9"/>
        <v>415</v>
      </c>
      <c r="AF35" s="109">
        <f t="shared" si="9"/>
        <v>415</v>
      </c>
      <c r="AG35" s="110">
        <f t="shared" si="9"/>
        <v>355</v>
      </c>
    </row>
    <row r="36" spans="1:33">
      <c r="C36" s="133" t="s">
        <v>3</v>
      </c>
      <c r="D36" s="134">
        <v>1</v>
      </c>
      <c r="F36" s="134">
        <v>0</v>
      </c>
      <c r="K36" s="82">
        <f>F35-SUM(F27:F30)</f>
        <v>0.71173171270281732</v>
      </c>
      <c r="R36" s="121" t="s">
        <v>7</v>
      </c>
      <c r="S36" s="119">
        <v>1</v>
      </c>
      <c r="T36" s="119">
        <v>2</v>
      </c>
      <c r="U36" s="119">
        <v>3</v>
      </c>
      <c r="V36" s="119">
        <v>4</v>
      </c>
      <c r="W36" s="119">
        <v>5</v>
      </c>
      <c r="X36" s="119">
        <v>6</v>
      </c>
      <c r="Y36" s="119">
        <v>7</v>
      </c>
      <c r="Z36" s="119">
        <v>8</v>
      </c>
      <c r="AA36" s="119">
        <v>9</v>
      </c>
      <c r="AB36" s="119">
        <v>10</v>
      </c>
      <c r="AC36" s="119">
        <v>11</v>
      </c>
      <c r="AD36" s="119">
        <v>12</v>
      </c>
      <c r="AE36" s="119">
        <v>13</v>
      </c>
      <c r="AF36" s="119">
        <v>14</v>
      </c>
      <c r="AG36" s="120">
        <v>15</v>
      </c>
    </row>
    <row r="37" spans="1:33" ht="15">
      <c r="L37" s="133" t="s">
        <v>31</v>
      </c>
      <c r="R37" s="124">
        <v>1</v>
      </c>
      <c r="S37" s="111">
        <f t="shared" ref="S37:AG51" si="10">B3*B$18</f>
        <v>0</v>
      </c>
      <c r="T37" s="78">
        <f t="shared" si="10"/>
        <v>35.41571747416252</v>
      </c>
      <c r="U37" s="78">
        <f t="shared" si="10"/>
        <v>75.235308449802986</v>
      </c>
      <c r="V37" s="78">
        <f t="shared" si="10"/>
        <v>243.12415046854716</v>
      </c>
      <c r="W37" s="78">
        <f t="shared" si="10"/>
        <v>285.38608101250298</v>
      </c>
      <c r="X37" s="78">
        <f t="shared" si="10"/>
        <v>289.17855867575389</v>
      </c>
      <c r="Y37" s="78">
        <f t="shared" si="10"/>
        <v>422.239931684601</v>
      </c>
      <c r="Z37" s="78">
        <f t="shared" si="10"/>
        <v>299.18469658294089</v>
      </c>
      <c r="AA37" s="78">
        <f t="shared" si="10"/>
        <v>294.34674965435448</v>
      </c>
      <c r="AB37" s="78">
        <f t="shared" si="10"/>
        <v>243.58872607986012</v>
      </c>
      <c r="AC37" s="78">
        <f t="shared" si="10"/>
        <v>203.00393542072791</v>
      </c>
      <c r="AD37" s="78">
        <f t="shared" si="10"/>
        <v>476.53795812918798</v>
      </c>
      <c r="AE37" s="78">
        <f t="shared" si="10"/>
        <v>166.24766329420822</v>
      </c>
      <c r="AF37" s="78">
        <f t="shared" si="10"/>
        <v>43.627434418712667</v>
      </c>
      <c r="AG37" s="79">
        <f t="shared" si="10"/>
        <v>235.9205617282789</v>
      </c>
    </row>
    <row r="38" spans="1:33" ht="15">
      <c r="C38" s="108">
        <f>D35*D36</f>
        <v>0.34332362624589208</v>
      </c>
      <c r="E38" s="82">
        <f>F35*F36</f>
        <v>0</v>
      </c>
      <c r="G38" s="133" t="s">
        <v>8</v>
      </c>
      <c r="H38" s="113">
        <f>E38+C38</f>
        <v>0.34332362624589208</v>
      </c>
      <c r="I38" s="4"/>
      <c r="J38" s="4"/>
      <c r="K38" s="4"/>
      <c r="L38" s="133" t="s">
        <v>32</v>
      </c>
      <c r="R38" s="124">
        <v>2</v>
      </c>
      <c r="S38" s="78">
        <f t="shared" si="10"/>
        <v>35.41571747416252</v>
      </c>
      <c r="T38" s="111">
        <f t="shared" si="10"/>
        <v>0</v>
      </c>
      <c r="U38" s="78">
        <f t="shared" si="10"/>
        <v>44.436335182955069</v>
      </c>
      <c r="V38" s="78">
        <f t="shared" si="10"/>
        <v>273.1282170184997</v>
      </c>
      <c r="W38" s="78">
        <f t="shared" si="10"/>
        <v>257.94215654492939</v>
      </c>
      <c r="X38" s="78">
        <f t="shared" si="10"/>
        <v>268.18432904191525</v>
      </c>
      <c r="Y38" s="78">
        <f t="shared" si="10"/>
        <v>398.14575455830294</v>
      </c>
      <c r="Z38" s="78">
        <f t="shared" si="10"/>
        <v>273.11509923526529</v>
      </c>
      <c r="AA38" s="78">
        <f t="shared" si="10"/>
        <v>263.58393767409399</v>
      </c>
      <c r="AB38" s="78">
        <f t="shared" si="10"/>
        <v>219.53121870866028</v>
      </c>
      <c r="AC38" s="78">
        <f t="shared" si="10"/>
        <v>200.11373184634658</v>
      </c>
      <c r="AD38" s="78">
        <f t="shared" si="10"/>
        <v>456.11462948302579</v>
      </c>
      <c r="AE38" s="78">
        <f t="shared" si="10"/>
        <v>199.21786127021554</v>
      </c>
      <c r="AF38" s="78">
        <f t="shared" si="10"/>
        <v>79.03822260954027</v>
      </c>
      <c r="AG38" s="79">
        <f t="shared" si="10"/>
        <v>201.14756751767686</v>
      </c>
    </row>
    <row r="39" spans="1:33" ht="15">
      <c r="R39" s="124">
        <v>3</v>
      </c>
      <c r="S39" s="78">
        <f t="shared" si="10"/>
        <v>75.235308449802986</v>
      </c>
      <c r="T39" s="78">
        <f t="shared" si="10"/>
        <v>44.436335182955069</v>
      </c>
      <c r="U39" s="111">
        <f t="shared" si="10"/>
        <v>0</v>
      </c>
      <c r="V39" s="78">
        <f t="shared" si="10"/>
        <v>291.68873208474383</v>
      </c>
      <c r="W39" s="78">
        <f t="shared" si="10"/>
        <v>213.54567105456346</v>
      </c>
      <c r="X39" s="78">
        <f t="shared" si="10"/>
        <v>226.12164826396045</v>
      </c>
      <c r="Y39" s="78">
        <f t="shared" si="10"/>
        <v>354.40223799523591</v>
      </c>
      <c r="Z39" s="78">
        <f t="shared" si="10"/>
        <v>228.93534948956807</v>
      </c>
      <c r="AA39" s="78">
        <f t="shared" si="10"/>
        <v>219.64957303895187</v>
      </c>
      <c r="AB39" s="78">
        <f t="shared" si="10"/>
        <v>176.13361760590166</v>
      </c>
      <c r="AC39" s="78">
        <f t="shared" si="10"/>
        <v>175.53810902631469</v>
      </c>
      <c r="AD39" s="78">
        <f t="shared" si="10"/>
        <v>413.86441663557724</v>
      </c>
      <c r="AE39" s="78">
        <f t="shared" si="10"/>
        <v>225.4098968763337</v>
      </c>
      <c r="AF39" s="78">
        <f t="shared" si="10"/>
        <v>117.05948454950835</v>
      </c>
      <c r="AG39" s="79">
        <f t="shared" si="10"/>
        <v>163.05880626550467</v>
      </c>
    </row>
    <row r="40" spans="1:33" ht="15">
      <c r="L40" s="4"/>
      <c r="M40" s="4"/>
      <c r="N40" s="4"/>
      <c r="O40" s="4"/>
      <c r="P40" s="4"/>
      <c r="Q40" s="4"/>
      <c r="R40" s="124">
        <v>4</v>
      </c>
      <c r="S40" s="78">
        <f t="shared" si="10"/>
        <v>243.12415046854716</v>
      </c>
      <c r="T40" s="78">
        <f t="shared" si="10"/>
        <v>273.1282170184997</v>
      </c>
      <c r="U40" s="78">
        <f t="shared" si="10"/>
        <v>291.68873208474383</v>
      </c>
      <c r="V40" s="111">
        <f t="shared" si="10"/>
        <v>0</v>
      </c>
      <c r="W40" s="78">
        <f t="shared" si="10"/>
        <v>430.58523917795361</v>
      </c>
      <c r="X40" s="78">
        <f t="shared" si="10"/>
        <v>393.65678799828748</v>
      </c>
      <c r="Y40" s="78">
        <f t="shared" si="10"/>
        <v>523.92586826058493</v>
      </c>
      <c r="Z40" s="78">
        <f t="shared" si="10"/>
        <v>433.02117322658597</v>
      </c>
      <c r="AA40" s="78">
        <f t="shared" si="10"/>
        <v>460.99990848306379</v>
      </c>
      <c r="AB40" s="78">
        <f t="shared" si="10"/>
        <v>377.39239285121084</v>
      </c>
      <c r="AC40" s="78">
        <f t="shared" si="10"/>
        <v>243.50268764516565</v>
      </c>
      <c r="AD40" s="78">
        <f t="shared" si="10"/>
        <v>545.19424297983869</v>
      </c>
      <c r="AE40" s="78">
        <f t="shared" si="10"/>
        <v>85.530866119049492</v>
      </c>
      <c r="AF40" s="78">
        <f t="shared" si="10"/>
        <v>209.16282830150311</v>
      </c>
      <c r="AG40" s="79">
        <f t="shared" si="10"/>
        <v>443.65343531531397</v>
      </c>
    </row>
    <row r="41" spans="1:33" ht="15">
      <c r="C41" s="133" t="s">
        <v>64</v>
      </c>
      <c r="G41" s="82">
        <f>G35*3</f>
        <v>7363.8721584021632</v>
      </c>
      <c r="R41" s="124">
        <v>5</v>
      </c>
      <c r="S41" s="78">
        <f t="shared" si="10"/>
        <v>285.38608101250298</v>
      </c>
      <c r="T41" s="78">
        <f t="shared" si="10"/>
        <v>257.94215654492939</v>
      </c>
      <c r="U41" s="78">
        <f t="shared" si="10"/>
        <v>213.54567105456346</v>
      </c>
      <c r="V41" s="78">
        <f t="shared" si="10"/>
        <v>430.58523917795367</v>
      </c>
      <c r="W41" s="111">
        <f t="shared" si="10"/>
        <v>0</v>
      </c>
      <c r="X41" s="78">
        <f t="shared" si="10"/>
        <v>69.455125502039664</v>
      </c>
      <c r="Y41" s="78">
        <f t="shared" si="10"/>
        <v>146.08932876096961</v>
      </c>
      <c r="Z41" s="78">
        <f t="shared" si="10"/>
        <v>21.968778976333269</v>
      </c>
      <c r="AA41" s="78">
        <f t="shared" si="10"/>
        <v>46.120406617537434</v>
      </c>
      <c r="AB41" s="78">
        <f t="shared" si="10"/>
        <v>53.252802281154523</v>
      </c>
      <c r="AC41" s="78">
        <f t="shared" si="10"/>
        <v>196.18586926043142</v>
      </c>
      <c r="AD41" s="78">
        <f t="shared" si="10"/>
        <v>217.34893875517616</v>
      </c>
      <c r="AE41" s="78">
        <f t="shared" si="10"/>
        <v>394.82939421009377</v>
      </c>
      <c r="AF41" s="78">
        <f t="shared" si="10"/>
        <v>321.85836784012554</v>
      </c>
      <c r="AG41" s="79">
        <f t="shared" si="10"/>
        <v>130.10141514607648</v>
      </c>
    </row>
    <row r="42" spans="1:33" ht="15">
      <c r="C42" s="133" t="s">
        <v>65</v>
      </c>
      <c r="G42" s="82">
        <f>G41/5280</f>
        <v>1.394672757273137</v>
      </c>
      <c r="R42" s="124">
        <v>6</v>
      </c>
      <c r="S42" s="78">
        <f t="shared" si="10"/>
        <v>289.17855867575389</v>
      </c>
      <c r="T42" s="78">
        <f t="shared" si="10"/>
        <v>268.18432904191525</v>
      </c>
      <c r="U42" s="78">
        <f t="shared" si="10"/>
        <v>226.12164826396042</v>
      </c>
      <c r="V42" s="78">
        <f t="shared" si="10"/>
        <v>393.6567879982876</v>
      </c>
      <c r="W42" s="78">
        <f t="shared" si="10"/>
        <v>69.455125502039664</v>
      </c>
      <c r="X42" s="111">
        <f t="shared" si="10"/>
        <v>0</v>
      </c>
      <c r="Y42" s="78">
        <f t="shared" si="10"/>
        <v>137.10365996034804</v>
      </c>
      <c r="Z42" s="78">
        <f t="shared" si="10"/>
        <v>54.816916820998742</v>
      </c>
      <c r="AA42" s="78">
        <f t="shared" si="10"/>
        <v>115.54084629340072</v>
      </c>
      <c r="AB42" s="78">
        <f t="shared" si="10"/>
        <v>55.115949607657377</v>
      </c>
      <c r="AC42" s="78">
        <f t="shared" si="10"/>
        <v>150.6555634966613</v>
      </c>
      <c r="AD42" s="78">
        <f t="shared" si="10"/>
        <v>187.93059434003794</v>
      </c>
      <c r="AE42" s="78">
        <f t="shared" si="10"/>
        <v>370.49370442246158</v>
      </c>
      <c r="AF42" s="78">
        <f t="shared" si="10"/>
        <v>319.2524065418915</v>
      </c>
      <c r="AG42" s="79">
        <f t="shared" si="10"/>
        <v>189.22843379725697</v>
      </c>
    </row>
    <row r="43" spans="1:33" ht="15">
      <c r="C43" s="133" t="s">
        <v>66</v>
      </c>
      <c r="G43" s="82">
        <f>H35/60</f>
        <v>8.75</v>
      </c>
      <c r="R43" s="124">
        <v>7</v>
      </c>
      <c r="S43" s="78">
        <f t="shared" si="10"/>
        <v>422.239931684601</v>
      </c>
      <c r="T43" s="78">
        <f t="shared" si="10"/>
        <v>398.14575455830294</v>
      </c>
      <c r="U43" s="78">
        <f t="shared" si="10"/>
        <v>354.40223799523591</v>
      </c>
      <c r="V43" s="78">
        <f t="shared" si="10"/>
        <v>523.92586826058493</v>
      </c>
      <c r="W43" s="78">
        <f t="shared" si="10"/>
        <v>146.08932876096961</v>
      </c>
      <c r="X43" s="78">
        <f t="shared" si="10"/>
        <v>137.10365996034804</v>
      </c>
      <c r="Y43" s="111">
        <f t="shared" si="10"/>
        <v>0</v>
      </c>
      <c r="Z43" s="78">
        <f t="shared" si="10"/>
        <v>127.04302098859857</v>
      </c>
      <c r="AA43" s="78">
        <f t="shared" si="10"/>
        <v>166.51786372548233</v>
      </c>
      <c r="AB43" s="78">
        <f t="shared" si="10"/>
        <v>178.79249083232054</v>
      </c>
      <c r="AC43" s="78">
        <f t="shared" si="10"/>
        <v>281.09763747137629</v>
      </c>
      <c r="AD43" s="78">
        <f t="shared" si="10"/>
        <v>80.985227741250185</v>
      </c>
      <c r="AE43" s="78">
        <f t="shared" si="10"/>
        <v>506.44970871063845</v>
      </c>
      <c r="AF43" s="78">
        <f t="shared" si="10"/>
        <v>454.60608976349619</v>
      </c>
      <c r="AG43" s="79">
        <f t="shared" si="10"/>
        <v>266.95448741353545</v>
      </c>
    </row>
    <row r="44" spans="1:33" ht="15">
      <c r="C44" s="133" t="s">
        <v>67</v>
      </c>
      <c r="R44" s="124">
        <v>8</v>
      </c>
      <c r="S44" s="78">
        <f t="shared" si="10"/>
        <v>299.18469658294089</v>
      </c>
      <c r="T44" s="78">
        <f t="shared" si="10"/>
        <v>273.11509923526529</v>
      </c>
      <c r="U44" s="78">
        <f t="shared" si="10"/>
        <v>228.93534948956807</v>
      </c>
      <c r="V44" s="78">
        <f t="shared" si="10"/>
        <v>433.02117322658592</v>
      </c>
      <c r="W44" s="78">
        <f t="shared" si="10"/>
        <v>21.968778976333269</v>
      </c>
      <c r="X44" s="78">
        <f t="shared" si="10"/>
        <v>54.816916820998742</v>
      </c>
      <c r="Y44" s="78">
        <f t="shared" si="10"/>
        <v>127.04302098859856</v>
      </c>
      <c r="Z44" s="111">
        <f t="shared" si="10"/>
        <v>0</v>
      </c>
      <c r="AA44" s="78">
        <f t="shared" si="10"/>
        <v>63.794208341811625</v>
      </c>
      <c r="AB44" s="78">
        <f t="shared" si="10"/>
        <v>58.440074323805938</v>
      </c>
      <c r="AC44" s="78">
        <f t="shared" si="10"/>
        <v>194.30568622833707</v>
      </c>
      <c r="AD44" s="78">
        <f t="shared" si="10"/>
        <v>196.24129880676139</v>
      </c>
      <c r="AE44" s="78">
        <f t="shared" si="10"/>
        <v>401.34210495569926</v>
      </c>
      <c r="AF44" s="78">
        <f t="shared" si="10"/>
        <v>334.23445421028055</v>
      </c>
      <c r="AG44" s="79">
        <f t="shared" si="10"/>
        <v>152.05756119461753</v>
      </c>
    </row>
    <row r="45" spans="1:33" ht="15">
      <c r="C45" s="133" t="s">
        <v>68</v>
      </c>
      <c r="R45" s="124">
        <v>9</v>
      </c>
      <c r="S45" s="78">
        <f t="shared" si="10"/>
        <v>294.34674965435448</v>
      </c>
      <c r="T45" s="78">
        <f t="shared" si="10"/>
        <v>263.58393767409399</v>
      </c>
      <c r="U45" s="78">
        <f t="shared" si="10"/>
        <v>219.64957303895184</v>
      </c>
      <c r="V45" s="78">
        <f t="shared" si="10"/>
        <v>460.99990848306379</v>
      </c>
      <c r="W45" s="78">
        <f t="shared" si="10"/>
        <v>46.120406617537441</v>
      </c>
      <c r="X45" s="78">
        <f t="shared" si="10"/>
        <v>115.54084629340073</v>
      </c>
      <c r="Y45" s="78">
        <f t="shared" si="10"/>
        <v>166.51786372548233</v>
      </c>
      <c r="Z45" s="78">
        <f t="shared" si="10"/>
        <v>63.794208341811625</v>
      </c>
      <c r="AA45" s="111">
        <f t="shared" si="10"/>
        <v>0</v>
      </c>
      <c r="AB45" s="78">
        <f t="shared" si="10"/>
        <v>90.664956666995778</v>
      </c>
      <c r="AC45" s="78">
        <f t="shared" si="10"/>
        <v>234.26543137137054</v>
      </c>
      <c r="AD45" s="78">
        <f t="shared" si="10"/>
        <v>244.21262443256944</v>
      </c>
      <c r="AE45" s="78">
        <f t="shared" si="10"/>
        <v>418.58691675179392</v>
      </c>
      <c r="AF45" s="78">
        <f t="shared" si="10"/>
        <v>333.91043574757589</v>
      </c>
      <c r="AG45" s="79">
        <f t="shared" si="10"/>
        <v>100.53876287995733</v>
      </c>
    </row>
    <row r="46" spans="1:33" ht="15">
      <c r="R46" s="124">
        <v>10</v>
      </c>
      <c r="S46" s="78">
        <f t="shared" si="10"/>
        <v>243.58872607986009</v>
      </c>
      <c r="T46" s="78">
        <f t="shared" si="10"/>
        <v>219.53121870866028</v>
      </c>
      <c r="U46" s="78">
        <f t="shared" si="10"/>
        <v>176.13361760590169</v>
      </c>
      <c r="V46" s="78">
        <f t="shared" si="10"/>
        <v>377.39239285121084</v>
      </c>
      <c r="W46" s="78">
        <f t="shared" si="10"/>
        <v>53.252802281154523</v>
      </c>
      <c r="X46" s="78">
        <f t="shared" si="10"/>
        <v>55.11594960765737</v>
      </c>
      <c r="Y46" s="78">
        <f t="shared" si="10"/>
        <v>178.79249083232051</v>
      </c>
      <c r="Z46" s="78">
        <f t="shared" si="10"/>
        <v>58.440074323805938</v>
      </c>
      <c r="AA46" s="78">
        <f t="shared" si="10"/>
        <v>90.664956666995778</v>
      </c>
      <c r="AB46" s="111">
        <f t="shared" si="10"/>
        <v>0</v>
      </c>
      <c r="AC46" s="78">
        <f t="shared" si="10"/>
        <v>144.14840241197871</v>
      </c>
      <c r="AD46" s="78">
        <f t="shared" si="10"/>
        <v>238.93956076898075</v>
      </c>
      <c r="AE46" s="78">
        <f t="shared" si="10"/>
        <v>343.23800472175242</v>
      </c>
      <c r="AF46" s="78">
        <f t="shared" si="10"/>
        <v>277.19471876766289</v>
      </c>
      <c r="AG46" s="79">
        <f t="shared" si="10"/>
        <v>140.34652822183338</v>
      </c>
    </row>
    <row r="47" spans="1:33" ht="15">
      <c r="R47" s="124">
        <v>11</v>
      </c>
      <c r="S47" s="78">
        <f t="shared" si="10"/>
        <v>203.00393542072791</v>
      </c>
      <c r="T47" s="78">
        <f t="shared" si="10"/>
        <v>200.11373184634658</v>
      </c>
      <c r="U47" s="78">
        <f t="shared" si="10"/>
        <v>175.53810902631469</v>
      </c>
      <c r="V47" s="78">
        <f t="shared" si="10"/>
        <v>243.50268764516565</v>
      </c>
      <c r="W47" s="78">
        <f t="shared" si="10"/>
        <v>196.18586926043142</v>
      </c>
      <c r="X47" s="78">
        <f t="shared" si="10"/>
        <v>150.6555634966613</v>
      </c>
      <c r="Y47" s="78">
        <f t="shared" si="10"/>
        <v>281.09763747137629</v>
      </c>
      <c r="Z47" s="78">
        <f t="shared" si="10"/>
        <v>194.30568622833701</v>
      </c>
      <c r="AA47" s="78">
        <f t="shared" si="10"/>
        <v>234.26543137137054</v>
      </c>
      <c r="AB47" s="78">
        <f t="shared" si="10"/>
        <v>144.14840241197871</v>
      </c>
      <c r="AC47" s="111">
        <f t="shared" si="10"/>
        <v>0</v>
      </c>
      <c r="AD47" s="78">
        <f t="shared" si="10"/>
        <v>310.40995171196965</v>
      </c>
      <c r="AE47" s="78">
        <f t="shared" si="10"/>
        <v>229.52406256746684</v>
      </c>
      <c r="AF47" s="78">
        <f t="shared" si="10"/>
        <v>215.60524896378325</v>
      </c>
      <c r="AG47" s="79">
        <f t="shared" si="10"/>
        <v>253.90774206554249</v>
      </c>
    </row>
    <row r="48" spans="1:33" ht="15">
      <c r="R48" s="124">
        <v>12</v>
      </c>
      <c r="S48" s="78">
        <f t="shared" si="10"/>
        <v>476.53795812918798</v>
      </c>
      <c r="T48" s="78">
        <f t="shared" si="10"/>
        <v>456.11462948302579</v>
      </c>
      <c r="U48" s="78">
        <f t="shared" si="10"/>
        <v>413.86441663557724</v>
      </c>
      <c r="V48" s="78">
        <f t="shared" si="10"/>
        <v>545.19424297983869</v>
      </c>
      <c r="W48" s="78">
        <f t="shared" si="10"/>
        <v>217.34893875517614</v>
      </c>
      <c r="X48" s="78">
        <f t="shared" si="10"/>
        <v>187.93059434003794</v>
      </c>
      <c r="Y48" s="78">
        <f t="shared" si="10"/>
        <v>80.985227741250185</v>
      </c>
      <c r="Z48" s="78">
        <f t="shared" si="10"/>
        <v>196.24129880676142</v>
      </c>
      <c r="AA48" s="78">
        <f t="shared" si="10"/>
        <v>244.21262443256944</v>
      </c>
      <c r="AB48" s="78">
        <f t="shared" si="10"/>
        <v>238.93956076898075</v>
      </c>
      <c r="AC48" s="78">
        <f t="shared" si="10"/>
        <v>310.40995171196965</v>
      </c>
      <c r="AD48" s="111">
        <f t="shared" si="10"/>
        <v>0</v>
      </c>
      <c r="AE48" s="78">
        <f t="shared" si="10"/>
        <v>539.93396275766452</v>
      </c>
      <c r="AF48" s="78">
        <f t="shared" si="10"/>
        <v>504.71867173682426</v>
      </c>
      <c r="AG48" s="79">
        <f t="shared" si="10"/>
        <v>343.71766130424044</v>
      </c>
    </row>
    <row r="49" spans="18:33" ht="15">
      <c r="R49" s="124">
        <v>13</v>
      </c>
      <c r="S49" s="78">
        <f t="shared" si="10"/>
        <v>166.24766329420825</v>
      </c>
      <c r="T49" s="78">
        <f t="shared" si="10"/>
        <v>199.21786127021554</v>
      </c>
      <c r="U49" s="78">
        <f t="shared" si="10"/>
        <v>225.4098968763337</v>
      </c>
      <c r="V49" s="78">
        <f t="shared" si="10"/>
        <v>85.530866119049492</v>
      </c>
      <c r="W49" s="78">
        <f t="shared" si="10"/>
        <v>394.82939421009377</v>
      </c>
      <c r="X49" s="78">
        <f t="shared" si="10"/>
        <v>370.49370442246152</v>
      </c>
      <c r="Y49" s="78">
        <f t="shared" si="10"/>
        <v>506.44970871063845</v>
      </c>
      <c r="Z49" s="78">
        <f t="shared" si="10"/>
        <v>401.34210495569931</v>
      </c>
      <c r="AA49" s="78">
        <f t="shared" si="10"/>
        <v>418.58691675179392</v>
      </c>
      <c r="AB49" s="78">
        <f t="shared" si="10"/>
        <v>343.23800472175242</v>
      </c>
      <c r="AC49" s="78">
        <f t="shared" si="10"/>
        <v>229.52406256746684</v>
      </c>
      <c r="AD49" s="78">
        <f t="shared" si="10"/>
        <v>539.93396275766452</v>
      </c>
      <c r="AE49" s="111">
        <f t="shared" si="10"/>
        <v>0</v>
      </c>
      <c r="AF49" s="78">
        <f t="shared" si="10"/>
        <v>127.97216072056759</v>
      </c>
      <c r="AG49" s="79">
        <f t="shared" si="10"/>
        <v>385.50102343587747</v>
      </c>
    </row>
    <row r="50" spans="18:33" ht="15">
      <c r="R50" s="124">
        <v>14</v>
      </c>
      <c r="S50" s="78">
        <f t="shared" si="10"/>
        <v>43.627434418712667</v>
      </c>
      <c r="T50" s="78">
        <f t="shared" si="10"/>
        <v>79.03822260954027</v>
      </c>
      <c r="U50" s="78">
        <f t="shared" si="10"/>
        <v>117.05948454950837</v>
      </c>
      <c r="V50" s="78">
        <f t="shared" si="10"/>
        <v>209.16282830150308</v>
      </c>
      <c r="W50" s="78">
        <f t="shared" si="10"/>
        <v>321.85836784012554</v>
      </c>
      <c r="X50" s="78">
        <f t="shared" si="10"/>
        <v>319.2524065418915</v>
      </c>
      <c r="Y50" s="78">
        <f t="shared" si="10"/>
        <v>454.60608976349624</v>
      </c>
      <c r="Z50" s="78">
        <f t="shared" si="10"/>
        <v>334.23445421028055</v>
      </c>
      <c r="AA50" s="78">
        <f t="shared" si="10"/>
        <v>333.91043574757589</v>
      </c>
      <c r="AB50" s="78">
        <f t="shared" si="10"/>
        <v>277.19471876766289</v>
      </c>
      <c r="AC50" s="78">
        <f t="shared" si="10"/>
        <v>215.60524896378325</v>
      </c>
      <c r="AD50" s="78">
        <f t="shared" si="10"/>
        <v>504.71867173682426</v>
      </c>
      <c r="AE50" s="78">
        <f t="shared" si="10"/>
        <v>127.9721607205676</v>
      </c>
      <c r="AF50" s="111">
        <f t="shared" si="10"/>
        <v>0</v>
      </c>
      <c r="AG50" s="79">
        <f t="shared" si="10"/>
        <v>279.11449624635367</v>
      </c>
    </row>
    <row r="51" spans="18:33" ht="15.75" thickBot="1">
      <c r="R51" s="132">
        <v>15</v>
      </c>
      <c r="S51" s="80">
        <f t="shared" si="10"/>
        <v>235.92056172827887</v>
      </c>
      <c r="T51" s="80">
        <f t="shared" si="10"/>
        <v>201.14756751767686</v>
      </c>
      <c r="U51" s="80">
        <f t="shared" si="10"/>
        <v>163.05880626550467</v>
      </c>
      <c r="V51" s="80">
        <f t="shared" si="10"/>
        <v>443.65343531531397</v>
      </c>
      <c r="W51" s="80">
        <f t="shared" si="10"/>
        <v>130.10141514607648</v>
      </c>
      <c r="X51" s="80">
        <f t="shared" si="10"/>
        <v>189.22843379725694</v>
      </c>
      <c r="Y51" s="80">
        <f t="shared" si="10"/>
        <v>266.95448741353545</v>
      </c>
      <c r="Z51" s="80">
        <f t="shared" si="10"/>
        <v>152.05756119461753</v>
      </c>
      <c r="AA51" s="80">
        <f t="shared" si="10"/>
        <v>100.53876287995732</v>
      </c>
      <c r="AB51" s="80">
        <f t="shared" si="10"/>
        <v>140.34652822183338</v>
      </c>
      <c r="AC51" s="80">
        <f t="shared" si="10"/>
        <v>253.90774206554252</v>
      </c>
      <c r="AD51" s="80">
        <f t="shared" si="10"/>
        <v>343.71766130424044</v>
      </c>
      <c r="AE51" s="80">
        <f t="shared" si="10"/>
        <v>385.50102343587747</v>
      </c>
      <c r="AF51" s="80">
        <f t="shared" si="10"/>
        <v>279.11449624635367</v>
      </c>
      <c r="AG51" s="112">
        <f t="shared" si="10"/>
        <v>0</v>
      </c>
    </row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D2E38-373F-4F2C-9DAC-CF55039CB2AD}">
  <dimension ref="A1:AH51"/>
  <sheetViews>
    <sheetView topLeftCell="A20" workbookViewId="0">
      <selection activeCell="A19" sqref="A19:M34"/>
    </sheetView>
  </sheetViews>
  <sheetFormatPr defaultRowHeight="14.25"/>
  <cols>
    <col min="1" max="1" width="11.625" bestFit="1" customWidth="1"/>
    <col min="2" max="2" width="14.75" bestFit="1" customWidth="1"/>
    <col min="3" max="3" width="18.5" customWidth="1"/>
    <col min="4" max="4" width="7.625" customWidth="1"/>
    <col min="5" max="5" width="7.75" bestFit="1" customWidth="1"/>
    <col min="6" max="6" width="9.75" customWidth="1"/>
    <col min="7" max="7" width="7.875" customWidth="1"/>
    <col min="8" max="8" width="8" customWidth="1"/>
    <col min="9" max="12" width="7.375" bestFit="1" customWidth="1"/>
    <col min="13" max="13" width="7.625" customWidth="1"/>
    <col min="14" max="16" width="7.375" bestFit="1" customWidth="1"/>
    <col min="17" max="17" width="37.875" bestFit="1" customWidth="1"/>
    <col min="18" max="18" width="18.25" customWidth="1"/>
    <col min="19" max="19" width="12.75" bestFit="1" customWidth="1"/>
    <col min="20" max="34" width="6.125" customWidth="1"/>
    <col min="35" max="35" width="15.75" bestFit="1" customWidth="1"/>
  </cols>
  <sheetData>
    <row r="1" spans="1:34" ht="48.75" customHeight="1" thickBot="1">
      <c r="A1" s="125" t="s">
        <v>41</v>
      </c>
      <c r="B1" s="116" t="s">
        <v>5</v>
      </c>
      <c r="C1" s="25"/>
      <c r="D1" s="25"/>
      <c r="E1" s="25"/>
      <c r="F1" s="25"/>
      <c r="G1" s="25"/>
      <c r="H1" s="25"/>
      <c r="I1" s="25"/>
      <c r="J1" s="25"/>
      <c r="K1" s="25"/>
      <c r="L1" s="25"/>
      <c r="M1" s="25"/>
      <c r="N1" s="25"/>
      <c r="O1" s="25"/>
      <c r="P1" s="25"/>
      <c r="Q1" s="117" t="s">
        <v>40</v>
      </c>
      <c r="R1" s="117" t="s">
        <v>11</v>
      </c>
      <c r="S1" s="118" t="s">
        <v>6</v>
      </c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</row>
    <row r="2" spans="1:34">
      <c r="A2" s="121" t="s">
        <v>5</v>
      </c>
      <c r="B2" s="119">
        <v>1</v>
      </c>
      <c r="C2" s="119">
        <v>2</v>
      </c>
      <c r="D2" s="119">
        <v>3</v>
      </c>
      <c r="E2" s="119">
        <v>4</v>
      </c>
      <c r="F2" s="119">
        <v>5</v>
      </c>
      <c r="G2" s="119">
        <v>6</v>
      </c>
      <c r="H2" s="119">
        <v>7</v>
      </c>
      <c r="I2" s="119">
        <v>8</v>
      </c>
      <c r="J2" s="119">
        <v>9</v>
      </c>
      <c r="K2" s="119">
        <v>10</v>
      </c>
      <c r="L2" s="119">
        <v>11</v>
      </c>
      <c r="M2" s="119">
        <v>12</v>
      </c>
      <c r="N2" s="119">
        <v>13</v>
      </c>
      <c r="O2" s="119">
        <v>14</v>
      </c>
      <c r="P2" s="120">
        <v>15</v>
      </c>
      <c r="R2" s="121" t="s">
        <v>12</v>
      </c>
      <c r="S2" s="119">
        <v>1</v>
      </c>
      <c r="T2" s="119">
        <v>2</v>
      </c>
      <c r="U2" s="119">
        <v>3</v>
      </c>
      <c r="V2" s="119">
        <v>4</v>
      </c>
      <c r="W2" s="119">
        <v>5</v>
      </c>
      <c r="X2" s="119">
        <v>6</v>
      </c>
      <c r="Y2" s="119">
        <v>7</v>
      </c>
      <c r="Z2" s="119">
        <v>8</v>
      </c>
      <c r="AA2" s="119">
        <v>9</v>
      </c>
      <c r="AB2" s="119">
        <v>10</v>
      </c>
      <c r="AC2" s="119">
        <v>11</v>
      </c>
      <c r="AD2" s="119">
        <v>12</v>
      </c>
      <c r="AE2" s="119">
        <v>13</v>
      </c>
      <c r="AF2" s="119">
        <v>14</v>
      </c>
      <c r="AG2" s="120">
        <v>15</v>
      </c>
      <c r="AH2" s="122" t="s">
        <v>13</v>
      </c>
    </row>
    <row r="3" spans="1:34" ht="15.75" customHeight="1">
      <c r="A3" s="124">
        <v>1</v>
      </c>
      <c r="B3" s="72">
        <f>(getDistance(coord!C1,coord!D1,coord!$C$1,coord!$D$1)*1000)/$B$18</f>
        <v>0</v>
      </c>
      <c r="C3" s="73">
        <f>(getDistance(coord!C1,coord!D1,coord!$C$2,coord!$D$2)*1000)/$C$18</f>
        <v>1.117527131493248E-2</v>
      </c>
      <c r="D3" s="73">
        <f>(getDistance(coord!$C1,coord!$D1,coord!$C$3,coord!$D$3)*1000)/$D$18</f>
        <v>2.5720776653345583E-2</v>
      </c>
      <c r="E3" s="73">
        <f>(getDistance(coord!$C1,coord!$D1,coord!$C$4,coord!$D$4)*1000)/$E$18</f>
        <v>4.9070720717916162E-2</v>
      </c>
      <c r="F3" s="73">
        <f>(getDistance(coord!$C1,coord!$D1,coord!$C$5,coord!$D$5)*1000)/$F$18</f>
        <v>0.10248471975285137</v>
      </c>
      <c r="G3" s="73">
        <f>(getDistance(coord!$C1,coord!$D1,coord!$C$6,coord!$D$6)*1000)/$G$18</f>
        <v>0.10230127949494407</v>
      </c>
      <c r="H3" s="73">
        <f>(getDistance(coord!$C1,coord!$D1,coord!$C$7,coord!$D$7)*1000)/$H$18</f>
        <v>0.10440233568696755</v>
      </c>
      <c r="I3" s="73">
        <f>(getDistance(coord!$C1,coord!$D1,coord!$C$8,coord!$D$8)*1000)/$I$18</f>
        <v>0.10540237870618735</v>
      </c>
      <c r="J3" s="73">
        <f>(getDistance(coord!$C1,coord!$D1,coord!$C$9,coord!$D$9)*1000)/$J$18</f>
        <v>9.6420743685199664E-2</v>
      </c>
      <c r="K3" s="73">
        <f>(getDistance(coord!$C1,coord!$D1,coord!$C$10,coord!$D$10)*1000)/$K$18</f>
        <v>9.3804164484117755E-2</v>
      </c>
      <c r="L3" s="73">
        <f>(getDistance(coord!$C1,coord!$D1,coord!$C$11,coord!$D$11)*1000)/$L$18</f>
        <v>6.6947974001657556E-2</v>
      </c>
      <c r="M3" s="73">
        <f>(getDistance(coord!$C1,coord!$D1,coord!$C$12,coord!$D$12)*1000)/$M$18</f>
        <v>0.10019406120946865</v>
      </c>
      <c r="N3" s="73">
        <f>(getDistance(coord!$C1,coord!$D1,coord!$C$13,coord!$D$13)*1000)/$N$18</f>
        <v>3.7832765385205913E-2</v>
      </c>
      <c r="O3" s="73">
        <f>(getDistance(coord!$C1,coord!$D1,coord!$C$14,coord!$D$14)*1000)/$O$18</f>
        <v>1.2060589622102796E-2</v>
      </c>
      <c r="P3" s="101">
        <f>(getDistance(coord!$C1,coord!$D1,coord!$C$15,coord!$D$15)*1000)/$P$18</f>
        <v>7.1812090617403165E-2</v>
      </c>
      <c r="Q3" s="123" t="s">
        <v>69</v>
      </c>
      <c r="R3" s="124">
        <v>8</v>
      </c>
      <c r="S3" s="103">
        <f t="shared" ref="S3:AG17" si="0">S20/S$18</f>
        <v>2.7027027027027029E-2</v>
      </c>
      <c r="T3" s="103">
        <f t="shared" si="0"/>
        <v>3.6231884057971016E-2</v>
      </c>
      <c r="U3" s="103">
        <f t="shared" si="0"/>
        <v>8.6206896551724137E-3</v>
      </c>
      <c r="V3" s="103">
        <f t="shared" si="0"/>
        <v>3.3333333333333333E-2</v>
      </c>
      <c r="W3" s="103">
        <f t="shared" si="0"/>
        <v>0.04</v>
      </c>
      <c r="X3" s="103">
        <f t="shared" si="0"/>
        <v>3.6363636363636362E-2</v>
      </c>
      <c r="Y3" s="103">
        <f t="shared" si="0"/>
        <v>5.0314465408805034E-2</v>
      </c>
      <c r="Z3" s="103">
        <f t="shared" si="0"/>
        <v>2.9411764705882353E-2</v>
      </c>
      <c r="AA3" s="103">
        <f t="shared" si="0"/>
        <v>6.2111801242236021E-3</v>
      </c>
      <c r="AB3" s="103">
        <f t="shared" si="0"/>
        <v>1.8518518518518517E-2</v>
      </c>
      <c r="AC3" s="103">
        <f t="shared" si="0"/>
        <v>7.9051383399209481E-3</v>
      </c>
      <c r="AD3" s="103">
        <f t="shared" si="0"/>
        <v>6.8965517241379309E-2</v>
      </c>
      <c r="AE3" s="103">
        <f t="shared" si="0"/>
        <v>1.2048192771084338E-2</v>
      </c>
      <c r="AF3" s="103">
        <f t="shared" si="0"/>
        <v>1.2048192771084338E-2</v>
      </c>
      <c r="AG3" s="104">
        <f t="shared" si="0"/>
        <v>4.2253521126760563E-2</v>
      </c>
      <c r="AH3" s="82">
        <f t="shared" ref="AH3:AH17" si="1">AVERAGE(S3:AG3)</f>
        <v>2.8616870762986604E-2</v>
      </c>
    </row>
    <row r="4" spans="1:34" ht="15.75" customHeight="1">
      <c r="A4" s="124">
        <v>2</v>
      </c>
      <c r="B4" s="73">
        <f>(getDistance(coord!C2,coord!D2,coord!$C$1,coord!$D$1)*1000)/$B$18</f>
        <v>1.0689802865799129E-2</v>
      </c>
      <c r="C4" s="72">
        <f>(getDistance(coord!C2,coord!D2,coord!$C$2,coord!$D$2)*1000)/$C$18</f>
        <v>0</v>
      </c>
      <c r="D4" s="73">
        <f>(getDistance(coord!$C2,coord!$D2,coord!$C$3,coord!$D$3)*1000)/$D$18</f>
        <v>1.5191498195246419E-2</v>
      </c>
      <c r="E4" s="73">
        <f>(getDistance(coord!$C2,coord!$D2,coord!$C$4,coord!$D$4)*1000)/$E$18</f>
        <v>5.5126561601008373E-2</v>
      </c>
      <c r="F4" s="73">
        <f>(getDistance(coord!$C2,coord!$D2,coord!$C$5,coord!$D$5)*1000)/$F$18</f>
        <v>9.2629358559344246E-2</v>
      </c>
      <c r="G4" s="73">
        <f>(getDistance(coord!$C2,coord!$D2,coord!$C$6,coord!$D$6)*1000)/$G$18</f>
        <v>9.4874253911209322E-2</v>
      </c>
      <c r="H4" s="73">
        <f>(getDistance(coord!$C2,coord!$D2,coord!$C$7,coord!$D$7)*1000)/$H$18</f>
        <v>9.8444849955087482E-2</v>
      </c>
      <c r="I4" s="73">
        <f>(getDistance(coord!$C2,coord!$D2,coord!$C$8,coord!$D$8)*1000)/$I$18</f>
        <v>9.6218093534717122E-2</v>
      </c>
      <c r="J4" s="73">
        <f>(getDistance(coord!$C2,coord!$D2,coord!$C$9,coord!$D$9)*1000)/$J$18</f>
        <v>8.6343604350493902E-2</v>
      </c>
      <c r="K4" s="73">
        <f>(getDistance(coord!$C2,coord!$D2,coord!$C$10,coord!$D$10)*1000)/$K$18</f>
        <v>8.4539801494731906E-2</v>
      </c>
      <c r="L4" s="73">
        <f>(getDistance(coord!$C2,coord!$D2,coord!$C$11,coord!$D$11)*1000)/$L$18</f>
        <v>6.5994823643482664E-2</v>
      </c>
      <c r="M4" s="73">
        <f>(getDistance(coord!$C2,coord!$D2,coord!$C$12,coord!$D$12)*1000)/$M$18</f>
        <v>9.5899972552799834E-2</v>
      </c>
      <c r="N4" s="73">
        <f>(getDistance(coord!$C2,coord!$D2,coord!$C$13,coord!$D$13)*1000)/$N$18</f>
        <v>4.5335750630313601E-2</v>
      </c>
      <c r="O4" s="73">
        <f>(getDistance(coord!$C2,coord!$D2,coord!$C$14,coord!$D$14)*1000)/$O$18</f>
        <v>2.1849727815881039E-2</v>
      </c>
      <c r="P4" s="101">
        <f>(getDistance(coord!$C2,coord!$D2,coord!$C$15,coord!$D$15)*1000)/$P$18</f>
        <v>6.122750488652378E-2</v>
      </c>
      <c r="Q4" s="123" t="s">
        <v>70</v>
      </c>
      <c r="R4" s="124">
        <v>9</v>
      </c>
      <c r="S4" s="103">
        <f t="shared" ref="S4:S17" si="2">S21/$S$18</f>
        <v>6.7567567567567571E-2</v>
      </c>
      <c r="T4" s="103">
        <f t="shared" si="0"/>
        <v>9.420289855072464E-2</v>
      </c>
      <c r="U4" s="103">
        <f t="shared" si="0"/>
        <v>6.0344827586206899E-2</v>
      </c>
      <c r="V4" s="103">
        <f t="shared" si="0"/>
        <v>0.05</v>
      </c>
      <c r="W4" s="103">
        <f t="shared" si="0"/>
        <v>6.4000000000000001E-2</v>
      </c>
      <c r="X4" s="103">
        <f t="shared" si="0"/>
        <v>1.8181818181818181E-2</v>
      </c>
      <c r="Y4" s="103">
        <f t="shared" si="0"/>
        <v>4.40251572327044E-2</v>
      </c>
      <c r="Z4" s="103">
        <f t="shared" si="0"/>
        <v>8.8235294117647065E-2</v>
      </c>
      <c r="AA4" s="103">
        <f t="shared" si="0"/>
        <v>6.2111801242236021E-3</v>
      </c>
      <c r="AB4" s="103">
        <f t="shared" si="0"/>
        <v>5.5555555555555552E-2</v>
      </c>
      <c r="AC4" s="103">
        <f t="shared" si="0"/>
        <v>7.9051383399209481E-3</v>
      </c>
      <c r="AD4" s="103">
        <f t="shared" si="0"/>
        <v>5.9113300492610835E-2</v>
      </c>
      <c r="AE4" s="103">
        <f t="shared" si="0"/>
        <v>1.2048192771084338E-2</v>
      </c>
      <c r="AF4" s="103">
        <f t="shared" si="0"/>
        <v>1.2048192771084338E-2</v>
      </c>
      <c r="AG4" s="104">
        <f t="shared" si="0"/>
        <v>5.6338028169014086E-2</v>
      </c>
      <c r="AH4" s="82">
        <f t="shared" si="1"/>
        <v>4.6385143430677504E-2</v>
      </c>
    </row>
    <row r="5" spans="1:34" ht="15.75" customHeight="1">
      <c r="A5" s="124">
        <v>3</v>
      </c>
      <c r="B5" s="73">
        <f>(getDistance(coord!C3,coord!D3,coord!$C$1,coord!$D$1)*1000)/$B$18</f>
        <v>2.2708861297606776E-2</v>
      </c>
      <c r="C5" s="73">
        <f>(getDistance(coord!C3,coord!D3,coord!$C$2,coord!$D$2)*1000)/$C$18</f>
        <v>1.4021686904213865E-2</v>
      </c>
      <c r="D5" s="72">
        <f>(getDistance(coord!$C3,coord!$D3,coord!$C$3,coord!$D$3)*1000)/$D$18</f>
        <v>0</v>
      </c>
      <c r="E5" s="73">
        <f>(getDistance(coord!$C3,coord!$D3,coord!$C$4,coord!$D$4)*1000)/$E$18</f>
        <v>5.8872704670058063E-2</v>
      </c>
      <c r="F5" s="73">
        <f>(getDistance(coord!$C3,coord!$D3,coord!$C$5,coord!$D$5)*1000)/$F$18</f>
        <v>7.6686179560042075E-2</v>
      </c>
      <c r="G5" s="73">
        <f>(getDistance(coord!$C3,coord!$D3,coord!$C$6,coord!$D$6)*1000)/$G$18</f>
        <v>7.9993945764307434E-2</v>
      </c>
      <c r="H5" s="73">
        <f>(getDistance(coord!$C3,coord!$D3,coord!$C$7,coord!$D$7)*1000)/$H$18</f>
        <v>8.7628901586288749E-2</v>
      </c>
      <c r="I5" s="73">
        <f>(getDistance(coord!$C3,coord!$D3,coord!$C$8,coord!$D$8)*1000)/$I$18</f>
        <v>8.0653625274724985E-2</v>
      </c>
      <c r="J5" s="73">
        <f>(getDistance(coord!$C3,coord!$D3,coord!$C$9,coord!$D$9)*1000)/$J$18</f>
        <v>7.1951788859303298E-2</v>
      </c>
      <c r="K5" s="73">
        <f>(getDistance(coord!$C3,coord!$D3,coord!$C$10,coord!$D$10)*1000)/$K$18</f>
        <v>6.7827715604826352E-2</v>
      </c>
      <c r="L5" s="73">
        <f>(getDistance(coord!$C3,coord!$D3,coord!$C$11,coord!$D$11)*1000)/$L$18</f>
        <v>5.7890112992331204E-2</v>
      </c>
      <c r="M5" s="73">
        <f>(getDistance(coord!$C3,coord!$D3,coord!$C$12,coord!$D$12)*1000)/$M$18</f>
        <v>8.7016691924391362E-2</v>
      </c>
      <c r="N5" s="73">
        <f>(getDistance(coord!$C3,coord!$D3,coord!$C$13,coord!$D$13)*1000)/$N$18</f>
        <v>5.1296238245069445E-2</v>
      </c>
      <c r="O5" s="73">
        <f>(getDistance(coord!$C3,coord!$D3,coord!$C$14,coord!$D$14)*1000)/$O$18</f>
        <v>3.2360518635515992E-2</v>
      </c>
      <c r="P5" s="101">
        <f>(getDistance(coord!$C3,coord!$D3,coord!$C$15,coord!$D$15)*1000)/$P$18</f>
        <v>4.9633629581598372E-2</v>
      </c>
      <c r="Q5" s="123" t="s">
        <v>71</v>
      </c>
      <c r="R5" s="124">
        <v>10</v>
      </c>
      <c r="S5" s="103">
        <f t="shared" si="2"/>
        <v>6.7567567567567571E-2</v>
      </c>
      <c r="T5" s="103">
        <f t="shared" si="0"/>
        <v>6.5217391304347824E-2</v>
      </c>
      <c r="U5" s="103">
        <f t="shared" si="0"/>
        <v>5.1724137931034482E-2</v>
      </c>
      <c r="V5" s="103">
        <f t="shared" si="0"/>
        <v>0.05</v>
      </c>
      <c r="W5" s="103">
        <f t="shared" si="0"/>
        <v>6.4000000000000001E-2</v>
      </c>
      <c r="X5" s="103">
        <f t="shared" si="0"/>
        <v>1.8181818181818181E-2</v>
      </c>
      <c r="Y5" s="103">
        <f t="shared" si="0"/>
        <v>7.5471698113207544E-2</v>
      </c>
      <c r="Z5" s="103">
        <f t="shared" si="0"/>
        <v>5.8823529411764705E-2</v>
      </c>
      <c r="AA5" s="103">
        <f t="shared" si="0"/>
        <v>2.4844720496894408E-2</v>
      </c>
      <c r="AB5" s="103">
        <f t="shared" si="0"/>
        <v>8.3333333333333329E-2</v>
      </c>
      <c r="AC5" s="103">
        <f t="shared" si="0"/>
        <v>4.7430830039525688E-2</v>
      </c>
      <c r="AD5" s="103">
        <f t="shared" si="0"/>
        <v>4.9261083743842367E-2</v>
      </c>
      <c r="AE5" s="103">
        <f t="shared" si="0"/>
        <v>4.8192771084337352E-2</v>
      </c>
      <c r="AF5" s="103">
        <f t="shared" si="0"/>
        <v>2.4096385542168676E-2</v>
      </c>
      <c r="AG5" s="104">
        <f t="shared" si="0"/>
        <v>5.6338028169014086E-2</v>
      </c>
      <c r="AH5" s="82">
        <f t="shared" si="1"/>
        <v>5.2298886327923753E-2</v>
      </c>
    </row>
    <row r="6" spans="1:34" ht="15.75" customHeight="1">
      <c r="A6" s="124">
        <v>4</v>
      </c>
      <c r="B6" s="73">
        <f>(getDistance(coord!C4,coord!D4,coord!$C$1,coord!$D$1)*1000)/$B$18</f>
        <v>7.3384062946620046E-2</v>
      </c>
      <c r="C6" s="73">
        <f>(getDistance(coord!C4,coord!D4,coord!$C$2,coord!$D$2)*1000)/$C$18</f>
        <v>8.6184387798222087E-2</v>
      </c>
      <c r="D6" s="73">
        <f>(getDistance(coord!$C4,coord!$D4,coord!$C$3,coord!$D$3)*1000)/$D$18</f>
        <v>9.9719943798129013E-2</v>
      </c>
      <c r="E6" s="72">
        <f>(getDistance(coord!$C4,coord!$D4,coord!$C$4,coord!$D$4)*1000)/$E$18</f>
        <v>0</v>
      </c>
      <c r="F6" s="73">
        <f>(getDistance(coord!$C4,coord!$D4,coord!$C$5,coord!$D$5)*1000)/$F$18</f>
        <v>0.15462704911993852</v>
      </c>
      <c r="G6" s="73">
        <f>(getDistance(coord!$C4,coord!$D4,coord!$C$6,coord!$D$6)*1000)/$G$18</f>
        <v>0.13926202993234338</v>
      </c>
      <c r="H6" s="73">
        <f>(getDistance(coord!$C4,coord!$D4,coord!$C$7,coord!$D$7)*1000)/$H$18</f>
        <v>0.12954502942200619</v>
      </c>
      <c r="I6" s="73">
        <f>(getDistance(coord!$C4,coord!$D4,coord!$C$8,coord!$D$8)*1000)/$I$18</f>
        <v>0.15255279501093499</v>
      </c>
      <c r="J6" s="73">
        <f>(getDistance(coord!$C4,coord!$D4,coord!$C$9,coord!$D$9)*1000)/$J$18</f>
        <v>0.15101221286439442</v>
      </c>
      <c r="K6" s="73">
        <f>(getDistance(coord!$C4,coord!$D4,coord!$C$10,coord!$D$10)*1000)/$K$18</f>
        <v>0.14533093819154677</v>
      </c>
      <c r="L6" s="73">
        <f>(getDistance(coord!$C4,coord!$D4,coord!$C$11,coord!$D$11)*1000)/$L$18</f>
        <v>8.0303919074357799E-2</v>
      </c>
      <c r="M6" s="73">
        <f>(getDistance(coord!$C4,coord!$D4,coord!$C$12,coord!$D$12)*1000)/$M$18</f>
        <v>0.11462932683604429</v>
      </c>
      <c r="N6" s="73">
        <f>(getDistance(coord!$C4,coord!$D4,coord!$C$13,coord!$D$13)*1000)/$N$18</f>
        <v>1.9464148409406176E-2</v>
      </c>
      <c r="O6" s="73">
        <f>(getDistance(coord!$C4,coord!$D4,coord!$C$14,coord!$D$14)*1000)/$O$18</f>
        <v>5.7822034918027933E-2</v>
      </c>
      <c r="P6" s="101">
        <f>(getDistance(coord!$C4,coord!$D4,coord!$C$15,coord!$D$15)*1000)/$P$18</f>
        <v>0.13504410326167277</v>
      </c>
      <c r="Q6" s="123" t="s">
        <v>72</v>
      </c>
      <c r="R6" s="124">
        <v>11</v>
      </c>
      <c r="S6" s="103">
        <f t="shared" si="2"/>
        <v>6.7567567567567571E-2</v>
      </c>
      <c r="T6" s="103">
        <f t="shared" si="0"/>
        <v>6.5217391304347824E-2</v>
      </c>
      <c r="U6" s="103">
        <f t="shared" si="0"/>
        <v>6.0344827586206899E-2</v>
      </c>
      <c r="V6" s="103">
        <f t="shared" si="0"/>
        <v>0.05</v>
      </c>
      <c r="W6" s="103">
        <f t="shared" si="0"/>
        <v>6.4000000000000001E-2</v>
      </c>
      <c r="X6" s="103">
        <f t="shared" si="0"/>
        <v>3.6363636363636362E-2</v>
      </c>
      <c r="Y6" s="103">
        <f t="shared" si="0"/>
        <v>5.6603773584905662E-2</v>
      </c>
      <c r="Z6" s="103">
        <f t="shared" si="0"/>
        <v>5.8823529411764705E-2</v>
      </c>
      <c r="AA6" s="103">
        <f t="shared" si="0"/>
        <v>5.5900621118012424E-2</v>
      </c>
      <c r="AB6" s="103">
        <f t="shared" si="0"/>
        <v>7.407407407407407E-2</v>
      </c>
      <c r="AC6" s="103">
        <f t="shared" si="0"/>
        <v>7.1146245059288543E-2</v>
      </c>
      <c r="AD6" s="103">
        <f t="shared" si="0"/>
        <v>7.3891625615763554E-2</v>
      </c>
      <c r="AE6" s="103">
        <f t="shared" si="0"/>
        <v>0.12048192771084337</v>
      </c>
      <c r="AF6" s="103">
        <f t="shared" si="0"/>
        <v>4.8192771084337352E-2</v>
      </c>
      <c r="AG6" s="104">
        <f t="shared" si="0"/>
        <v>7.0422535211267609E-2</v>
      </c>
      <c r="AH6" s="82">
        <f t="shared" si="1"/>
        <v>6.4868701712801069E-2</v>
      </c>
    </row>
    <row r="7" spans="1:34" ht="15.75" customHeight="1">
      <c r="A7" s="124">
        <v>5</v>
      </c>
      <c r="B7" s="73">
        <f>(getDistance(coord!C5,coord!D5,coord!$C$1,coord!$D$1)*1000)/$B$18</f>
        <v>8.6140311823197854E-2</v>
      </c>
      <c r="C7" s="73">
        <f>(getDistance(coord!C5,coord!D5,coord!$C$2,coord!$D$2)*1000)/$C$18</f>
        <v>8.139249430853264E-2</v>
      </c>
      <c r="D7" s="73">
        <f>(getDistance(coord!$C5,coord!$D5,coord!$C$3,coord!$D$3)*1000)/$D$18</f>
        <v>7.3005090610452794E-2</v>
      </c>
      <c r="E7" s="73">
        <f>(getDistance(coord!$C5,coord!$D5,coord!$C$4,coord!$D$4)*1000)/$E$18</f>
        <v>8.6906742815300697E-2</v>
      </c>
      <c r="F7" s="72">
        <f>(getDistance(coord!$C5,coord!$D5,coord!$C$5,coord!$D$5)*1000)/$F$18</f>
        <v>0</v>
      </c>
      <c r="G7" s="73">
        <f>(getDistance(coord!$C5,coord!$D5,coord!$C$6,coord!$D$6)*1000)/$G$18</f>
        <v>2.4570798882456439E-2</v>
      </c>
      <c r="H7" s="73">
        <f>(getDistance(coord!$C5,coord!$D5,coord!$C$7,coord!$D$7)*1000)/$H$18</f>
        <v>3.612180184080574E-2</v>
      </c>
      <c r="I7" s="73">
        <f>(getDistance(coord!$C5,coord!$D5,coord!$C$8,coord!$D$8)*1000)/$I$18</f>
        <v>7.7395722034668945E-3</v>
      </c>
      <c r="J7" s="73">
        <f>(getDistance(coord!$C5,coord!$D5,coord!$C$9,coord!$D$9)*1000)/$J$18</f>
        <v>1.5107908989478376E-2</v>
      </c>
      <c r="K7" s="73">
        <f>(getDistance(coord!$C5,coord!$D5,coord!$C$10,coord!$D$10)*1000)/$K$18</f>
        <v>2.0507248856763218E-2</v>
      </c>
      <c r="L7" s="73">
        <f>(getDistance(coord!$C5,coord!$D5,coord!$C$11,coord!$D$11)*1000)/$L$18</f>
        <v>6.4699467266578256E-2</v>
      </c>
      <c r="M7" s="73">
        <f>(getDistance(coord!$C5,coord!$D5,coord!$C$12,coord!$D$12)*1000)/$M$18</f>
        <v>4.5698506282568732E-2</v>
      </c>
      <c r="N7" s="73">
        <f>(getDistance(coord!$C5,coord!$D5,coord!$C$13,coord!$D$13)*1000)/$N$18</f>
        <v>8.9850813793987627E-2</v>
      </c>
      <c r="O7" s="73">
        <f>(getDistance(coord!$C5,coord!$D5,coord!$C$14,coord!$D$14)*1000)/$O$18</f>
        <v>8.8976162423490601E-2</v>
      </c>
      <c r="P7" s="101">
        <f>(getDistance(coord!$C5,coord!$D5,coord!$C$15,coord!$D$15)*1000)/$P$18</f>
        <v>3.9601697052090989E-2</v>
      </c>
      <c r="Q7" s="123" t="s">
        <v>73</v>
      </c>
      <c r="R7" s="124">
        <v>12</v>
      </c>
      <c r="S7" s="103">
        <f t="shared" si="2"/>
        <v>9.45945945945946E-2</v>
      </c>
      <c r="T7" s="103">
        <f t="shared" si="0"/>
        <v>7.2463768115942032E-2</v>
      </c>
      <c r="U7" s="103">
        <f t="shared" si="0"/>
        <v>8.6206896551724144E-2</v>
      </c>
      <c r="V7" s="103">
        <f t="shared" si="0"/>
        <v>6.6666666666666666E-2</v>
      </c>
      <c r="W7" s="103">
        <f t="shared" si="0"/>
        <v>7.1999999999999995E-2</v>
      </c>
      <c r="X7" s="103">
        <f t="shared" si="0"/>
        <v>3.6363636363636362E-2</v>
      </c>
      <c r="Y7" s="103">
        <f t="shared" si="0"/>
        <v>6.2893081761006289E-2</v>
      </c>
      <c r="Z7" s="103">
        <f t="shared" si="0"/>
        <v>8.8235294117647065E-2</v>
      </c>
      <c r="AA7" s="103">
        <f t="shared" si="0"/>
        <v>9.3167701863354033E-2</v>
      </c>
      <c r="AB7" s="103">
        <f t="shared" si="0"/>
        <v>5.5555555555555552E-2</v>
      </c>
      <c r="AC7" s="103">
        <f t="shared" si="0"/>
        <v>5.9288537549407112E-2</v>
      </c>
      <c r="AD7" s="103">
        <f t="shared" si="0"/>
        <v>9.3596059113300489E-2</v>
      </c>
      <c r="AE7" s="103">
        <f t="shared" si="0"/>
        <v>8.4337349397590355E-2</v>
      </c>
      <c r="AF7" s="103">
        <f t="shared" si="0"/>
        <v>7.2289156626506021E-2</v>
      </c>
      <c r="AG7" s="104">
        <f t="shared" si="0"/>
        <v>5.6338028169014086E-2</v>
      </c>
      <c r="AH7" s="82">
        <f t="shared" si="1"/>
        <v>7.2933088429729648E-2</v>
      </c>
    </row>
    <row r="8" spans="1:34" ht="15.75" customHeight="1">
      <c r="A8" s="124">
        <v>6</v>
      </c>
      <c r="B8" s="73">
        <f>(getDistance(coord!C6,coord!D6,coord!$C$1,coord!$D$1)*1000)/$B$18</f>
        <v>8.7285025003798394E-2</v>
      </c>
      <c r="C8" s="73">
        <f>(getDistance(coord!C6,coord!D6,coord!$C$2,coord!$D$2)*1000)/$C$18</f>
        <v>8.4624366049989241E-2</v>
      </c>
      <c r="D8" s="73">
        <f>(getDistance(coord!$C6,coord!$D6,coord!$C$3,coord!$D$3)*1000)/$D$18</f>
        <v>7.7304453604575149E-2</v>
      </c>
      <c r="E8" s="73">
        <f>(getDistance(coord!$C6,coord!$D6,coord!$C$4,coord!$D$4)*1000)/$E$18</f>
        <v>7.9453325658303667E-2</v>
      </c>
      <c r="F8" s="73">
        <f>(getDistance(coord!$C6,coord!$D6,coord!$C$5,coord!$D$5)*1000)/$F$18</f>
        <v>2.4941962997010375E-2</v>
      </c>
      <c r="G8" s="72">
        <f>(getDistance(coord!$C6,coord!$D6,coord!$C$6,coord!$D$6)*1000)/$G$18</f>
        <v>0</v>
      </c>
      <c r="H8" s="73">
        <f>(getDistance(coord!$C6,coord!$D6,coord!$C$7,coord!$D$7)*1000)/$H$18</f>
        <v>3.3900020478840311E-2</v>
      </c>
      <c r="I8" s="73">
        <f>(getDistance(coord!$C6,coord!$D6,coord!$C$8,coord!$D$8)*1000)/$I$18</f>
        <v>1.9311928358176342E-2</v>
      </c>
      <c r="J8" s="73">
        <f>(getDistance(coord!$C6,coord!$D6,coord!$C$9,coord!$D$9)*1000)/$J$18</f>
        <v>3.7848334791225485E-2</v>
      </c>
      <c r="K8" s="73">
        <f>(getDistance(coord!$C6,coord!$D6,coord!$C$10,coord!$D$10)*1000)/$K$18</f>
        <v>2.1224732711973001E-2</v>
      </c>
      <c r="L8" s="73">
        <f>(getDistance(coord!$C6,coord!$D6,coord!$C$11,coord!$D$11)*1000)/$L$18</f>
        <v>4.9684183349825349E-2</v>
      </c>
      <c r="M8" s="73">
        <f>(getDistance(coord!$C6,coord!$D6,coord!$C$12,coord!$D$12)*1000)/$M$18</f>
        <v>3.9513178648683756E-2</v>
      </c>
      <c r="N8" s="73">
        <f>(getDistance(coord!$C6,coord!$D6,coord!$C$13,coord!$D$13)*1000)/$N$18</f>
        <v>8.4312772392507576E-2</v>
      </c>
      <c r="O8" s="73">
        <f>(getDistance(coord!$C6,coord!$D6,coord!$C$14,coord!$D$14)*1000)/$O$18</f>
        <v>8.82557572424882E-2</v>
      </c>
      <c r="P8" s="101">
        <f>(getDistance(coord!$C6,coord!$D6,coord!$C$15,coord!$D$15)*1000)/$P$18</f>
        <v>5.7599428111267691E-2</v>
      </c>
      <c r="Q8" s="123" t="s">
        <v>74</v>
      </c>
      <c r="R8" s="124">
        <v>13</v>
      </c>
      <c r="S8" s="103">
        <f t="shared" si="2"/>
        <v>9.45945945945946E-2</v>
      </c>
      <c r="T8" s="103">
        <f t="shared" si="0"/>
        <v>6.5217391304347824E-2</v>
      </c>
      <c r="U8" s="103">
        <f t="shared" si="0"/>
        <v>7.7586206896551727E-2</v>
      </c>
      <c r="V8" s="103">
        <f t="shared" si="0"/>
        <v>0.11666666666666667</v>
      </c>
      <c r="W8" s="103">
        <f t="shared" si="0"/>
        <v>7.1999999999999995E-2</v>
      </c>
      <c r="X8" s="103">
        <f t="shared" si="0"/>
        <v>5.4545454545454543E-2</v>
      </c>
      <c r="Y8" s="103">
        <f t="shared" si="0"/>
        <v>6.9182389937106917E-2</v>
      </c>
      <c r="Z8" s="103">
        <f t="shared" si="0"/>
        <v>8.8235294117647065E-2</v>
      </c>
      <c r="AA8" s="103">
        <f t="shared" si="0"/>
        <v>0.11180124223602485</v>
      </c>
      <c r="AB8" s="103">
        <f t="shared" si="0"/>
        <v>6.4814814814814811E-2</v>
      </c>
      <c r="AC8" s="103">
        <f t="shared" si="0"/>
        <v>5.9288537549407112E-2</v>
      </c>
      <c r="AD8" s="103">
        <f t="shared" si="0"/>
        <v>7.8817733990147784E-2</v>
      </c>
      <c r="AE8" s="103">
        <f t="shared" si="0"/>
        <v>8.4337349397590355E-2</v>
      </c>
      <c r="AF8" s="103">
        <f t="shared" si="0"/>
        <v>8.4337349397590355E-2</v>
      </c>
      <c r="AG8" s="104">
        <f t="shared" si="0"/>
        <v>5.6338028169014086E-2</v>
      </c>
      <c r="AH8" s="82">
        <f t="shared" si="1"/>
        <v>7.8517536907797239E-2</v>
      </c>
    </row>
    <row r="9" spans="1:34" ht="15.75" customHeight="1">
      <c r="A9" s="124">
        <v>7</v>
      </c>
      <c r="B9" s="73">
        <f>(getDistance(coord!C7,coord!D7,coord!$C$1,coord!$D$1)*1000)/$B$18</f>
        <v>0.12744797941958427</v>
      </c>
      <c r="C9" s="73">
        <f>(getDistance(coord!C7,coord!D7,coord!$C$2,coord!$D$2)*1000)/$C$18</f>
        <v>0.12563311284950232</v>
      </c>
      <c r="D9" s="73">
        <f>(getDistance(coord!$C7,coord!$D7,coord!$C$3,coord!$D$3)*1000)/$D$18</f>
        <v>0.12115987821068286</v>
      </c>
      <c r="E9" s="73">
        <f>(getDistance(coord!$C7,coord!$D7,coord!$C$4,coord!$D$4)*1000)/$E$18</f>
        <v>0.10574605570347448</v>
      </c>
      <c r="F9" s="73">
        <f>(getDistance(coord!$C7,coord!$D7,coord!$C$5,coord!$D$5)*1000)/$F$18</f>
        <v>5.2461997669375496E-2</v>
      </c>
      <c r="G9" s="73">
        <f>(getDistance(coord!$C7,coord!$D7,coord!$C$6,coord!$D$6)*1000)/$G$18</f>
        <v>4.8502488917617437E-2</v>
      </c>
      <c r="H9" s="72">
        <f>(getDistance(coord!$C7,coord!$D7,coord!$C$7,coord!$D$7)*1000)/$H$18</f>
        <v>0</v>
      </c>
      <c r="I9" s="73">
        <f>(getDistance(coord!$C7,coord!$D7,coord!$C$8,coord!$D$8)*1000)/$I$18</f>
        <v>4.475709073076263E-2</v>
      </c>
      <c r="J9" s="73">
        <f>(getDistance(coord!$C7,coord!$D7,coord!$C$9,coord!$D$9)*1000)/$J$18</f>
        <v>5.4547149836496299E-2</v>
      </c>
      <c r="K9" s="73">
        <f>(getDistance(coord!$C7,coord!$D7,coord!$C$10,coord!$D$10)*1000)/$K$18</f>
        <v>6.8851627447904185E-2</v>
      </c>
      <c r="L9" s="73">
        <f>(getDistance(coord!$C7,coord!$D7,coord!$C$11,coord!$D$11)*1000)/$L$18</f>
        <v>9.2702229079247384E-2</v>
      </c>
      <c r="M9" s="73">
        <f>(getDistance(coord!$C7,coord!$D7,coord!$C$12,coord!$D$12)*1000)/$M$18</f>
        <v>1.7027476462157992E-2</v>
      </c>
      <c r="N9" s="73">
        <f>(getDistance(coord!$C7,coord!$D7,coord!$C$13,coord!$D$13)*1000)/$N$18</f>
        <v>0.11525210417632964</v>
      </c>
      <c r="O9" s="73">
        <f>(getDistance(coord!$C7,coord!$D7,coord!$C$14,coord!$D$14)*1000)/$O$18</f>
        <v>0.12567361710352296</v>
      </c>
      <c r="P9" s="101">
        <f>(getDistance(coord!$C7,coord!$D7,coord!$C$15,coord!$D$15)*1000)/$P$18</f>
        <v>8.125853762141716E-2</v>
      </c>
      <c r="Q9" s="123" t="s">
        <v>75</v>
      </c>
      <c r="R9" s="124">
        <v>14</v>
      </c>
      <c r="S9" s="103">
        <f t="shared" si="2"/>
        <v>5.4054054054054057E-2</v>
      </c>
      <c r="T9" s="103">
        <f t="shared" si="0"/>
        <v>5.7971014492753624E-2</v>
      </c>
      <c r="U9" s="103">
        <f t="shared" si="0"/>
        <v>7.7586206896551727E-2</v>
      </c>
      <c r="V9" s="103">
        <f t="shared" si="0"/>
        <v>0.11666666666666667</v>
      </c>
      <c r="W9" s="103">
        <f t="shared" si="0"/>
        <v>6.4000000000000001E-2</v>
      </c>
      <c r="X9" s="103">
        <f t="shared" si="0"/>
        <v>7.2727272727272724E-2</v>
      </c>
      <c r="Y9" s="103">
        <f t="shared" si="0"/>
        <v>8.1761006289308172E-2</v>
      </c>
      <c r="Z9" s="103">
        <f t="shared" si="0"/>
        <v>8.8235294117647065E-2</v>
      </c>
      <c r="AA9" s="103">
        <f t="shared" si="0"/>
        <v>8.6956521739130432E-2</v>
      </c>
      <c r="AB9" s="103">
        <f t="shared" si="0"/>
        <v>6.4814814814814811E-2</v>
      </c>
      <c r="AC9" s="103">
        <f t="shared" si="0"/>
        <v>7.5098814229249009E-2</v>
      </c>
      <c r="AD9" s="103">
        <f t="shared" si="0"/>
        <v>7.8817733990147784E-2</v>
      </c>
      <c r="AE9" s="103">
        <f t="shared" si="0"/>
        <v>8.4337349397590355E-2</v>
      </c>
      <c r="AF9" s="103">
        <f t="shared" si="0"/>
        <v>6.0240963855421686E-2</v>
      </c>
      <c r="AG9" s="104">
        <f t="shared" si="0"/>
        <v>5.6338028169014086E-2</v>
      </c>
      <c r="AH9" s="82">
        <f t="shared" si="1"/>
        <v>7.4640382762641469E-2</v>
      </c>
    </row>
    <row r="10" spans="1:34" ht="15.75" customHeight="1">
      <c r="A10" s="124">
        <v>8</v>
      </c>
      <c r="B10" s="73">
        <f>(getDistance(coord!C8,coord!D8,coord!$C$1,coord!$D$1)*1000)/$B$18</f>
        <v>9.0305255830799541E-2</v>
      </c>
      <c r="C10" s="73">
        <f>(getDistance(coord!C8,coord!D8,coord!$C$2,coord!$D$2)*1000)/$C$18</f>
        <v>8.6180248540368515E-2</v>
      </c>
      <c r="D10" s="73">
        <f>(getDistance(coord!$C8,coord!$D8,coord!$C$3,coord!$D$3)*1000)/$D$18</f>
        <v>7.826637670005078E-2</v>
      </c>
      <c r="E10" s="73">
        <f>(getDistance(coord!$C8,coord!$D8,coord!$C$4,coord!$D$4)*1000)/$E$18</f>
        <v>8.7398397137412806E-2</v>
      </c>
      <c r="F10" s="73">
        <f>(getDistance(coord!$C8,coord!$D8,coord!$C$5,coord!$D$5)*1000)/$F$18</f>
        <v>7.8891869873752157E-3</v>
      </c>
      <c r="G10" s="73">
        <f>(getDistance(coord!$C8,coord!$D8,coord!$C$6,coord!$D$6)*1000)/$G$18</f>
        <v>1.9392311637613405E-2</v>
      </c>
      <c r="H10" s="73">
        <f>(getDistance(coord!$C8,coord!$D8,coord!$C$7,coord!$D$7)*1000)/$H$18</f>
        <v>3.1412443799478405E-2</v>
      </c>
      <c r="I10" s="72">
        <f>(getDistance(coord!$C8,coord!$D8,coord!$C$8,coord!$D$8)*1000)/$I$18</f>
        <v>0</v>
      </c>
      <c r="J10" s="73">
        <f>(getDistance(coord!$C8,coord!$D8,coord!$C$9,coord!$D$9)*1000)/$J$18</f>
        <v>2.0897411024069883E-2</v>
      </c>
      <c r="K10" s="73">
        <f>(getDistance(coord!$C8,coord!$D8,coord!$C$10,coord!$D$10)*1000)/$K$18</f>
        <v>2.2504827840583726E-2</v>
      </c>
      <c r="L10" s="73">
        <f>(getDistance(coord!$C8,coord!$D8,coord!$C$11,coord!$D$11)*1000)/$L$18</f>
        <v>6.4079408130827339E-2</v>
      </c>
      <c r="M10" s="73">
        <f>(getDistance(coord!$C8,coord!$D8,coord!$C$12,coord!$D$12)*1000)/$M$18</f>
        <v>4.1260538366473448E-2</v>
      </c>
      <c r="N10" s="73">
        <f>(getDistance(coord!$C8,coord!$D8,coord!$C$13,coord!$D$13)*1000)/$N$18</f>
        <v>9.1332902942056787E-2</v>
      </c>
      <c r="O10" s="73">
        <f>(getDistance(coord!$C8,coord!$D8,coord!$C$14,coord!$D$14)*1000)/$O$18</f>
        <v>9.2397470616990912E-2</v>
      </c>
      <c r="P10" s="101">
        <f>(getDistance(coord!$C8,coord!$D8,coord!$C$15,coord!$D$15)*1000)/$P$18</f>
        <v>4.6284949830467929E-2</v>
      </c>
      <c r="Q10" s="123" t="s">
        <v>76</v>
      </c>
      <c r="R10" s="124">
        <v>15</v>
      </c>
      <c r="S10" s="103">
        <f t="shared" si="2"/>
        <v>0.10810810810810811</v>
      </c>
      <c r="T10" s="103">
        <f t="shared" si="0"/>
        <v>5.7971014492753624E-2</v>
      </c>
      <c r="U10" s="103">
        <f t="shared" si="0"/>
        <v>7.7586206896551727E-2</v>
      </c>
      <c r="V10" s="103">
        <f t="shared" si="0"/>
        <v>0.11666666666666667</v>
      </c>
      <c r="W10" s="103">
        <f t="shared" si="0"/>
        <v>7.1999999999999995E-2</v>
      </c>
      <c r="X10" s="103">
        <f t="shared" si="0"/>
        <v>7.2727272727272724E-2</v>
      </c>
      <c r="Y10" s="103">
        <f t="shared" si="0"/>
        <v>9.4339622641509441E-2</v>
      </c>
      <c r="Z10" s="103">
        <f t="shared" si="0"/>
        <v>5.8823529411764705E-2</v>
      </c>
      <c r="AA10" s="103">
        <f t="shared" si="0"/>
        <v>8.0745341614906832E-2</v>
      </c>
      <c r="AB10" s="103">
        <f t="shared" si="0"/>
        <v>7.407407407407407E-2</v>
      </c>
      <c r="AC10" s="103">
        <f t="shared" si="0"/>
        <v>9.0909090909090912E-2</v>
      </c>
      <c r="AD10" s="103">
        <f t="shared" si="0"/>
        <v>6.8965517241379309E-2</v>
      </c>
      <c r="AE10" s="103">
        <f t="shared" si="0"/>
        <v>6.0240963855421686E-2</v>
      </c>
      <c r="AF10" s="103">
        <f t="shared" si="0"/>
        <v>9.6385542168674704E-2</v>
      </c>
      <c r="AG10" s="104">
        <f t="shared" si="0"/>
        <v>7.0422535211267609E-2</v>
      </c>
      <c r="AH10" s="82">
        <f t="shared" si="1"/>
        <v>7.9997699067962807E-2</v>
      </c>
    </row>
    <row r="11" spans="1:34" ht="15.75" customHeight="1">
      <c r="A11" s="124">
        <v>9</v>
      </c>
      <c r="B11" s="73">
        <f>(getDistance(coord!C9,coord!D9,coord!$C$1,coord!$D$1)*1000)/$B$18</f>
        <v>8.8844980488939906E-2</v>
      </c>
      <c r="C11" s="73">
        <f>(getDistance(coord!C9,coord!D9,coord!$C$2,coord!$D$2)*1000)/$C$18</f>
        <v>8.3172733120971704E-2</v>
      </c>
      <c r="D11" s="73">
        <f>(getDistance(coord!$C9,coord!$D9,coord!$C$3,coord!$D$3)*1000)/$D$18</f>
        <v>7.5091838214592879E-2</v>
      </c>
      <c r="E11" s="73">
        <f>(getDistance(coord!$C9,coord!$D9,coord!$C$4,coord!$D$4)*1000)/$E$18</f>
        <v>9.304545729645182E-2</v>
      </c>
      <c r="F11" s="73">
        <f>(getDistance(coord!$C9,coord!$D9,coord!$C$5,coord!$D$5)*1000)/$F$18</f>
        <v>1.656225464926861E-2</v>
      </c>
      <c r="G11" s="73">
        <f>(getDistance(coord!$C9,coord!$D9,coord!$C$6,coord!$D$6)*1000)/$G$18</f>
        <v>4.0874318150941821E-2</v>
      </c>
      <c r="H11" s="73">
        <f>(getDistance(coord!$C9,coord!$D9,coord!$C$7,coord!$D$7)*1000)/$H$18</f>
        <v>4.1172927054020134E-2</v>
      </c>
      <c r="I11" s="73">
        <f>(getDistance(coord!$C9,coord!$D9,coord!$C$8,coord!$D$8)*1000)/$I$18</f>
        <v>2.2474616461677813E-2</v>
      </c>
      <c r="J11" s="72">
        <f>(getDistance(coord!$C9,coord!$D9,coord!$C$9,coord!$D$9)*1000)/$J$18</f>
        <v>0</v>
      </c>
      <c r="K11" s="73">
        <f>(getDistance(coord!$C9,coord!$D9,coord!$C$10,coord!$D$10)*1000)/$K$18</f>
        <v>3.4914384770615425E-2</v>
      </c>
      <c r="L11" s="73">
        <f>(getDistance(coord!$C9,coord!$D9,coord!$C$11,coord!$D$11)*1000)/$L$18</f>
        <v>7.7257595900459664E-2</v>
      </c>
      <c r="M11" s="73">
        <f>(getDistance(coord!$C9,coord!$D9,coord!$C$12,coord!$D$12)*1000)/$M$18</f>
        <v>5.1346706433590052E-2</v>
      </c>
      <c r="N11" s="73">
        <f>(getDistance(coord!$C9,coord!$D9,coord!$C$13,coord!$D$13)*1000)/$N$18</f>
        <v>9.5257282424245929E-2</v>
      </c>
      <c r="O11" s="73">
        <f>(getDistance(coord!$C9,coord!$D9,coord!$C$14,coord!$D$14)*1000)/$O$18</f>
        <v>9.2307897306968603E-2</v>
      </c>
      <c r="P11" s="101">
        <f>(getDistance(coord!$C9,coord!$D9,coord!$C$15,coord!$D$15)*1000)/$P$18</f>
        <v>3.0603092403673621E-2</v>
      </c>
      <c r="Q11" s="123" t="s">
        <v>77</v>
      </c>
      <c r="R11" s="124">
        <v>16</v>
      </c>
      <c r="S11" s="103">
        <f t="shared" si="2"/>
        <v>8.1081081081081086E-2</v>
      </c>
      <c r="T11" s="103">
        <f t="shared" si="0"/>
        <v>9.420289855072464E-2</v>
      </c>
      <c r="U11" s="103">
        <f t="shared" si="0"/>
        <v>6.8965517241379309E-2</v>
      </c>
      <c r="V11" s="103">
        <f t="shared" si="0"/>
        <v>3.3333333333333333E-2</v>
      </c>
      <c r="W11" s="103">
        <f t="shared" si="0"/>
        <v>0.08</v>
      </c>
      <c r="X11" s="103">
        <f t="shared" si="0"/>
        <v>7.2727272727272724E-2</v>
      </c>
      <c r="Y11" s="103">
        <f t="shared" si="0"/>
        <v>7.5471698113207544E-2</v>
      </c>
      <c r="Z11" s="103">
        <f t="shared" si="0"/>
        <v>5.8823529411764705E-2</v>
      </c>
      <c r="AA11" s="103">
        <f t="shared" si="0"/>
        <v>6.2111801242236024E-2</v>
      </c>
      <c r="AB11" s="103">
        <f t="shared" si="0"/>
        <v>7.407407407407407E-2</v>
      </c>
      <c r="AC11" s="103">
        <f t="shared" si="0"/>
        <v>0.10276679841897234</v>
      </c>
      <c r="AD11" s="103">
        <f t="shared" si="0"/>
        <v>6.8965517241379309E-2</v>
      </c>
      <c r="AE11" s="103">
        <f t="shared" si="0"/>
        <v>8.4337349397590355E-2</v>
      </c>
      <c r="AF11" s="103">
        <f t="shared" si="0"/>
        <v>8.4337349397590355E-2</v>
      </c>
      <c r="AG11" s="104">
        <f t="shared" si="0"/>
        <v>7.0422535211267609E-2</v>
      </c>
      <c r="AH11" s="82">
        <f t="shared" si="1"/>
        <v>7.4108050362791555E-2</v>
      </c>
    </row>
    <row r="12" spans="1:34" ht="15.75" customHeight="1">
      <c r="A12" s="124">
        <v>10</v>
      </c>
      <c r="B12" s="73">
        <f>(getDistance(coord!C10,coord!D10,coord!$C$1,coord!$D$1)*1000)/$B$18</f>
        <v>7.3524289435178872E-2</v>
      </c>
      <c r="C12" s="73">
        <f>(getDistance(coord!C10,coord!D10,coord!$C$2,coord!$D$2)*1000)/$C$18</f>
        <v>6.9272094599152942E-2</v>
      </c>
      <c r="D12" s="73">
        <f>(getDistance(coord!$C10,coord!$D10,coord!$C$3,coord!$D$3)*1000)/$D$18</f>
        <v>6.0214991244566876E-2</v>
      </c>
      <c r="E12" s="73">
        <f>(getDistance(coord!$C10,coord!$D10,coord!$C$4,coord!$D$4)*1000)/$E$18</f>
        <v>7.6170617665823573E-2</v>
      </c>
      <c r="F12" s="73">
        <f>(getDistance(coord!$C10,coord!$D10,coord!$C$5,coord!$D$5)*1000)/$F$18</f>
        <v>1.9123562363221994E-2</v>
      </c>
      <c r="G12" s="73">
        <f>(getDistance(coord!$C10,coord!$D10,coord!$C$6,coord!$D$6)*1000)/$G$18</f>
        <v>1.9498098998980046E-2</v>
      </c>
      <c r="H12" s="73">
        <f>(getDistance(coord!$C10,coord!$D10,coord!$C$7,coord!$D$7)*1000)/$H$18</f>
        <v>4.4207930717761038E-2</v>
      </c>
      <c r="I12" s="73">
        <f>(getDistance(coord!$C10,coord!$D10,coord!$C$8,coord!$D$8)*1000)/$I$18</f>
        <v>2.0588362024686353E-2</v>
      </c>
      <c r="J12" s="73">
        <f>(getDistance(coord!$C10,coord!$D10,coord!$C$9,coord!$D$9)*1000)/$J$18</f>
        <v>2.9699606189922838E-2</v>
      </c>
      <c r="K12" s="72">
        <f>(getDistance(coord!$C10,coord!$D10,coord!$C$10,coord!$D$10)*1000)/$K$18</f>
        <v>0</v>
      </c>
      <c r="L12" s="73">
        <f>(getDistance(coord!$C10,coord!$D10,coord!$C$11,coord!$D$11)*1000)/$L$18</f>
        <v>4.753820893696948E-2</v>
      </c>
      <c r="M12" s="73">
        <f>(getDistance(coord!$C10,coord!$D10,coord!$C$12,coord!$D$12)*1000)/$M$18</f>
        <v>5.0238023159868965E-2</v>
      </c>
      <c r="N12" s="73">
        <f>(getDistance(coord!$C10,coord!$D10,coord!$C$13,coord!$D$13)*1000)/$N$18</f>
        <v>7.8110228117574121E-2</v>
      </c>
      <c r="O12" s="73">
        <f>(getDistance(coord!$C10,coord!$D10,coord!$C$14,coord!$D$14)*1000)/$O$18</f>
        <v>7.6629116357964044E-2</v>
      </c>
      <c r="P12" s="101">
        <f>(getDistance(coord!$C10,coord!$D10,coord!$C$15,coord!$D$15)*1000)/$P$18</f>
        <v>4.2720217045397739E-2</v>
      </c>
      <c r="Q12" s="123" t="s">
        <v>78</v>
      </c>
      <c r="R12" s="124">
        <v>17</v>
      </c>
      <c r="S12" s="103">
        <f t="shared" si="2"/>
        <v>8.1081081081081086E-2</v>
      </c>
      <c r="T12" s="103">
        <f t="shared" si="0"/>
        <v>6.5217391304347824E-2</v>
      </c>
      <c r="U12" s="103">
        <f t="shared" si="0"/>
        <v>6.8965517241379309E-2</v>
      </c>
      <c r="V12" s="103">
        <f t="shared" si="0"/>
        <v>0.05</v>
      </c>
      <c r="W12" s="103">
        <f t="shared" si="0"/>
        <v>7.1999999999999995E-2</v>
      </c>
      <c r="X12" s="103">
        <f t="shared" si="0"/>
        <v>0.12727272727272726</v>
      </c>
      <c r="Y12" s="103">
        <f t="shared" si="0"/>
        <v>3.7735849056603772E-2</v>
      </c>
      <c r="Z12" s="103">
        <f t="shared" si="0"/>
        <v>5.8823529411764705E-2</v>
      </c>
      <c r="AA12" s="103">
        <f t="shared" si="0"/>
        <v>6.2111801242236024E-2</v>
      </c>
      <c r="AB12" s="103">
        <f t="shared" si="0"/>
        <v>7.407407407407407E-2</v>
      </c>
      <c r="AC12" s="103">
        <f t="shared" si="0"/>
        <v>8.6956521739130432E-2</v>
      </c>
      <c r="AD12" s="103">
        <f t="shared" si="0"/>
        <v>5.9113300492610835E-2</v>
      </c>
      <c r="AE12" s="103">
        <f t="shared" si="0"/>
        <v>7.2289156626506021E-2</v>
      </c>
      <c r="AF12" s="103">
        <f t="shared" si="0"/>
        <v>0.12048192771084337</v>
      </c>
      <c r="AG12" s="104">
        <f t="shared" si="0"/>
        <v>7.0422535211267609E-2</v>
      </c>
      <c r="AH12" s="82">
        <f t="shared" si="1"/>
        <v>7.376969416430483E-2</v>
      </c>
    </row>
    <row r="13" spans="1:34" ht="15.75" customHeight="1">
      <c r="A13" s="124">
        <v>11</v>
      </c>
      <c r="B13" s="73">
        <f>(getDistance(coord!C11,coord!D11,coord!$C$1,coord!$D$1)*1000)/$B$18</f>
        <v>6.127426480099326E-2</v>
      </c>
      <c r="C13" s="73">
        <f>(getDistance(coord!C11,coord!D11,coord!$C$2,coord!$D$2)*1000)/$C$18</f>
        <v>6.3144993430051921E-2</v>
      </c>
      <c r="D13" s="73">
        <f>(getDistance(coord!$C11,coord!$D11,coord!$C$3,coord!$D$3)*1000)/$D$18</f>
        <v>6.0011404079360689E-2</v>
      </c>
      <c r="E13" s="73">
        <f>(getDistance(coord!$C11,coord!$D11,coord!$C$4,coord!$D$4)*1000)/$E$18</f>
        <v>4.9147122391873257E-2</v>
      </c>
      <c r="F13" s="73">
        <f>(getDistance(coord!$C11,coord!$D11,coord!$C$5,coord!$D$5)*1000)/$F$18</f>
        <v>7.0452117914412193E-2</v>
      </c>
      <c r="G13" s="73">
        <f>(getDistance(coord!$C11,coord!$D11,coord!$C$6,coord!$D$6)*1000)/$G$18</f>
        <v>5.3296679322693087E-2</v>
      </c>
      <c r="H13" s="73">
        <f>(getDistance(coord!$C11,coord!$D11,coord!$C$7,coord!$D$7)*1000)/$H$18</f>
        <v>6.9503729292049857E-2</v>
      </c>
      <c r="I13" s="73">
        <f>(getDistance(coord!$C11,coord!$D11,coord!$C$8,coord!$D$8)*1000)/$I$18</f>
        <v>6.8453640037458213E-2</v>
      </c>
      <c r="J13" s="73">
        <f>(getDistance(coord!$C11,coord!$D11,coord!$C$9,coord!$D$9)*1000)/$J$18</f>
        <v>7.6739583973957054E-2</v>
      </c>
      <c r="K13" s="73">
        <f>(getDistance(coord!$C11,coord!$D11,coord!$C$10,coord!$D$10)*1000)/$K$18</f>
        <v>5.5510452669894815E-2</v>
      </c>
      <c r="L13" s="72">
        <f>(getDistance(coord!$C11,coord!$D11,coord!$C$11,coord!$D$11)*1000)/$L$18</f>
        <v>0</v>
      </c>
      <c r="M13" s="73">
        <f>(getDistance(coord!$C11,coord!$D11,coord!$C$12,coord!$D$12)*1000)/$M$18</f>
        <v>6.5264966140275119E-2</v>
      </c>
      <c r="N13" s="73">
        <f>(getDistance(coord!$C11,coord!$D11,coord!$C$13,coord!$D$13)*1000)/$N$18</f>
        <v>5.2232493602072869E-2</v>
      </c>
      <c r="O13" s="73">
        <f>(getDistance(coord!$C11,coord!$D11,coord!$C$14,coord!$D$14)*1000)/$O$18</f>
        <v>5.9603010416953664E-2</v>
      </c>
      <c r="P13" s="101">
        <f>(getDistance(coord!$C11,coord!$D11,coord!$C$15,coord!$D$15)*1000)/$P$18</f>
        <v>7.7287226039549434E-2</v>
      </c>
      <c r="Q13" s="123" t="s">
        <v>79</v>
      </c>
      <c r="R13" s="124">
        <v>18</v>
      </c>
      <c r="S13" s="103">
        <f t="shared" si="2"/>
        <v>4.0540540540540543E-2</v>
      </c>
      <c r="T13" s="103">
        <f t="shared" si="0"/>
        <v>7.2463768115942032E-2</v>
      </c>
      <c r="U13" s="103">
        <f t="shared" si="0"/>
        <v>7.7586206896551727E-2</v>
      </c>
      <c r="V13" s="103">
        <f t="shared" si="0"/>
        <v>6.6666666666666666E-2</v>
      </c>
      <c r="W13" s="103">
        <f t="shared" si="0"/>
        <v>5.6000000000000001E-2</v>
      </c>
      <c r="X13" s="103">
        <f t="shared" si="0"/>
        <v>0.12727272727272726</v>
      </c>
      <c r="Y13" s="103">
        <f t="shared" si="0"/>
        <v>5.0314465408805034E-2</v>
      </c>
      <c r="Z13" s="103">
        <f t="shared" si="0"/>
        <v>8.8235294117647065E-2</v>
      </c>
      <c r="AA13" s="103">
        <f t="shared" si="0"/>
        <v>9.3167701863354033E-2</v>
      </c>
      <c r="AB13" s="103">
        <f t="shared" si="0"/>
        <v>5.5555555555555552E-2</v>
      </c>
      <c r="AC13" s="103">
        <f t="shared" si="0"/>
        <v>6.7193675889328064E-2</v>
      </c>
      <c r="AD13" s="103">
        <f t="shared" si="0"/>
        <v>5.9113300492610835E-2</v>
      </c>
      <c r="AE13" s="103">
        <f t="shared" si="0"/>
        <v>4.8192771084337352E-2</v>
      </c>
      <c r="AF13" s="103">
        <f t="shared" si="0"/>
        <v>7.2289156626506021E-2</v>
      </c>
      <c r="AG13" s="104">
        <f t="shared" si="0"/>
        <v>5.6338028169014086E-2</v>
      </c>
      <c r="AH13" s="82">
        <f t="shared" si="1"/>
        <v>6.8728657246639083E-2</v>
      </c>
    </row>
    <row r="14" spans="1:34" ht="15.75" customHeight="1">
      <c r="A14" s="124">
        <v>12</v>
      </c>
      <c r="B14" s="73">
        <f>(getDistance(coord!C12,coord!D12,coord!$C$1,coord!$D$1)*1000)/$B$18</f>
        <v>0.14383717721341799</v>
      </c>
      <c r="C14" s="73">
        <f>(getDistance(coord!C12,coord!D12,coord!$C$2,coord!$D$2)*1000)/$C$18</f>
        <v>0.14392493216892677</v>
      </c>
      <c r="D14" s="73">
        <f>(getDistance(coord!$C12,coord!$D12,coord!$C$3,coord!$D$3)*1000)/$D$18</f>
        <v>0.14148827783637166</v>
      </c>
      <c r="E14" s="73">
        <f>(getDistance(coord!$C12,coord!$D12,coord!$C$4,coord!$D$4)*1000)/$E$18</f>
        <v>0.11003873692811286</v>
      </c>
      <c r="F14" s="73">
        <f>(getDistance(coord!$C12,coord!$D12,coord!$C$5,coord!$D$5)*1000)/$F$18</f>
        <v>7.8051967348498674E-2</v>
      </c>
      <c r="G14" s="73">
        <f>(getDistance(coord!$C12,coord!$D12,coord!$C$6,coord!$D$6)*1000)/$G$18</f>
        <v>6.6483284048690902E-2</v>
      </c>
      <c r="H14" s="73">
        <f>(getDistance(coord!$C12,coord!$D12,coord!$C$7,coord!$D$7)*1000)/$H$18</f>
        <v>2.0024271268220917E-2</v>
      </c>
      <c r="I14" s="73">
        <f>(getDistance(coord!$C12,coord!$D12,coord!$C$8,coord!$D$8)*1000)/$I$18</f>
        <v>6.9135553826330728E-2</v>
      </c>
      <c r="J14" s="73">
        <f>(getDistance(coord!$C12,coord!$D12,coord!$C$9,coord!$D$9)*1000)/$J$18</f>
        <v>7.9998039362600984E-2</v>
      </c>
      <c r="K14" s="73">
        <f>(getDistance(coord!$C12,coord!$D12,coord!$C$10,coord!$D$10)*1000)/$K$18</f>
        <v>9.2013806307226581E-2</v>
      </c>
      <c r="L14" s="73">
        <f>(getDistance(coord!$C12,coord!$D12,coord!$C$11,coord!$D$11)*1000)/$L$18</f>
        <v>0.10236903700413104</v>
      </c>
      <c r="M14" s="72">
        <f>(getDistance(coord!$C12,coord!$D12,coord!$C$12,coord!$D$12)*1000)/$M$18</f>
        <v>0</v>
      </c>
      <c r="N14" s="73">
        <f>(getDistance(coord!$C12,coord!$D12,coord!$C$13,coord!$D$13)*1000)/$N$18</f>
        <v>0.12287207249563113</v>
      </c>
      <c r="O14" s="73">
        <f>(getDistance(coord!$C12,coord!$D12,coord!$C$14,coord!$D$14)*1000)/$O$18</f>
        <v>0.13952699386374479</v>
      </c>
      <c r="P14" s="101">
        <f>(getDistance(coord!$C12,coord!$D12,coord!$C$15,coord!$D$15)*1000)/$P$18</f>
        <v>0.10462455522978409</v>
      </c>
      <c r="Q14" s="123" t="s">
        <v>80</v>
      </c>
      <c r="R14" s="124">
        <v>19</v>
      </c>
      <c r="S14" s="103">
        <f t="shared" si="2"/>
        <v>4.0540540540540543E-2</v>
      </c>
      <c r="T14" s="103">
        <f t="shared" si="0"/>
        <v>7.9710144927536225E-2</v>
      </c>
      <c r="U14" s="103">
        <f t="shared" si="0"/>
        <v>6.8965517241379309E-2</v>
      </c>
      <c r="V14" s="103">
        <f t="shared" si="0"/>
        <v>3.3333333333333333E-2</v>
      </c>
      <c r="W14" s="103">
        <f t="shared" si="0"/>
        <v>6.4000000000000001E-2</v>
      </c>
      <c r="X14" s="103">
        <f t="shared" si="0"/>
        <v>9.0909090909090912E-2</v>
      </c>
      <c r="Y14" s="103">
        <f t="shared" si="0"/>
        <v>6.9182389937106917E-2</v>
      </c>
      <c r="Z14" s="103">
        <f t="shared" si="0"/>
        <v>2.9411764705882353E-2</v>
      </c>
      <c r="AA14" s="103">
        <f t="shared" si="0"/>
        <v>7.4534161490683232E-2</v>
      </c>
      <c r="AB14" s="103">
        <f t="shared" si="0"/>
        <v>8.3333333333333329E-2</v>
      </c>
      <c r="AC14" s="103">
        <f t="shared" si="0"/>
        <v>8.3003952569169967E-2</v>
      </c>
      <c r="AD14" s="103">
        <f t="shared" si="0"/>
        <v>5.9113300492610835E-2</v>
      </c>
      <c r="AE14" s="103">
        <f t="shared" si="0"/>
        <v>8.4337349397590355E-2</v>
      </c>
      <c r="AF14" s="103">
        <f t="shared" si="0"/>
        <v>8.4337349397590355E-2</v>
      </c>
      <c r="AG14" s="104">
        <f t="shared" si="0"/>
        <v>7.0422535211267609E-2</v>
      </c>
      <c r="AH14" s="82">
        <f t="shared" si="1"/>
        <v>6.7675650899141016E-2</v>
      </c>
    </row>
    <row r="15" spans="1:34" ht="15.75" customHeight="1">
      <c r="A15" s="124">
        <v>13</v>
      </c>
      <c r="B15" s="73">
        <f>(getDistance(coord!C13,coord!D13,coord!$C$1,coord!$D$1)*1000)/$B$18</f>
        <v>5.017983184475526E-2</v>
      </c>
      <c r="C15" s="73">
        <f>(getDistance(coord!C13,coord!D13,coord!$C$2,coord!$D$2)*1000)/$C$18</f>
        <v>6.2862305474947436E-2</v>
      </c>
      <c r="D15" s="73">
        <f>(getDistance(coord!$C13,coord!$D13,coord!$C$3,coord!$D$3)*1000)/$D$18</f>
        <v>7.706112638427047E-2</v>
      </c>
      <c r="E15" s="73">
        <f>(getDistance(coord!$C13,coord!$D13,coord!$C$4,coord!$D$4)*1000)/$E$18</f>
        <v>1.7263037160236069E-2</v>
      </c>
      <c r="F15" s="73">
        <f>(getDistance(coord!$C13,coord!$D13,coord!$C$5,coord!$D$5)*1000)/$F$18</f>
        <v>0.14178680218828463</v>
      </c>
      <c r="G15" s="73">
        <f>(getDistance(coord!$C13,coord!$D13,coord!$C$6,coord!$D$6)*1000)/$G$18</f>
        <v>0.1310677395336825</v>
      </c>
      <c r="H15" s="73">
        <f>(getDistance(coord!$C13,coord!$D13,coord!$C$7,coord!$D$7)*1000)/$H$18</f>
        <v>0.12522390359060237</v>
      </c>
      <c r="I15" s="73">
        <f>(getDistance(coord!$C13,coord!$D13,coord!$C$8,coord!$D$8)*1000)/$I$18</f>
        <v>0.14139230054352664</v>
      </c>
      <c r="J15" s="73">
        <f>(getDistance(coord!$C13,coord!$D13,coord!$C$9,coord!$D$9)*1000)/$J$18</f>
        <v>0.13711876165609851</v>
      </c>
      <c r="K15" s="73">
        <f>(getDistance(coord!$C13,coord!$D13,coord!$C$10,coord!$D$10)*1000)/$K$18</f>
        <v>0.13217834326849706</v>
      </c>
      <c r="L15" s="73">
        <f>(getDistance(coord!$C13,coord!$D13,coord!$C$11,coord!$D$11)*1000)/$L$18</f>
        <v>7.5693956088462189E-2</v>
      </c>
      <c r="M15" s="73">
        <f>(getDistance(coord!$C13,coord!$D13,coord!$C$12,coord!$D$12)*1000)/$M$18</f>
        <v>0.11352333133333851</v>
      </c>
      <c r="N15" s="72">
        <f>(getDistance(coord!$C13,coord!$D13,coord!$C$13,coord!$D$13)*1000)/$N$18</f>
        <v>0</v>
      </c>
      <c r="O15" s="73">
        <f>(getDistance(coord!$C13,coord!$D13,coord!$C$14,coord!$D$14)*1000)/$O$18</f>
        <v>3.5377274278648514E-2</v>
      </c>
      <c r="P15" s="101">
        <f>(getDistance(coord!$C13,coord!$D13,coord!$C$15,coord!$D$15)*1000)/$P$18</f>
        <v>0.11734303371133657</v>
      </c>
      <c r="Q15" s="123" t="s">
        <v>81</v>
      </c>
      <c r="R15" s="124">
        <v>20</v>
      </c>
      <c r="S15" s="103">
        <f t="shared" si="2"/>
        <v>5.4054054054054057E-2</v>
      </c>
      <c r="T15" s="103">
        <f t="shared" si="0"/>
        <v>3.6231884057971016E-2</v>
      </c>
      <c r="U15" s="103">
        <f t="shared" si="0"/>
        <v>6.8965517241379309E-2</v>
      </c>
      <c r="V15" s="103">
        <f t="shared" si="0"/>
        <v>0.05</v>
      </c>
      <c r="W15" s="103">
        <f t="shared" si="0"/>
        <v>0.08</v>
      </c>
      <c r="X15" s="103">
        <f t="shared" si="0"/>
        <v>9.0909090909090912E-2</v>
      </c>
      <c r="Y15" s="103">
        <f t="shared" si="0"/>
        <v>6.2893081761006289E-2</v>
      </c>
      <c r="Z15" s="103">
        <f t="shared" si="0"/>
        <v>8.8235294117647065E-2</v>
      </c>
      <c r="AA15" s="103">
        <f t="shared" si="0"/>
        <v>6.8322981366459631E-2</v>
      </c>
      <c r="AB15" s="103">
        <f t="shared" si="0"/>
        <v>8.3333333333333329E-2</v>
      </c>
      <c r="AC15" s="103">
        <f t="shared" si="0"/>
        <v>6.7193675889328064E-2</v>
      </c>
      <c r="AD15" s="103">
        <f t="shared" si="0"/>
        <v>5.9113300492610835E-2</v>
      </c>
      <c r="AE15" s="103">
        <f t="shared" si="0"/>
        <v>7.2289156626506021E-2</v>
      </c>
      <c r="AF15" s="103">
        <f t="shared" si="0"/>
        <v>8.4337349397590355E-2</v>
      </c>
      <c r="AG15" s="104">
        <f t="shared" si="0"/>
        <v>0.11267605633802817</v>
      </c>
      <c r="AH15" s="82">
        <f t="shared" si="1"/>
        <v>7.1903651705667024E-2</v>
      </c>
    </row>
    <row r="16" spans="1:34" ht="15.75" customHeight="1">
      <c r="A16" s="124">
        <v>14</v>
      </c>
      <c r="B16" s="73">
        <f>(getDistance(coord!C14,coord!D14,coord!$C$1,coord!$D$1)*1000)/$B$18</f>
        <v>1.3168409585852855E-2</v>
      </c>
      <c r="C16" s="73">
        <f>(getDistance(coord!C14,coord!D14,coord!$C$2,coord!$D$2)*1000)/$C$18</f>
        <v>2.4940157786046097E-2</v>
      </c>
      <c r="D16" s="73">
        <f>(getDistance(coord!$C14,coord!$D14,coord!$C$3,coord!$D$3)*1000)/$D$18</f>
        <v>4.0019253184327808E-2</v>
      </c>
      <c r="E16" s="73">
        <f>(getDistance(coord!$C14,coord!$D14,coord!$C$4,coord!$D$4)*1000)/$E$18</f>
        <v>4.2216171089429995E-2</v>
      </c>
      <c r="F16" s="73">
        <f>(getDistance(coord!$C14,coord!$D14,coord!$C$5,coord!$D$5)*1000)/$F$18</f>
        <v>0.11558224742838909</v>
      </c>
      <c r="G16" s="73">
        <f>(getDistance(coord!$C14,coord!$D14,coord!$C$6,coord!$D$6)*1000)/$G$18</f>
        <v>0.11294035706048326</v>
      </c>
      <c r="H16" s="73">
        <f>(getDistance(coord!$C14,coord!$D14,coord!$C$7,coord!$D$7)*1000)/$H$18</f>
        <v>0.11240513752328073</v>
      </c>
      <c r="I16" s="73">
        <f>(getDistance(coord!$C14,coord!$D14,coord!$C$8,coord!$D$8)*1000)/$I$18</f>
        <v>0.11775036264116372</v>
      </c>
      <c r="J16" s="73">
        <f>(getDistance(coord!$C14,coord!$D14,coord!$C$9,coord!$D$9)*1000)/$J$18</f>
        <v>0.109380832561723</v>
      </c>
      <c r="K16" s="73">
        <f>(getDistance(coord!$C14,coord!$D14,coord!$C$10,coord!$D$10)*1000)/$K$18</f>
        <v>0.1067455764963683</v>
      </c>
      <c r="L16" s="73">
        <f>(getDistance(coord!$C14,coord!$D14,coord!$C$11,coord!$D$11)*1000)/$L$18</f>
        <v>7.1103718124148424E-2</v>
      </c>
      <c r="M16" s="73">
        <f>(getDistance(coord!$C14,coord!$D14,coord!$C$12,coord!$D$12)*1000)/$M$18</f>
        <v>0.10611917188735627</v>
      </c>
      <c r="N16" s="73">
        <f>(getDistance(coord!$C14,coord!$D14,coord!$C$13,coord!$D$13)*1000)/$N$18</f>
        <v>2.9122458845096851E-2</v>
      </c>
      <c r="O16" s="72">
        <f>(getDistance(coord!$C14,coord!$D14,coord!$C$14,coord!$D$14)*1000)/$O$18</f>
        <v>0</v>
      </c>
      <c r="P16" s="101">
        <f>(getDistance(coord!$C14,coord!$D14,coord!$C$15,coord!$D$15)*1000)/$P$18</f>
        <v>8.4959934607816812E-2</v>
      </c>
      <c r="Q16" s="123" t="s">
        <v>82</v>
      </c>
      <c r="R16" s="124">
        <v>21</v>
      </c>
      <c r="S16" s="103">
        <f t="shared" si="2"/>
        <v>6.7567567567567571E-2</v>
      </c>
      <c r="T16" s="103">
        <f t="shared" si="0"/>
        <v>6.5217391304347824E-2</v>
      </c>
      <c r="U16" s="103">
        <f t="shared" si="0"/>
        <v>9.4827586206896547E-2</v>
      </c>
      <c r="V16" s="103">
        <f t="shared" si="0"/>
        <v>8.3333333333333329E-2</v>
      </c>
      <c r="W16" s="103">
        <f t="shared" si="0"/>
        <v>6.4000000000000001E-2</v>
      </c>
      <c r="X16" s="103">
        <f t="shared" si="0"/>
        <v>7.2727272727272724E-2</v>
      </c>
      <c r="Y16" s="103">
        <f t="shared" si="0"/>
        <v>8.1761006289308172E-2</v>
      </c>
      <c r="Z16" s="103">
        <f t="shared" si="0"/>
        <v>5.8823529411764705E-2</v>
      </c>
      <c r="AA16" s="103">
        <f t="shared" si="0"/>
        <v>8.0745341614906832E-2</v>
      </c>
      <c r="AB16" s="103">
        <f t="shared" si="0"/>
        <v>5.5555555555555552E-2</v>
      </c>
      <c r="AC16" s="103">
        <f t="shared" si="0"/>
        <v>9.0909090909090912E-2</v>
      </c>
      <c r="AD16" s="103">
        <f t="shared" si="0"/>
        <v>5.9113300492610835E-2</v>
      </c>
      <c r="AE16" s="103">
        <f t="shared" si="0"/>
        <v>8.4337349397590355E-2</v>
      </c>
      <c r="AF16" s="103">
        <f t="shared" si="0"/>
        <v>6.0240963855421686E-2</v>
      </c>
      <c r="AG16" s="104">
        <f t="shared" si="0"/>
        <v>8.4507042253521125E-2</v>
      </c>
      <c r="AH16" s="82">
        <f t="shared" si="1"/>
        <v>7.3577755394612573E-2</v>
      </c>
    </row>
    <row r="17" spans="1:34" ht="15.75" customHeight="1">
      <c r="A17" s="124">
        <v>15</v>
      </c>
      <c r="B17" s="73">
        <f>(getDistance(coord!C15,coord!D15,coord!$C$1,coord!$D$1)*1000)/$B$18</f>
        <v>7.1209747443455748E-2</v>
      </c>
      <c r="C17" s="73">
        <f>(getDistance(coord!C15,coord!D15,coord!$C$2,coord!$D$2)*1000)/$C$18</f>
        <v>6.3471215654142113E-2</v>
      </c>
      <c r="D17" s="73">
        <f>(getDistance(coord!$C15,coord!$D15,coord!$C$3,coord!$D$3)*1000)/$D$18</f>
        <v>5.5745091284026972E-2</v>
      </c>
      <c r="E17" s="73">
        <f>(getDistance(coord!$C15,coord!$D15,coord!$C$4,coord!$D$4)*1000)/$E$18</f>
        <v>8.9544349164598025E-2</v>
      </c>
      <c r="F17" s="73">
        <f>(getDistance(coord!$C15,coord!$D15,coord!$C$5,coord!$D$5)*1000)/$F$18</f>
        <v>4.6720593461987633E-2</v>
      </c>
      <c r="G17" s="73">
        <f>(getDistance(coord!$C15,coord!$D15,coord!$C$6,coord!$D$6)*1000)/$G$18</f>
        <v>6.6942414344036902E-2</v>
      </c>
      <c r="H17" s="73">
        <f>(getDistance(coord!$C15,coord!$D15,coord!$C$7,coord!$D$7)*1000)/$H$18</f>
        <v>6.6006717784590621E-2</v>
      </c>
      <c r="I17" s="73">
        <f>(getDistance(coord!$C15,coord!$D15,coord!$C$8,coord!$D$8)*1000)/$I$18</f>
        <v>5.3569680646186453E-2</v>
      </c>
      <c r="J17" s="73">
        <f>(getDistance(coord!$C15,coord!$D15,coord!$C$9,coord!$D$9)*1000)/$J$18</f>
        <v>3.2934021855036376E-2</v>
      </c>
      <c r="K17" s="73">
        <f>(getDistance(coord!$C15,coord!$D15,coord!$C$10,coord!$D$10)*1000)/$K$18</f>
        <v>5.4046379854951018E-2</v>
      </c>
      <c r="L17" s="73">
        <f>(getDistance(coord!$C15,coord!$D15,coord!$C$11,coord!$D$11)*1000)/$L$18</f>
        <v>8.3735366407521647E-2</v>
      </c>
      <c r="M17" s="73">
        <f>(getDistance(coord!$C15,coord!$D15,coord!$C$12,coord!$D$12)*1000)/$M$18</f>
        <v>7.2268048762982942E-2</v>
      </c>
      <c r="N17" s="73">
        <f>(getDistance(coord!$C15,coord!$D15,coord!$C$13,coord!$D$13)*1000)/$N$18</f>
        <v>8.7727968540502299E-2</v>
      </c>
      <c r="O17" s="73">
        <f>(getDistance(coord!$C15,coord!$D15,coord!$C$14,coord!$D$14)*1000)/$O$18</f>
        <v>7.7159829397700191E-2</v>
      </c>
      <c r="P17" s="102">
        <f>(getDistance(coord!$C15,coord!$D15,coord!$C$15,coord!$D$15)*1000)/$P$18</f>
        <v>0</v>
      </c>
      <c r="Q17" s="123" t="s">
        <v>83</v>
      </c>
      <c r="R17" s="124">
        <v>22</v>
      </c>
      <c r="S17" s="103">
        <f t="shared" si="2"/>
        <v>5.4054054054054057E-2</v>
      </c>
      <c r="T17" s="103">
        <f t="shared" si="0"/>
        <v>7.2463768115942032E-2</v>
      </c>
      <c r="U17" s="103">
        <f t="shared" si="0"/>
        <v>5.1724137931034482E-2</v>
      </c>
      <c r="V17" s="103">
        <f t="shared" si="0"/>
        <v>8.3333333333333329E-2</v>
      </c>
      <c r="W17" s="103">
        <f t="shared" si="0"/>
        <v>7.1999999999999995E-2</v>
      </c>
      <c r="X17" s="103">
        <f t="shared" si="0"/>
        <v>7.2727272727272724E-2</v>
      </c>
      <c r="Y17" s="103">
        <f t="shared" si="0"/>
        <v>8.8050314465408799E-2</v>
      </c>
      <c r="Z17" s="103">
        <f t="shared" si="0"/>
        <v>5.8823529411764705E-2</v>
      </c>
      <c r="AA17" s="103">
        <f t="shared" si="0"/>
        <v>9.3167701863354033E-2</v>
      </c>
      <c r="AB17" s="103">
        <f t="shared" si="0"/>
        <v>8.3333333333333329E-2</v>
      </c>
      <c r="AC17" s="103">
        <f t="shared" si="0"/>
        <v>8.3003952569169967E-2</v>
      </c>
      <c r="AD17" s="103">
        <f t="shared" si="0"/>
        <v>6.4039408866995079E-2</v>
      </c>
      <c r="AE17" s="103">
        <f t="shared" si="0"/>
        <v>4.8192771084337352E-2</v>
      </c>
      <c r="AF17" s="103">
        <f t="shared" si="0"/>
        <v>8.4337349397590355E-2</v>
      </c>
      <c r="AG17" s="104">
        <f t="shared" si="0"/>
        <v>7.0422535211267609E-2</v>
      </c>
      <c r="AH17" s="82">
        <f t="shared" si="1"/>
        <v>7.1978230824323849E-2</v>
      </c>
    </row>
    <row r="18" spans="1:34" ht="15" thickBot="1">
      <c r="A18" s="49"/>
      <c r="B18" s="126">
        <v>3313.0374730736421</v>
      </c>
      <c r="C18" s="126">
        <v>3169.1147781655891</v>
      </c>
      <c r="D18" s="126">
        <v>2925.0791865189221</v>
      </c>
      <c r="E18" s="126">
        <v>4954.5665299303491</v>
      </c>
      <c r="F18" s="126">
        <v>2784.669575139887</v>
      </c>
      <c r="G18" s="126">
        <v>2826.7345247626708</v>
      </c>
      <c r="H18" s="126">
        <v>4044.3533078667401</v>
      </c>
      <c r="I18" s="126">
        <v>2838.5004233816035</v>
      </c>
      <c r="J18" s="126">
        <v>3052.7326216789588</v>
      </c>
      <c r="K18" s="126">
        <v>2596.7794438497749</v>
      </c>
      <c r="L18" s="126">
        <v>3032.2640594874724</v>
      </c>
      <c r="M18" s="126">
        <v>4756.1497395831047</v>
      </c>
      <c r="N18" s="126">
        <v>4394.277330813823</v>
      </c>
      <c r="O18" s="126">
        <v>3617.355020417825</v>
      </c>
      <c r="P18" s="127">
        <v>3285.2484825320653</v>
      </c>
      <c r="R18" s="41"/>
      <c r="S18" s="128">
        <v>370</v>
      </c>
      <c r="T18" s="128">
        <v>690</v>
      </c>
      <c r="U18" s="128">
        <v>580</v>
      </c>
      <c r="V18" s="128">
        <v>300</v>
      </c>
      <c r="W18" s="128">
        <v>625</v>
      </c>
      <c r="X18" s="128">
        <v>275</v>
      </c>
      <c r="Y18" s="128">
        <v>795</v>
      </c>
      <c r="Z18" s="128">
        <v>170</v>
      </c>
      <c r="AA18" s="128">
        <v>805</v>
      </c>
      <c r="AB18" s="128">
        <v>540</v>
      </c>
      <c r="AC18" s="128">
        <v>1265</v>
      </c>
      <c r="AD18" s="128">
        <v>1015</v>
      </c>
      <c r="AE18" s="128">
        <v>415</v>
      </c>
      <c r="AF18" s="128">
        <v>415</v>
      </c>
      <c r="AG18" s="129">
        <v>355</v>
      </c>
    </row>
    <row r="19" spans="1:34" ht="27.75" customHeight="1">
      <c r="A19" s="114" t="s">
        <v>4</v>
      </c>
      <c r="B19" s="114" t="s">
        <v>7</v>
      </c>
      <c r="C19" s="114" t="s">
        <v>9</v>
      </c>
      <c r="D19" s="114" t="s">
        <v>61</v>
      </c>
      <c r="E19" s="114" t="s">
        <v>62</v>
      </c>
      <c r="F19" s="114" t="s">
        <v>63</v>
      </c>
      <c r="G19" s="114" t="s">
        <v>59</v>
      </c>
      <c r="H19" s="115" t="s">
        <v>60</v>
      </c>
      <c r="I19" s="145" t="s">
        <v>33</v>
      </c>
      <c r="J19" s="135" t="s">
        <v>34</v>
      </c>
      <c r="K19" s="148" t="s">
        <v>35</v>
      </c>
      <c r="L19" s="148" t="s">
        <v>84</v>
      </c>
      <c r="M19" s="149" t="s">
        <v>85</v>
      </c>
      <c r="R19" s="121" t="s">
        <v>12</v>
      </c>
      <c r="S19" s="119">
        <v>1</v>
      </c>
      <c r="T19" s="119">
        <v>2</v>
      </c>
      <c r="U19" s="119">
        <v>3</v>
      </c>
      <c r="V19" s="119">
        <v>4</v>
      </c>
      <c r="W19" s="119">
        <v>5</v>
      </c>
      <c r="X19" s="119">
        <v>6</v>
      </c>
      <c r="Y19" s="119">
        <v>7</v>
      </c>
      <c r="Z19" s="119">
        <v>8</v>
      </c>
      <c r="AA19" s="119">
        <v>9</v>
      </c>
      <c r="AB19" s="119">
        <v>10</v>
      </c>
      <c r="AC19" s="119">
        <v>11</v>
      </c>
      <c r="AD19" s="119">
        <v>12</v>
      </c>
      <c r="AE19" s="119">
        <v>13</v>
      </c>
      <c r="AF19" s="119">
        <v>14</v>
      </c>
      <c r="AG19" s="120">
        <v>15</v>
      </c>
    </row>
    <row r="20" spans="1:34" ht="27.75" customHeight="1">
      <c r="A20" s="124">
        <v>8</v>
      </c>
      <c r="B20" s="124">
        <v>3</v>
      </c>
      <c r="C20" s="94" t="str">
        <f t="shared" ref="C20:C34" si="3">VLOOKUP(B20,$A$2:$Q$17,17,1)</f>
        <v>buzz-lightyears-space-ranger-spin</v>
      </c>
      <c r="D20" s="94">
        <f>ABS(E20)</f>
        <v>0</v>
      </c>
      <c r="E20" s="8"/>
      <c r="F20" s="78">
        <f t="shared" ref="F20:F34" si="4">INDEX($R$2:$AG$17,MATCH(A20,$R$2:$R$17,0),MATCH(B20,$R$2:$AG$2,0))</f>
        <v>8.6206896551724137E-3</v>
      </c>
      <c r="G20" s="8"/>
      <c r="H20" s="79">
        <f t="shared" ref="H20:H34" si="5">INDEX($R$19:$AG$34,MATCH(A20,$R$19:$R$34,0),MATCH(B20,$R$19:$AG$19,0))</f>
        <v>5</v>
      </c>
      <c r="I20" s="146">
        <v>1</v>
      </c>
      <c r="J20" s="137">
        <v>1</v>
      </c>
      <c r="K20" s="39">
        <v>8</v>
      </c>
      <c r="L20" s="150">
        <f>VLOOKUP(C20,coordMK!C:E,2,0)</f>
        <v>28.418243</v>
      </c>
      <c r="M20" s="151">
        <f>VLOOKUP(C20,coordMK!C:E,3,0)</f>
        <v>-81.579359999999994</v>
      </c>
      <c r="O20" s="133"/>
      <c r="R20" s="124">
        <v>8</v>
      </c>
      <c r="S20" s="130">
        <v>10</v>
      </c>
      <c r="T20" s="130">
        <v>25</v>
      </c>
      <c r="U20" s="130">
        <v>5</v>
      </c>
      <c r="V20" s="130">
        <v>10</v>
      </c>
      <c r="W20" s="130">
        <v>25</v>
      </c>
      <c r="X20" s="130">
        <v>10</v>
      </c>
      <c r="Y20" s="130">
        <v>40</v>
      </c>
      <c r="Z20" s="130">
        <v>5</v>
      </c>
      <c r="AA20" s="130">
        <v>5</v>
      </c>
      <c r="AB20" s="130">
        <v>10</v>
      </c>
      <c r="AC20" s="130">
        <v>10</v>
      </c>
      <c r="AD20" s="130">
        <v>70</v>
      </c>
      <c r="AE20" s="130">
        <v>5</v>
      </c>
      <c r="AF20" s="130">
        <v>5</v>
      </c>
      <c r="AG20" s="131">
        <v>15</v>
      </c>
    </row>
    <row r="21" spans="1:34">
      <c r="A21" s="124">
        <v>9</v>
      </c>
      <c r="B21" s="124">
        <v>11</v>
      </c>
      <c r="C21" s="94" t="str">
        <f t="shared" si="3"/>
        <v>seven-dwarfs-mine-train</v>
      </c>
      <c r="D21" s="94">
        <f t="shared" ref="D21:D34" si="6">ABS(E21)</f>
        <v>5.7890112992331204E-2</v>
      </c>
      <c r="E21" s="83">
        <f t="shared" ref="E21:E34" si="7">INDEX($A$2:$P$17,MATCH(B20,$A$2:$A$17,0),MATCH(B21,$A$2:$P$2,0))</f>
        <v>5.7890112992331204E-2</v>
      </c>
      <c r="F21" s="78">
        <f t="shared" si="4"/>
        <v>7.9051383399209481E-3</v>
      </c>
      <c r="G21" s="83">
        <f t="shared" ref="G21:G34" si="8">INDEX($S$36:$AH$52,MATCH(B20,$R$36:$R$51,0),MATCH(B21,$R$36:$AG$36,0))</f>
        <v>413.86441663557724</v>
      </c>
      <c r="H21" s="79">
        <f t="shared" si="5"/>
        <v>10</v>
      </c>
      <c r="I21" s="12">
        <v>1</v>
      </c>
      <c r="J21" s="8">
        <v>1</v>
      </c>
      <c r="K21" s="39">
        <v>9</v>
      </c>
      <c r="L21" s="150">
        <f>VLOOKUP(C21,coordMK!C:E,2,0)</f>
        <v>28.420463999999999</v>
      </c>
      <c r="M21" s="151">
        <f>VLOOKUP(C21,coordMK!C:E,3,0)</f>
        <v>-81.580502999999993</v>
      </c>
      <c r="O21" s="133"/>
      <c r="R21" s="124">
        <v>9</v>
      </c>
      <c r="S21" s="130">
        <v>25</v>
      </c>
      <c r="T21" s="130">
        <v>65</v>
      </c>
      <c r="U21" s="130">
        <v>35</v>
      </c>
      <c r="V21" s="130">
        <v>15</v>
      </c>
      <c r="W21" s="130">
        <v>40</v>
      </c>
      <c r="X21" s="130">
        <v>5</v>
      </c>
      <c r="Y21" s="130">
        <v>35</v>
      </c>
      <c r="Z21" s="130">
        <v>15</v>
      </c>
      <c r="AA21" s="130">
        <v>5</v>
      </c>
      <c r="AB21" s="130">
        <v>30</v>
      </c>
      <c r="AC21" s="130">
        <v>10</v>
      </c>
      <c r="AD21" s="130">
        <v>60</v>
      </c>
      <c r="AE21" s="130">
        <v>5</v>
      </c>
      <c r="AF21" s="130">
        <v>5</v>
      </c>
      <c r="AG21" s="131">
        <v>20</v>
      </c>
    </row>
    <row r="22" spans="1:34">
      <c r="A22" s="124">
        <v>10</v>
      </c>
      <c r="B22" s="124">
        <v>9</v>
      </c>
      <c r="C22" s="94" t="str">
        <f t="shared" si="3"/>
        <v>peter-pans-flight</v>
      </c>
      <c r="D22" s="94">
        <f t="shared" si="6"/>
        <v>7.6739583973957054E-2</v>
      </c>
      <c r="E22" s="83">
        <f t="shared" si="7"/>
        <v>7.6739583973957054E-2</v>
      </c>
      <c r="F22" s="78">
        <f t="shared" si="4"/>
        <v>2.4844720496894408E-2</v>
      </c>
      <c r="G22" s="83">
        <f t="shared" si="8"/>
        <v>144.14840241197871</v>
      </c>
      <c r="H22" s="79">
        <f t="shared" si="5"/>
        <v>20</v>
      </c>
      <c r="I22" s="12">
        <v>1</v>
      </c>
      <c r="J22" s="8">
        <v>1</v>
      </c>
      <c r="K22" s="39">
        <v>10</v>
      </c>
      <c r="L22" s="150">
        <f>VLOOKUP(C22,coordMK!C:E,2,0)</f>
        <v>28.420356000000002</v>
      </c>
      <c r="M22" s="151">
        <f>VLOOKUP(C22,coordMK!C:E,3,0)</f>
        <v>-81.581855000000004</v>
      </c>
      <c r="O22" s="133"/>
      <c r="R22" s="124">
        <v>10</v>
      </c>
      <c r="S22" s="130">
        <v>25</v>
      </c>
      <c r="T22" s="130">
        <v>45</v>
      </c>
      <c r="U22" s="130">
        <v>30</v>
      </c>
      <c r="V22" s="130">
        <v>15</v>
      </c>
      <c r="W22" s="130">
        <v>40</v>
      </c>
      <c r="X22" s="130">
        <v>5</v>
      </c>
      <c r="Y22" s="130">
        <v>60</v>
      </c>
      <c r="Z22" s="130">
        <v>10</v>
      </c>
      <c r="AA22" s="130">
        <v>20</v>
      </c>
      <c r="AB22" s="130">
        <v>45</v>
      </c>
      <c r="AC22" s="130">
        <v>60</v>
      </c>
      <c r="AD22" s="130">
        <v>50</v>
      </c>
      <c r="AE22" s="130">
        <v>20</v>
      </c>
      <c r="AF22" s="130">
        <v>10</v>
      </c>
      <c r="AG22" s="131">
        <v>20</v>
      </c>
    </row>
    <row r="23" spans="1:34">
      <c r="A23" s="124">
        <v>11</v>
      </c>
      <c r="B23" s="124">
        <v>14</v>
      </c>
      <c r="C23" s="94" t="str">
        <f t="shared" si="3"/>
        <v>the-many-adventures-of-winnie-the-pooh</v>
      </c>
      <c r="D23" s="94">
        <f t="shared" si="6"/>
        <v>9.2307897306968603E-2</v>
      </c>
      <c r="E23" s="83">
        <f t="shared" si="7"/>
        <v>9.2307897306968603E-2</v>
      </c>
      <c r="F23" s="78">
        <f t="shared" si="4"/>
        <v>4.8192771084337352E-2</v>
      </c>
      <c r="G23" s="83">
        <f t="shared" si="8"/>
        <v>100.53876287995733</v>
      </c>
      <c r="H23" s="79">
        <f t="shared" si="5"/>
        <v>20</v>
      </c>
      <c r="I23" s="12">
        <v>1</v>
      </c>
      <c r="J23" s="8">
        <v>1</v>
      </c>
      <c r="K23" s="39">
        <v>11</v>
      </c>
      <c r="L23" s="150">
        <f>VLOOKUP(C23,coordMK!C:E,2,0)</f>
        <v>28.420138999999999</v>
      </c>
      <c r="M23" s="151">
        <f>VLOOKUP(C23,coordMK!C:E,3,0)</f>
        <v>-81.580201000000002</v>
      </c>
      <c r="O23" s="133"/>
      <c r="R23" s="124">
        <v>11</v>
      </c>
      <c r="S23" s="130">
        <v>25</v>
      </c>
      <c r="T23" s="130">
        <v>45</v>
      </c>
      <c r="U23" s="130">
        <v>35</v>
      </c>
      <c r="V23" s="130">
        <v>15</v>
      </c>
      <c r="W23" s="130">
        <v>40</v>
      </c>
      <c r="X23" s="130">
        <v>10</v>
      </c>
      <c r="Y23" s="130">
        <v>45</v>
      </c>
      <c r="Z23" s="130">
        <v>10</v>
      </c>
      <c r="AA23" s="130">
        <v>45</v>
      </c>
      <c r="AB23" s="130">
        <v>40</v>
      </c>
      <c r="AC23" s="130">
        <v>90</v>
      </c>
      <c r="AD23" s="130">
        <v>75</v>
      </c>
      <c r="AE23" s="130">
        <v>50</v>
      </c>
      <c r="AF23" s="130">
        <v>20</v>
      </c>
      <c r="AG23" s="131">
        <v>25</v>
      </c>
    </row>
    <row r="24" spans="1:34">
      <c r="A24" s="124">
        <v>12</v>
      </c>
      <c r="B24" s="124">
        <v>6</v>
      </c>
      <c r="C24" s="94" t="str">
        <f t="shared" si="3"/>
        <v>its-a-small-world</v>
      </c>
      <c r="D24" s="94">
        <f t="shared" si="6"/>
        <v>0.11294035706048326</v>
      </c>
      <c r="E24" s="83">
        <f t="shared" si="7"/>
        <v>0.11294035706048326</v>
      </c>
      <c r="F24" s="78">
        <f t="shared" si="4"/>
        <v>3.6363636363636362E-2</v>
      </c>
      <c r="G24" s="83">
        <f t="shared" si="8"/>
        <v>454.60608976349624</v>
      </c>
      <c r="H24" s="79">
        <f t="shared" si="5"/>
        <v>10</v>
      </c>
      <c r="I24" s="12">
        <v>1</v>
      </c>
      <c r="J24" s="8">
        <v>1</v>
      </c>
      <c r="K24" s="39">
        <v>12</v>
      </c>
      <c r="L24" s="150">
        <f>VLOOKUP(C24,coordMK!C:E,2,0)</f>
        <v>28.420539999999999</v>
      </c>
      <c r="M24" s="151">
        <f>VLOOKUP(C24,coordMK!C:E,3,0)</f>
        <v>-81.581951000000004</v>
      </c>
      <c r="O24" s="133"/>
      <c r="R24" s="124">
        <v>12</v>
      </c>
      <c r="S24" s="130">
        <v>35</v>
      </c>
      <c r="T24" s="130">
        <v>50</v>
      </c>
      <c r="U24" s="130">
        <v>50</v>
      </c>
      <c r="V24" s="130">
        <v>20</v>
      </c>
      <c r="W24" s="130">
        <v>45</v>
      </c>
      <c r="X24" s="130">
        <v>10</v>
      </c>
      <c r="Y24" s="130">
        <v>50</v>
      </c>
      <c r="Z24" s="130">
        <v>15</v>
      </c>
      <c r="AA24" s="130">
        <v>75</v>
      </c>
      <c r="AB24" s="130">
        <v>30</v>
      </c>
      <c r="AC24" s="130">
        <v>75</v>
      </c>
      <c r="AD24" s="130">
        <v>95</v>
      </c>
      <c r="AE24" s="130">
        <v>35</v>
      </c>
      <c r="AF24" s="130">
        <v>30</v>
      </c>
      <c r="AG24" s="131">
        <v>20</v>
      </c>
    </row>
    <row r="25" spans="1:34">
      <c r="A25" s="124">
        <v>13</v>
      </c>
      <c r="B25" s="124">
        <v>15</v>
      </c>
      <c r="C25" s="94" t="str">
        <f t="shared" si="3"/>
        <v>tomorrowland-speedway</v>
      </c>
      <c r="D25" s="94">
        <f t="shared" si="6"/>
        <v>5.7599428111267691E-2</v>
      </c>
      <c r="E25" s="83">
        <f t="shared" si="7"/>
        <v>5.7599428111267691E-2</v>
      </c>
      <c r="F25" s="78">
        <f t="shared" si="4"/>
        <v>5.6338028169014086E-2</v>
      </c>
      <c r="G25" s="83">
        <f t="shared" si="8"/>
        <v>0</v>
      </c>
      <c r="H25" s="79">
        <f t="shared" si="5"/>
        <v>20</v>
      </c>
      <c r="I25" s="12">
        <v>1</v>
      </c>
      <c r="J25" s="8">
        <v>1</v>
      </c>
      <c r="K25" s="39">
        <v>13</v>
      </c>
      <c r="L25" s="150">
        <f>VLOOKUP(C25,coordMK!C:E,2,0)</f>
        <v>28.419384000000001</v>
      </c>
      <c r="M25" s="151">
        <f>VLOOKUP(C25,coordMK!C:E,3,0)</f>
        <v>-81.579367000000005</v>
      </c>
      <c r="O25" s="133"/>
      <c r="R25" s="124">
        <v>13</v>
      </c>
      <c r="S25" s="130">
        <v>35</v>
      </c>
      <c r="T25" s="130">
        <v>45</v>
      </c>
      <c r="U25" s="130">
        <v>45</v>
      </c>
      <c r="V25" s="130">
        <v>35</v>
      </c>
      <c r="W25" s="130">
        <v>45</v>
      </c>
      <c r="X25" s="130">
        <v>15</v>
      </c>
      <c r="Y25" s="130">
        <v>55</v>
      </c>
      <c r="Z25" s="130">
        <v>15</v>
      </c>
      <c r="AA25" s="130">
        <v>90</v>
      </c>
      <c r="AB25" s="130">
        <v>35</v>
      </c>
      <c r="AC25" s="130">
        <v>75</v>
      </c>
      <c r="AD25" s="130">
        <v>80</v>
      </c>
      <c r="AE25" s="130">
        <v>35</v>
      </c>
      <c r="AF25" s="130">
        <v>35</v>
      </c>
      <c r="AG25" s="131">
        <v>20</v>
      </c>
    </row>
    <row r="26" spans="1:34">
      <c r="A26" s="124">
        <v>14</v>
      </c>
      <c r="B26" s="124">
        <v>5</v>
      </c>
      <c r="C26" s="94" t="str">
        <f t="shared" si="3"/>
        <v>haunted-mansion</v>
      </c>
      <c r="D26" s="94">
        <f t="shared" si="6"/>
        <v>4.6720593461987633E-2</v>
      </c>
      <c r="E26" s="83">
        <f t="shared" si="7"/>
        <v>4.6720593461987633E-2</v>
      </c>
      <c r="F26" s="78">
        <f t="shared" si="4"/>
        <v>6.4000000000000001E-2</v>
      </c>
      <c r="G26" s="83">
        <f t="shared" si="8"/>
        <v>189.22843379725694</v>
      </c>
      <c r="H26" s="79">
        <f t="shared" si="5"/>
        <v>40</v>
      </c>
      <c r="I26" s="12">
        <v>1</v>
      </c>
      <c r="J26" s="8">
        <v>1</v>
      </c>
      <c r="K26" s="39">
        <v>14</v>
      </c>
      <c r="L26" s="150">
        <f>VLOOKUP(C26,coordMK!C:E,2,0)</f>
        <v>28.420445999999998</v>
      </c>
      <c r="M26" s="151">
        <f>VLOOKUP(C26,coordMK!C:E,3,0)</f>
        <v>-81.582879000000005</v>
      </c>
      <c r="O26" s="133"/>
      <c r="R26" s="124">
        <v>14</v>
      </c>
      <c r="S26" s="130">
        <v>20</v>
      </c>
      <c r="T26" s="130">
        <v>40</v>
      </c>
      <c r="U26" s="130">
        <v>45</v>
      </c>
      <c r="V26" s="130">
        <v>35</v>
      </c>
      <c r="W26" s="130">
        <v>40</v>
      </c>
      <c r="X26" s="130">
        <v>20</v>
      </c>
      <c r="Y26" s="130">
        <v>65</v>
      </c>
      <c r="Z26" s="130">
        <v>15</v>
      </c>
      <c r="AA26" s="130">
        <v>70</v>
      </c>
      <c r="AB26" s="130">
        <v>35</v>
      </c>
      <c r="AC26" s="130">
        <v>95</v>
      </c>
      <c r="AD26" s="130">
        <v>80</v>
      </c>
      <c r="AE26" s="130">
        <v>35</v>
      </c>
      <c r="AF26" s="130">
        <v>25</v>
      </c>
      <c r="AG26" s="131">
        <v>20</v>
      </c>
    </row>
    <row r="27" spans="1:34">
      <c r="A27" s="124">
        <v>15</v>
      </c>
      <c r="B27" s="124">
        <v>12</v>
      </c>
      <c r="C27" s="94" t="str">
        <f t="shared" si="3"/>
        <v>space-mountain</v>
      </c>
      <c r="D27" s="94">
        <f t="shared" si="6"/>
        <v>4.5698506282568732E-2</v>
      </c>
      <c r="E27" s="83">
        <f t="shared" si="7"/>
        <v>4.5698506282568732E-2</v>
      </c>
      <c r="F27" s="78">
        <f t="shared" si="4"/>
        <v>6.8965517241379309E-2</v>
      </c>
      <c r="G27" s="83">
        <f t="shared" si="8"/>
        <v>394.82939421009377</v>
      </c>
      <c r="H27" s="79">
        <f t="shared" si="5"/>
        <v>70</v>
      </c>
      <c r="I27" s="12">
        <v>1</v>
      </c>
      <c r="J27" s="8">
        <v>1</v>
      </c>
      <c r="K27" s="39">
        <v>15</v>
      </c>
      <c r="L27" s="150">
        <f>VLOOKUP(C27,coordMK!C:E,2,0)</f>
        <v>28.419082</v>
      </c>
      <c r="M27" s="151">
        <f>VLOOKUP(C27,coordMK!C:E,3,0)</f>
        <v>-81.577305999999993</v>
      </c>
      <c r="O27" s="133"/>
      <c r="R27" s="124">
        <v>15</v>
      </c>
      <c r="S27" s="130">
        <v>40</v>
      </c>
      <c r="T27" s="130">
        <v>40</v>
      </c>
      <c r="U27" s="130">
        <v>45</v>
      </c>
      <c r="V27" s="130">
        <v>35</v>
      </c>
      <c r="W27" s="130">
        <v>45</v>
      </c>
      <c r="X27" s="130">
        <v>20</v>
      </c>
      <c r="Y27" s="130">
        <v>75</v>
      </c>
      <c r="Z27" s="130">
        <v>10</v>
      </c>
      <c r="AA27" s="130">
        <v>65</v>
      </c>
      <c r="AB27" s="130">
        <v>40</v>
      </c>
      <c r="AC27" s="130">
        <v>115</v>
      </c>
      <c r="AD27" s="130">
        <v>70</v>
      </c>
      <c r="AE27" s="130">
        <v>25</v>
      </c>
      <c r="AF27" s="130">
        <v>40</v>
      </c>
      <c r="AG27" s="131">
        <v>25</v>
      </c>
    </row>
    <row r="28" spans="1:34">
      <c r="A28" s="124">
        <v>16</v>
      </c>
      <c r="B28" s="124">
        <v>4</v>
      </c>
      <c r="C28" s="94" t="str">
        <f t="shared" si="3"/>
        <v>dumbo-the-flying-elephant</v>
      </c>
      <c r="D28" s="94">
        <f t="shared" si="6"/>
        <v>0.11003873692811286</v>
      </c>
      <c r="E28" s="83">
        <f t="shared" si="7"/>
        <v>0.11003873692811286</v>
      </c>
      <c r="F28" s="78">
        <f t="shared" si="4"/>
        <v>3.3333333333333333E-2</v>
      </c>
      <c r="G28" s="83">
        <f t="shared" si="8"/>
        <v>217.34893875517614</v>
      </c>
      <c r="H28" s="79">
        <f t="shared" si="5"/>
        <v>10</v>
      </c>
      <c r="I28" s="12">
        <v>1</v>
      </c>
      <c r="J28" s="8">
        <v>1</v>
      </c>
      <c r="K28" s="39">
        <v>16</v>
      </c>
      <c r="L28" s="150">
        <f>VLOOKUP(C28,coordMK!C:E,2,0)</f>
        <v>28.420459999999999</v>
      </c>
      <c r="M28" s="151">
        <f>VLOOKUP(C28,coordMK!C:E,3,0)</f>
        <v>-81.578979000000004</v>
      </c>
      <c r="O28" s="133"/>
      <c r="R28" s="124">
        <v>16</v>
      </c>
      <c r="S28" s="130">
        <v>30</v>
      </c>
      <c r="T28" s="130">
        <v>65</v>
      </c>
      <c r="U28" s="130">
        <v>40</v>
      </c>
      <c r="V28" s="130">
        <v>10</v>
      </c>
      <c r="W28" s="130">
        <v>50</v>
      </c>
      <c r="X28" s="130">
        <v>20</v>
      </c>
      <c r="Y28" s="130">
        <v>60</v>
      </c>
      <c r="Z28" s="130">
        <v>10</v>
      </c>
      <c r="AA28" s="130">
        <v>50</v>
      </c>
      <c r="AB28" s="130">
        <v>40</v>
      </c>
      <c r="AC28" s="130">
        <v>130</v>
      </c>
      <c r="AD28" s="130">
        <v>70</v>
      </c>
      <c r="AE28" s="130">
        <v>35</v>
      </c>
      <c r="AF28" s="130">
        <v>35</v>
      </c>
      <c r="AG28" s="131">
        <v>25</v>
      </c>
    </row>
    <row r="29" spans="1:34">
      <c r="A29" s="124">
        <v>17</v>
      </c>
      <c r="B29" s="124">
        <v>7</v>
      </c>
      <c r="C29" s="94" t="str">
        <f t="shared" si="3"/>
        <v>jungle-cruise</v>
      </c>
      <c r="D29" s="94">
        <f t="shared" si="6"/>
        <v>0.12954502942200619</v>
      </c>
      <c r="E29" s="83">
        <f t="shared" si="7"/>
        <v>0.12954502942200619</v>
      </c>
      <c r="F29" s="78">
        <f t="shared" si="4"/>
        <v>3.7735849056603772E-2</v>
      </c>
      <c r="G29" s="83">
        <f t="shared" si="8"/>
        <v>433.02117322658597</v>
      </c>
      <c r="H29" s="79">
        <f t="shared" si="5"/>
        <v>30</v>
      </c>
      <c r="I29" s="12">
        <v>1</v>
      </c>
      <c r="J29" s="8">
        <v>1</v>
      </c>
      <c r="K29" s="39">
        <v>17</v>
      </c>
      <c r="L29" s="150">
        <f>VLOOKUP(C29,coordMK!C:E,2,0)</f>
        <v>28.418016000000001</v>
      </c>
      <c r="M29" s="151">
        <f>VLOOKUP(C29,coordMK!C:E,3,0)</f>
        <v>-81.583437000000004</v>
      </c>
      <c r="R29" s="124">
        <v>17</v>
      </c>
      <c r="S29" s="130">
        <v>30</v>
      </c>
      <c r="T29" s="130">
        <v>45</v>
      </c>
      <c r="U29" s="130">
        <v>40</v>
      </c>
      <c r="V29" s="130">
        <v>15</v>
      </c>
      <c r="W29" s="130">
        <v>45</v>
      </c>
      <c r="X29" s="130">
        <v>35</v>
      </c>
      <c r="Y29" s="130">
        <v>30</v>
      </c>
      <c r="Z29" s="130">
        <v>10</v>
      </c>
      <c r="AA29" s="130">
        <v>50</v>
      </c>
      <c r="AB29" s="130">
        <v>40</v>
      </c>
      <c r="AC29" s="130">
        <v>110</v>
      </c>
      <c r="AD29" s="130">
        <v>60</v>
      </c>
      <c r="AE29" s="130">
        <v>30</v>
      </c>
      <c r="AF29" s="130">
        <v>50</v>
      </c>
      <c r="AG29" s="131">
        <v>25</v>
      </c>
    </row>
    <row r="30" spans="1:34">
      <c r="A30" s="124">
        <v>18</v>
      </c>
      <c r="B30" s="124">
        <v>1</v>
      </c>
      <c r="C30" s="94" t="str">
        <f t="shared" si="3"/>
        <v>astro-orbiter</v>
      </c>
      <c r="D30" s="94">
        <f t="shared" si="6"/>
        <v>0.12744797941958427</v>
      </c>
      <c r="E30" s="83">
        <f t="shared" si="7"/>
        <v>0.12744797941958427</v>
      </c>
      <c r="F30" s="78">
        <f t="shared" si="4"/>
        <v>4.0540540540540543E-2</v>
      </c>
      <c r="G30" s="83">
        <f t="shared" si="8"/>
        <v>398.14575455830294</v>
      </c>
      <c r="H30" s="79">
        <f t="shared" si="5"/>
        <v>15</v>
      </c>
      <c r="I30" s="12">
        <v>1</v>
      </c>
      <c r="J30" s="8">
        <v>1</v>
      </c>
      <c r="K30" s="39">
        <v>18</v>
      </c>
      <c r="L30" s="150">
        <f>VLOOKUP(C30,coordMK!C:E,2,0)</f>
        <v>28.418493000000002</v>
      </c>
      <c r="M30" s="151">
        <f>VLOOKUP(C30,coordMK!C:E,3,0)</f>
        <v>-81.579230999999993</v>
      </c>
      <c r="R30" s="124">
        <v>18</v>
      </c>
      <c r="S30" s="130">
        <v>15</v>
      </c>
      <c r="T30" s="130">
        <v>50</v>
      </c>
      <c r="U30" s="130">
        <v>45</v>
      </c>
      <c r="V30" s="130">
        <v>20</v>
      </c>
      <c r="W30" s="130">
        <v>35</v>
      </c>
      <c r="X30" s="130">
        <v>35</v>
      </c>
      <c r="Y30" s="130">
        <v>40</v>
      </c>
      <c r="Z30" s="130">
        <v>15</v>
      </c>
      <c r="AA30" s="130">
        <v>75</v>
      </c>
      <c r="AB30" s="130">
        <v>30</v>
      </c>
      <c r="AC30" s="130">
        <v>85</v>
      </c>
      <c r="AD30" s="130">
        <v>60</v>
      </c>
      <c r="AE30" s="130">
        <v>20</v>
      </c>
      <c r="AF30" s="130">
        <v>30</v>
      </c>
      <c r="AG30" s="131">
        <v>20</v>
      </c>
    </row>
    <row r="31" spans="1:34">
      <c r="A31" s="124">
        <v>19</v>
      </c>
      <c r="B31" s="124">
        <v>8</v>
      </c>
      <c r="C31" s="94" t="str">
        <f t="shared" si="3"/>
        <v>monsters-inc-laugh-floor</v>
      </c>
      <c r="D31" s="94">
        <f t="shared" si="6"/>
        <v>0.10540237870618735</v>
      </c>
      <c r="E31" s="83">
        <f t="shared" si="7"/>
        <v>0.10540237870618735</v>
      </c>
      <c r="F31" s="78">
        <f t="shared" si="4"/>
        <v>2.9411764705882353E-2</v>
      </c>
      <c r="G31" s="83">
        <f t="shared" si="8"/>
        <v>294.34674965435448</v>
      </c>
      <c r="H31" s="79">
        <f t="shared" si="5"/>
        <v>5</v>
      </c>
      <c r="I31" s="12">
        <v>1</v>
      </c>
      <c r="J31" s="8">
        <v>1</v>
      </c>
      <c r="K31" s="39">
        <v>19</v>
      </c>
      <c r="L31" s="150">
        <f>VLOOKUP(C31,coordMK!C:E,2,0)</f>
        <v>28.418417000000002</v>
      </c>
      <c r="M31" s="151">
        <f>VLOOKUP(C31,coordMK!C:E,3,0)</f>
        <v>-81.579811000000007</v>
      </c>
      <c r="R31" s="124">
        <v>19</v>
      </c>
      <c r="S31" s="130">
        <v>15</v>
      </c>
      <c r="T31" s="130">
        <v>55</v>
      </c>
      <c r="U31" s="130">
        <v>40</v>
      </c>
      <c r="V31" s="130">
        <v>10</v>
      </c>
      <c r="W31" s="130">
        <v>40</v>
      </c>
      <c r="X31" s="130">
        <v>25</v>
      </c>
      <c r="Y31" s="130">
        <v>55</v>
      </c>
      <c r="Z31" s="130">
        <v>5</v>
      </c>
      <c r="AA31" s="130">
        <v>60</v>
      </c>
      <c r="AB31" s="130">
        <v>45</v>
      </c>
      <c r="AC31" s="130">
        <v>105</v>
      </c>
      <c r="AD31" s="130">
        <v>60</v>
      </c>
      <c r="AE31" s="130">
        <v>35</v>
      </c>
      <c r="AF31" s="130">
        <v>35</v>
      </c>
      <c r="AG31" s="131">
        <v>25</v>
      </c>
    </row>
    <row r="32" spans="1:34">
      <c r="A32" s="124">
        <v>20</v>
      </c>
      <c r="B32" s="124">
        <v>2</v>
      </c>
      <c r="C32" s="94" t="str">
        <f t="shared" si="3"/>
        <v>big-thunder-mountain-railroad</v>
      </c>
      <c r="D32" s="94">
        <f t="shared" si="6"/>
        <v>8.6180248540368515E-2</v>
      </c>
      <c r="E32" s="83">
        <f t="shared" si="7"/>
        <v>8.6180248540368515E-2</v>
      </c>
      <c r="F32" s="78">
        <f t="shared" si="4"/>
        <v>3.6231884057971016E-2</v>
      </c>
      <c r="G32" s="83">
        <f t="shared" si="8"/>
        <v>228.93534948956807</v>
      </c>
      <c r="H32" s="79">
        <f t="shared" si="5"/>
        <v>25</v>
      </c>
      <c r="I32" s="12">
        <v>1</v>
      </c>
      <c r="J32" s="8">
        <v>1</v>
      </c>
      <c r="K32" s="39">
        <v>20</v>
      </c>
      <c r="L32" s="150">
        <f>VLOOKUP(C32,coordMK!C:E,2,0)</f>
        <v>28.420021999999999</v>
      </c>
      <c r="M32" s="151">
        <f>VLOOKUP(C32,coordMK!C:E,3,0)</f>
        <v>-81.584692000000004</v>
      </c>
      <c r="R32" s="124">
        <v>20</v>
      </c>
      <c r="S32" s="130">
        <v>20</v>
      </c>
      <c r="T32" s="130">
        <v>25</v>
      </c>
      <c r="U32" s="130">
        <v>40</v>
      </c>
      <c r="V32" s="130">
        <v>15</v>
      </c>
      <c r="W32" s="130">
        <v>50</v>
      </c>
      <c r="X32" s="130">
        <v>25</v>
      </c>
      <c r="Y32" s="130">
        <v>50</v>
      </c>
      <c r="Z32" s="130">
        <v>15</v>
      </c>
      <c r="AA32" s="130">
        <v>55</v>
      </c>
      <c r="AB32" s="130">
        <v>45</v>
      </c>
      <c r="AC32" s="130">
        <v>85</v>
      </c>
      <c r="AD32" s="130">
        <v>60</v>
      </c>
      <c r="AE32" s="130">
        <v>30</v>
      </c>
      <c r="AF32" s="130">
        <v>35</v>
      </c>
      <c r="AG32" s="131">
        <v>40</v>
      </c>
    </row>
    <row r="33" spans="1:33">
      <c r="A33" s="124">
        <v>21</v>
      </c>
      <c r="B33" s="124">
        <v>10</v>
      </c>
      <c r="C33" s="94" t="str">
        <f t="shared" si="3"/>
        <v>pirates-of-the-caribbean</v>
      </c>
      <c r="D33" s="94">
        <f t="shared" si="6"/>
        <v>8.4539801494731906E-2</v>
      </c>
      <c r="E33" s="83">
        <f t="shared" si="7"/>
        <v>8.4539801494731906E-2</v>
      </c>
      <c r="F33" s="78">
        <f t="shared" si="4"/>
        <v>5.5555555555555552E-2</v>
      </c>
      <c r="G33" s="83">
        <f t="shared" si="8"/>
        <v>200.11373184634658</v>
      </c>
      <c r="H33" s="79">
        <f t="shared" si="5"/>
        <v>30</v>
      </c>
      <c r="I33" s="12">
        <v>1</v>
      </c>
      <c r="J33" s="8">
        <v>1</v>
      </c>
      <c r="K33" s="39">
        <v>21</v>
      </c>
      <c r="L33" s="150">
        <f>VLOOKUP(C33,coordMK!C:E,2,0)</f>
        <v>28.418123999999999</v>
      </c>
      <c r="M33" s="151">
        <f>VLOOKUP(C33,coordMK!C:E,3,0)</f>
        <v>-81.584284999999994</v>
      </c>
      <c r="R33" s="124">
        <v>21</v>
      </c>
      <c r="S33" s="130">
        <v>25</v>
      </c>
      <c r="T33" s="130">
        <v>45</v>
      </c>
      <c r="U33" s="130">
        <v>55</v>
      </c>
      <c r="V33" s="130">
        <v>25</v>
      </c>
      <c r="W33" s="130">
        <v>40</v>
      </c>
      <c r="X33" s="130">
        <v>20</v>
      </c>
      <c r="Y33" s="130">
        <v>65</v>
      </c>
      <c r="Z33" s="130">
        <v>10</v>
      </c>
      <c r="AA33" s="130">
        <v>65</v>
      </c>
      <c r="AB33" s="130">
        <v>30</v>
      </c>
      <c r="AC33" s="130">
        <v>115</v>
      </c>
      <c r="AD33" s="130">
        <v>60</v>
      </c>
      <c r="AE33" s="130">
        <v>35</v>
      </c>
      <c r="AF33" s="130">
        <v>25</v>
      </c>
      <c r="AG33" s="131">
        <v>30</v>
      </c>
    </row>
    <row r="34" spans="1:33" ht="15" thickBot="1">
      <c r="A34" s="132">
        <v>22</v>
      </c>
      <c r="B34" s="132">
        <v>13</v>
      </c>
      <c r="C34" s="97" t="str">
        <f t="shared" si="3"/>
        <v>splash-mountain</v>
      </c>
      <c r="D34" s="97">
        <f t="shared" si="6"/>
        <v>7.8110228117574121E-2</v>
      </c>
      <c r="E34" s="105">
        <f t="shared" si="7"/>
        <v>7.8110228117574121E-2</v>
      </c>
      <c r="F34" s="80">
        <f t="shared" si="4"/>
        <v>4.8192771084337352E-2</v>
      </c>
      <c r="G34" s="105">
        <f t="shared" si="8"/>
        <v>277.19471876766289</v>
      </c>
      <c r="H34" s="81">
        <f t="shared" si="5"/>
        <v>20</v>
      </c>
      <c r="I34" s="41">
        <v>1</v>
      </c>
      <c r="J34" s="16">
        <v>1</v>
      </c>
      <c r="K34" s="147">
        <v>22</v>
      </c>
      <c r="L34" s="152">
        <f>VLOOKUP(C34,coordMK!C:E,2,0)</f>
        <v>28.419139000000001</v>
      </c>
      <c r="M34" s="153">
        <f>VLOOKUP(C34,coordMK!C:E,3,0)</f>
        <v>-81.585058000000004</v>
      </c>
      <c r="R34" s="124">
        <v>22</v>
      </c>
      <c r="S34" s="130">
        <v>20</v>
      </c>
      <c r="T34" s="130">
        <v>50</v>
      </c>
      <c r="U34" s="130">
        <v>30</v>
      </c>
      <c r="V34" s="130">
        <v>25</v>
      </c>
      <c r="W34" s="130">
        <v>45</v>
      </c>
      <c r="X34" s="130">
        <v>20</v>
      </c>
      <c r="Y34" s="130">
        <v>70</v>
      </c>
      <c r="Z34" s="130">
        <v>10</v>
      </c>
      <c r="AA34" s="130">
        <v>75</v>
      </c>
      <c r="AB34" s="130">
        <v>45</v>
      </c>
      <c r="AC34" s="130">
        <v>105</v>
      </c>
      <c r="AD34" s="130">
        <v>65</v>
      </c>
      <c r="AE34" s="130">
        <v>20</v>
      </c>
      <c r="AF34" s="130">
        <v>35</v>
      </c>
      <c r="AG34" s="131">
        <v>25</v>
      </c>
    </row>
    <row r="35" spans="1:33" ht="15.75" thickBot="1">
      <c r="A35" s="7"/>
      <c r="B35" s="4"/>
      <c r="C35" s="4"/>
      <c r="D35" s="108">
        <f>SUM(D20:D34)</f>
        <v>1.2111608818181292</v>
      </c>
      <c r="F35" s="82">
        <f>SUM(F20:F34)</f>
        <v>0.59623219968457886</v>
      </c>
      <c r="G35" s="106">
        <f>SUM(G21:G34)</f>
        <v>3746.3219159963573</v>
      </c>
      <c r="H35" s="107">
        <f>SUM(H20:H34)</f>
        <v>330</v>
      </c>
      <c r="K35" s="82">
        <f>D35-SUM(D27:D30)</f>
        <v>0.7984306297658571</v>
      </c>
      <c r="R35" s="41"/>
      <c r="S35" s="109">
        <f>SUM(S20:S34)</f>
        <v>370</v>
      </c>
      <c r="T35" s="109">
        <f t="shared" ref="T35:AG35" si="9">SUM(T20:T34)</f>
        <v>690</v>
      </c>
      <c r="U35" s="109">
        <f t="shared" si="9"/>
        <v>580</v>
      </c>
      <c r="V35" s="109">
        <f t="shared" si="9"/>
        <v>300</v>
      </c>
      <c r="W35" s="109">
        <f t="shared" si="9"/>
        <v>625</v>
      </c>
      <c r="X35" s="109">
        <f t="shared" si="9"/>
        <v>275</v>
      </c>
      <c r="Y35" s="109">
        <f t="shared" si="9"/>
        <v>795</v>
      </c>
      <c r="Z35" s="109">
        <f t="shared" si="9"/>
        <v>170</v>
      </c>
      <c r="AA35" s="109">
        <f t="shared" si="9"/>
        <v>805</v>
      </c>
      <c r="AB35" s="109">
        <f t="shared" si="9"/>
        <v>540</v>
      </c>
      <c r="AC35" s="109">
        <f t="shared" si="9"/>
        <v>1265</v>
      </c>
      <c r="AD35" s="109">
        <f t="shared" si="9"/>
        <v>1015</v>
      </c>
      <c r="AE35" s="109">
        <f t="shared" si="9"/>
        <v>415</v>
      </c>
      <c r="AF35" s="109">
        <f t="shared" si="9"/>
        <v>415</v>
      </c>
      <c r="AG35" s="110">
        <f t="shared" si="9"/>
        <v>355</v>
      </c>
    </row>
    <row r="36" spans="1:33">
      <c r="C36" s="133" t="s">
        <v>3</v>
      </c>
      <c r="D36" s="134">
        <v>0</v>
      </c>
      <c r="F36" s="134">
        <v>1</v>
      </c>
      <c r="K36" s="82">
        <f>F35-SUM(F27:F30)</f>
        <v>0.41565695951272191</v>
      </c>
      <c r="R36" s="121" t="s">
        <v>7</v>
      </c>
      <c r="S36" s="119">
        <v>1</v>
      </c>
      <c r="T36" s="119">
        <v>2</v>
      </c>
      <c r="U36" s="119">
        <v>3</v>
      </c>
      <c r="V36" s="119">
        <v>4</v>
      </c>
      <c r="W36" s="119">
        <v>5</v>
      </c>
      <c r="X36" s="119">
        <v>6</v>
      </c>
      <c r="Y36" s="119">
        <v>7</v>
      </c>
      <c r="Z36" s="119">
        <v>8</v>
      </c>
      <c r="AA36" s="119">
        <v>9</v>
      </c>
      <c r="AB36" s="119">
        <v>10</v>
      </c>
      <c r="AC36" s="119">
        <v>11</v>
      </c>
      <c r="AD36" s="119">
        <v>12</v>
      </c>
      <c r="AE36" s="119">
        <v>13</v>
      </c>
      <c r="AF36" s="119">
        <v>14</v>
      </c>
      <c r="AG36" s="120">
        <v>15</v>
      </c>
    </row>
    <row r="37" spans="1:33" ht="15">
      <c r="L37" s="133" t="s">
        <v>31</v>
      </c>
      <c r="R37" s="124">
        <v>1</v>
      </c>
      <c r="S37" s="111">
        <f t="shared" ref="S37:AG51" si="10">B3*B$18</f>
        <v>0</v>
      </c>
      <c r="T37" s="78">
        <f t="shared" si="10"/>
        <v>35.41571747416252</v>
      </c>
      <c r="U37" s="78">
        <f t="shared" si="10"/>
        <v>75.235308449802986</v>
      </c>
      <c r="V37" s="78">
        <f t="shared" si="10"/>
        <v>243.12415046854716</v>
      </c>
      <c r="W37" s="78">
        <f t="shared" si="10"/>
        <v>285.38608101250298</v>
      </c>
      <c r="X37" s="78">
        <f t="shared" si="10"/>
        <v>289.17855867575389</v>
      </c>
      <c r="Y37" s="78">
        <f t="shared" si="10"/>
        <v>422.239931684601</v>
      </c>
      <c r="Z37" s="78">
        <f t="shared" si="10"/>
        <v>299.18469658294089</v>
      </c>
      <c r="AA37" s="78">
        <f t="shared" si="10"/>
        <v>294.34674965435448</v>
      </c>
      <c r="AB37" s="78">
        <f t="shared" si="10"/>
        <v>243.58872607986012</v>
      </c>
      <c r="AC37" s="78">
        <f t="shared" si="10"/>
        <v>203.00393542072791</v>
      </c>
      <c r="AD37" s="78">
        <f t="shared" si="10"/>
        <v>476.53795812918798</v>
      </c>
      <c r="AE37" s="78">
        <f t="shared" si="10"/>
        <v>166.24766329420822</v>
      </c>
      <c r="AF37" s="78">
        <f t="shared" si="10"/>
        <v>43.627434418712667</v>
      </c>
      <c r="AG37" s="79">
        <f t="shared" si="10"/>
        <v>235.9205617282789</v>
      </c>
    </row>
    <row r="38" spans="1:33" ht="15">
      <c r="C38" s="108">
        <f>D35*D36</f>
        <v>0</v>
      </c>
      <c r="E38" s="82">
        <f>F35*F36</f>
        <v>0.59623219968457886</v>
      </c>
      <c r="G38" s="133" t="s">
        <v>8</v>
      </c>
      <c r="H38" s="113">
        <f>E38+C38</f>
        <v>0.59623219968457886</v>
      </c>
      <c r="I38" s="4"/>
      <c r="J38" s="4"/>
      <c r="K38" s="4"/>
      <c r="L38" s="133" t="s">
        <v>32</v>
      </c>
      <c r="R38" s="124">
        <v>2</v>
      </c>
      <c r="S38" s="78">
        <f t="shared" si="10"/>
        <v>35.41571747416252</v>
      </c>
      <c r="T38" s="111">
        <f t="shared" si="10"/>
        <v>0</v>
      </c>
      <c r="U38" s="78">
        <f t="shared" si="10"/>
        <v>44.436335182955069</v>
      </c>
      <c r="V38" s="78">
        <f t="shared" si="10"/>
        <v>273.1282170184997</v>
      </c>
      <c r="W38" s="78">
        <f t="shared" si="10"/>
        <v>257.94215654492939</v>
      </c>
      <c r="X38" s="78">
        <f t="shared" si="10"/>
        <v>268.18432904191525</v>
      </c>
      <c r="Y38" s="78">
        <f t="shared" si="10"/>
        <v>398.14575455830294</v>
      </c>
      <c r="Z38" s="78">
        <f t="shared" si="10"/>
        <v>273.11509923526529</v>
      </c>
      <c r="AA38" s="78">
        <f t="shared" si="10"/>
        <v>263.58393767409399</v>
      </c>
      <c r="AB38" s="78">
        <f t="shared" si="10"/>
        <v>219.53121870866028</v>
      </c>
      <c r="AC38" s="78">
        <f t="shared" si="10"/>
        <v>200.11373184634658</v>
      </c>
      <c r="AD38" s="78">
        <f t="shared" si="10"/>
        <v>456.11462948302579</v>
      </c>
      <c r="AE38" s="78">
        <f t="shared" si="10"/>
        <v>199.21786127021554</v>
      </c>
      <c r="AF38" s="78">
        <f t="shared" si="10"/>
        <v>79.03822260954027</v>
      </c>
      <c r="AG38" s="79">
        <f t="shared" si="10"/>
        <v>201.14756751767686</v>
      </c>
    </row>
    <row r="39" spans="1:33" ht="15">
      <c r="R39" s="124">
        <v>3</v>
      </c>
      <c r="S39" s="78">
        <f t="shared" si="10"/>
        <v>75.235308449802986</v>
      </c>
      <c r="T39" s="78">
        <f t="shared" si="10"/>
        <v>44.436335182955069</v>
      </c>
      <c r="U39" s="111">
        <f t="shared" si="10"/>
        <v>0</v>
      </c>
      <c r="V39" s="78">
        <f t="shared" si="10"/>
        <v>291.68873208474383</v>
      </c>
      <c r="W39" s="78">
        <f t="shared" si="10"/>
        <v>213.54567105456346</v>
      </c>
      <c r="X39" s="78">
        <f t="shared" si="10"/>
        <v>226.12164826396045</v>
      </c>
      <c r="Y39" s="78">
        <f t="shared" si="10"/>
        <v>354.40223799523591</v>
      </c>
      <c r="Z39" s="78">
        <f t="shared" si="10"/>
        <v>228.93534948956807</v>
      </c>
      <c r="AA39" s="78">
        <f t="shared" si="10"/>
        <v>219.64957303895187</v>
      </c>
      <c r="AB39" s="78">
        <f t="shared" si="10"/>
        <v>176.13361760590166</v>
      </c>
      <c r="AC39" s="78">
        <f t="shared" si="10"/>
        <v>175.53810902631469</v>
      </c>
      <c r="AD39" s="78">
        <f t="shared" si="10"/>
        <v>413.86441663557724</v>
      </c>
      <c r="AE39" s="78">
        <f t="shared" si="10"/>
        <v>225.4098968763337</v>
      </c>
      <c r="AF39" s="78">
        <f t="shared" si="10"/>
        <v>117.05948454950835</v>
      </c>
      <c r="AG39" s="79">
        <f t="shared" si="10"/>
        <v>163.05880626550467</v>
      </c>
    </row>
    <row r="40" spans="1:33" ht="15">
      <c r="L40" s="4"/>
      <c r="M40" s="4"/>
      <c r="N40" s="4"/>
      <c r="O40" s="4"/>
      <c r="P40" s="4"/>
      <c r="Q40" s="4"/>
      <c r="R40" s="124">
        <v>4</v>
      </c>
      <c r="S40" s="78">
        <f t="shared" si="10"/>
        <v>243.12415046854716</v>
      </c>
      <c r="T40" s="78">
        <f t="shared" si="10"/>
        <v>273.1282170184997</v>
      </c>
      <c r="U40" s="78">
        <f t="shared" si="10"/>
        <v>291.68873208474383</v>
      </c>
      <c r="V40" s="111">
        <f t="shared" si="10"/>
        <v>0</v>
      </c>
      <c r="W40" s="78">
        <f t="shared" si="10"/>
        <v>430.58523917795361</v>
      </c>
      <c r="X40" s="78">
        <f t="shared" si="10"/>
        <v>393.65678799828748</v>
      </c>
      <c r="Y40" s="78">
        <f t="shared" si="10"/>
        <v>523.92586826058493</v>
      </c>
      <c r="Z40" s="78">
        <f t="shared" si="10"/>
        <v>433.02117322658597</v>
      </c>
      <c r="AA40" s="78">
        <f t="shared" si="10"/>
        <v>460.99990848306379</v>
      </c>
      <c r="AB40" s="78">
        <f t="shared" si="10"/>
        <v>377.39239285121084</v>
      </c>
      <c r="AC40" s="78">
        <f t="shared" si="10"/>
        <v>243.50268764516565</v>
      </c>
      <c r="AD40" s="78">
        <f t="shared" si="10"/>
        <v>545.19424297983869</v>
      </c>
      <c r="AE40" s="78">
        <f t="shared" si="10"/>
        <v>85.530866119049492</v>
      </c>
      <c r="AF40" s="78">
        <f t="shared" si="10"/>
        <v>209.16282830150311</v>
      </c>
      <c r="AG40" s="79">
        <f t="shared" si="10"/>
        <v>443.65343531531397</v>
      </c>
    </row>
    <row r="41" spans="1:33" ht="15">
      <c r="C41" s="133" t="s">
        <v>64</v>
      </c>
      <c r="G41" s="82">
        <f>G35*3</f>
        <v>11238.965747989072</v>
      </c>
      <c r="R41" s="124">
        <v>5</v>
      </c>
      <c r="S41" s="78">
        <f t="shared" si="10"/>
        <v>285.38608101250298</v>
      </c>
      <c r="T41" s="78">
        <f t="shared" si="10"/>
        <v>257.94215654492939</v>
      </c>
      <c r="U41" s="78">
        <f t="shared" si="10"/>
        <v>213.54567105456346</v>
      </c>
      <c r="V41" s="78">
        <f t="shared" si="10"/>
        <v>430.58523917795367</v>
      </c>
      <c r="W41" s="111">
        <f t="shared" si="10"/>
        <v>0</v>
      </c>
      <c r="X41" s="78">
        <f t="shared" si="10"/>
        <v>69.455125502039664</v>
      </c>
      <c r="Y41" s="78">
        <f t="shared" si="10"/>
        <v>146.08932876096961</v>
      </c>
      <c r="Z41" s="78">
        <f t="shared" si="10"/>
        <v>21.968778976333269</v>
      </c>
      <c r="AA41" s="78">
        <f t="shared" si="10"/>
        <v>46.120406617537434</v>
      </c>
      <c r="AB41" s="78">
        <f t="shared" si="10"/>
        <v>53.252802281154523</v>
      </c>
      <c r="AC41" s="78">
        <f t="shared" si="10"/>
        <v>196.18586926043142</v>
      </c>
      <c r="AD41" s="78">
        <f t="shared" si="10"/>
        <v>217.34893875517616</v>
      </c>
      <c r="AE41" s="78">
        <f t="shared" si="10"/>
        <v>394.82939421009377</v>
      </c>
      <c r="AF41" s="78">
        <f t="shared" si="10"/>
        <v>321.85836784012554</v>
      </c>
      <c r="AG41" s="79">
        <f t="shared" si="10"/>
        <v>130.10141514607648</v>
      </c>
    </row>
    <row r="42" spans="1:33" ht="15">
      <c r="C42" s="133" t="s">
        <v>65</v>
      </c>
      <c r="G42" s="82">
        <f>G41/5280</f>
        <v>2.128591997725203</v>
      </c>
      <c r="R42" s="124">
        <v>6</v>
      </c>
      <c r="S42" s="78">
        <f t="shared" si="10"/>
        <v>289.17855867575389</v>
      </c>
      <c r="T42" s="78">
        <f t="shared" si="10"/>
        <v>268.18432904191525</v>
      </c>
      <c r="U42" s="78">
        <f t="shared" si="10"/>
        <v>226.12164826396042</v>
      </c>
      <c r="V42" s="78">
        <f t="shared" si="10"/>
        <v>393.6567879982876</v>
      </c>
      <c r="W42" s="78">
        <f t="shared" si="10"/>
        <v>69.455125502039664</v>
      </c>
      <c r="X42" s="111">
        <f t="shared" si="10"/>
        <v>0</v>
      </c>
      <c r="Y42" s="78">
        <f t="shared" si="10"/>
        <v>137.10365996034804</v>
      </c>
      <c r="Z42" s="78">
        <f t="shared" si="10"/>
        <v>54.816916820998742</v>
      </c>
      <c r="AA42" s="78">
        <f t="shared" si="10"/>
        <v>115.54084629340072</v>
      </c>
      <c r="AB42" s="78">
        <f t="shared" si="10"/>
        <v>55.115949607657377</v>
      </c>
      <c r="AC42" s="78">
        <f t="shared" si="10"/>
        <v>150.6555634966613</v>
      </c>
      <c r="AD42" s="78">
        <f t="shared" si="10"/>
        <v>187.93059434003794</v>
      </c>
      <c r="AE42" s="78">
        <f t="shared" si="10"/>
        <v>370.49370442246158</v>
      </c>
      <c r="AF42" s="78">
        <f t="shared" si="10"/>
        <v>319.2524065418915</v>
      </c>
      <c r="AG42" s="79">
        <f t="shared" si="10"/>
        <v>189.22843379725697</v>
      </c>
    </row>
    <row r="43" spans="1:33" ht="15">
      <c r="C43" s="133" t="s">
        <v>66</v>
      </c>
      <c r="G43" s="82">
        <f>H35/60</f>
        <v>5.5</v>
      </c>
      <c r="R43" s="124">
        <v>7</v>
      </c>
      <c r="S43" s="78">
        <f t="shared" si="10"/>
        <v>422.239931684601</v>
      </c>
      <c r="T43" s="78">
        <f t="shared" si="10"/>
        <v>398.14575455830294</v>
      </c>
      <c r="U43" s="78">
        <f t="shared" si="10"/>
        <v>354.40223799523591</v>
      </c>
      <c r="V43" s="78">
        <f t="shared" si="10"/>
        <v>523.92586826058493</v>
      </c>
      <c r="W43" s="78">
        <f t="shared" si="10"/>
        <v>146.08932876096961</v>
      </c>
      <c r="X43" s="78">
        <f t="shared" si="10"/>
        <v>137.10365996034804</v>
      </c>
      <c r="Y43" s="111">
        <f t="shared" si="10"/>
        <v>0</v>
      </c>
      <c r="Z43" s="78">
        <f t="shared" si="10"/>
        <v>127.04302098859857</v>
      </c>
      <c r="AA43" s="78">
        <f t="shared" si="10"/>
        <v>166.51786372548233</v>
      </c>
      <c r="AB43" s="78">
        <f t="shared" si="10"/>
        <v>178.79249083232054</v>
      </c>
      <c r="AC43" s="78">
        <f t="shared" si="10"/>
        <v>281.09763747137629</v>
      </c>
      <c r="AD43" s="78">
        <f t="shared" si="10"/>
        <v>80.985227741250185</v>
      </c>
      <c r="AE43" s="78">
        <f t="shared" si="10"/>
        <v>506.44970871063845</v>
      </c>
      <c r="AF43" s="78">
        <f t="shared" si="10"/>
        <v>454.60608976349619</v>
      </c>
      <c r="AG43" s="79">
        <f t="shared" si="10"/>
        <v>266.95448741353545</v>
      </c>
    </row>
    <row r="44" spans="1:33" ht="15">
      <c r="C44" s="133" t="s">
        <v>67</v>
      </c>
      <c r="R44" s="124">
        <v>8</v>
      </c>
      <c r="S44" s="78">
        <f t="shared" si="10"/>
        <v>299.18469658294089</v>
      </c>
      <c r="T44" s="78">
        <f t="shared" si="10"/>
        <v>273.11509923526529</v>
      </c>
      <c r="U44" s="78">
        <f t="shared" si="10"/>
        <v>228.93534948956807</v>
      </c>
      <c r="V44" s="78">
        <f t="shared" si="10"/>
        <v>433.02117322658592</v>
      </c>
      <c r="W44" s="78">
        <f t="shared" si="10"/>
        <v>21.968778976333269</v>
      </c>
      <c r="X44" s="78">
        <f t="shared" si="10"/>
        <v>54.816916820998742</v>
      </c>
      <c r="Y44" s="78">
        <f t="shared" si="10"/>
        <v>127.04302098859856</v>
      </c>
      <c r="Z44" s="111">
        <f t="shared" si="10"/>
        <v>0</v>
      </c>
      <c r="AA44" s="78">
        <f t="shared" si="10"/>
        <v>63.794208341811625</v>
      </c>
      <c r="AB44" s="78">
        <f t="shared" si="10"/>
        <v>58.440074323805938</v>
      </c>
      <c r="AC44" s="78">
        <f t="shared" si="10"/>
        <v>194.30568622833707</v>
      </c>
      <c r="AD44" s="78">
        <f t="shared" si="10"/>
        <v>196.24129880676139</v>
      </c>
      <c r="AE44" s="78">
        <f t="shared" si="10"/>
        <v>401.34210495569926</v>
      </c>
      <c r="AF44" s="78">
        <f t="shared" si="10"/>
        <v>334.23445421028055</v>
      </c>
      <c r="AG44" s="79">
        <f t="shared" si="10"/>
        <v>152.05756119461753</v>
      </c>
    </row>
    <row r="45" spans="1:33" ht="15">
      <c r="C45" s="133" t="s">
        <v>68</v>
      </c>
      <c r="R45" s="124">
        <v>9</v>
      </c>
      <c r="S45" s="78">
        <f t="shared" si="10"/>
        <v>294.34674965435448</v>
      </c>
      <c r="T45" s="78">
        <f t="shared" si="10"/>
        <v>263.58393767409399</v>
      </c>
      <c r="U45" s="78">
        <f t="shared" si="10"/>
        <v>219.64957303895184</v>
      </c>
      <c r="V45" s="78">
        <f t="shared" si="10"/>
        <v>460.99990848306379</v>
      </c>
      <c r="W45" s="78">
        <f t="shared" si="10"/>
        <v>46.120406617537441</v>
      </c>
      <c r="X45" s="78">
        <f t="shared" si="10"/>
        <v>115.54084629340073</v>
      </c>
      <c r="Y45" s="78">
        <f t="shared" si="10"/>
        <v>166.51786372548233</v>
      </c>
      <c r="Z45" s="78">
        <f t="shared" si="10"/>
        <v>63.794208341811625</v>
      </c>
      <c r="AA45" s="111">
        <f t="shared" si="10"/>
        <v>0</v>
      </c>
      <c r="AB45" s="78">
        <f t="shared" si="10"/>
        <v>90.664956666995778</v>
      </c>
      <c r="AC45" s="78">
        <f t="shared" si="10"/>
        <v>234.26543137137054</v>
      </c>
      <c r="AD45" s="78">
        <f t="shared" si="10"/>
        <v>244.21262443256944</v>
      </c>
      <c r="AE45" s="78">
        <f t="shared" si="10"/>
        <v>418.58691675179392</v>
      </c>
      <c r="AF45" s="78">
        <f t="shared" si="10"/>
        <v>333.91043574757589</v>
      </c>
      <c r="AG45" s="79">
        <f t="shared" si="10"/>
        <v>100.53876287995733</v>
      </c>
    </row>
    <row r="46" spans="1:33" ht="15">
      <c r="R46" s="124">
        <v>10</v>
      </c>
      <c r="S46" s="78">
        <f t="shared" si="10"/>
        <v>243.58872607986009</v>
      </c>
      <c r="T46" s="78">
        <f t="shared" si="10"/>
        <v>219.53121870866028</v>
      </c>
      <c r="U46" s="78">
        <f t="shared" si="10"/>
        <v>176.13361760590169</v>
      </c>
      <c r="V46" s="78">
        <f t="shared" si="10"/>
        <v>377.39239285121084</v>
      </c>
      <c r="W46" s="78">
        <f t="shared" si="10"/>
        <v>53.252802281154523</v>
      </c>
      <c r="X46" s="78">
        <f t="shared" si="10"/>
        <v>55.11594960765737</v>
      </c>
      <c r="Y46" s="78">
        <f t="shared" si="10"/>
        <v>178.79249083232051</v>
      </c>
      <c r="Z46" s="78">
        <f t="shared" si="10"/>
        <v>58.440074323805938</v>
      </c>
      <c r="AA46" s="78">
        <f t="shared" si="10"/>
        <v>90.664956666995778</v>
      </c>
      <c r="AB46" s="111">
        <f t="shared" si="10"/>
        <v>0</v>
      </c>
      <c r="AC46" s="78">
        <f t="shared" si="10"/>
        <v>144.14840241197871</v>
      </c>
      <c r="AD46" s="78">
        <f t="shared" si="10"/>
        <v>238.93956076898075</v>
      </c>
      <c r="AE46" s="78">
        <f t="shared" si="10"/>
        <v>343.23800472175242</v>
      </c>
      <c r="AF46" s="78">
        <f t="shared" si="10"/>
        <v>277.19471876766289</v>
      </c>
      <c r="AG46" s="79">
        <f t="shared" si="10"/>
        <v>140.34652822183338</v>
      </c>
    </row>
    <row r="47" spans="1:33" ht="15">
      <c r="R47" s="124">
        <v>11</v>
      </c>
      <c r="S47" s="78">
        <f t="shared" si="10"/>
        <v>203.00393542072791</v>
      </c>
      <c r="T47" s="78">
        <f t="shared" si="10"/>
        <v>200.11373184634658</v>
      </c>
      <c r="U47" s="78">
        <f t="shared" si="10"/>
        <v>175.53810902631469</v>
      </c>
      <c r="V47" s="78">
        <f t="shared" si="10"/>
        <v>243.50268764516565</v>
      </c>
      <c r="W47" s="78">
        <f t="shared" si="10"/>
        <v>196.18586926043142</v>
      </c>
      <c r="X47" s="78">
        <f t="shared" si="10"/>
        <v>150.6555634966613</v>
      </c>
      <c r="Y47" s="78">
        <f t="shared" si="10"/>
        <v>281.09763747137629</v>
      </c>
      <c r="Z47" s="78">
        <f t="shared" si="10"/>
        <v>194.30568622833701</v>
      </c>
      <c r="AA47" s="78">
        <f t="shared" si="10"/>
        <v>234.26543137137054</v>
      </c>
      <c r="AB47" s="78">
        <f t="shared" si="10"/>
        <v>144.14840241197871</v>
      </c>
      <c r="AC47" s="111">
        <f t="shared" si="10"/>
        <v>0</v>
      </c>
      <c r="AD47" s="78">
        <f t="shared" si="10"/>
        <v>310.40995171196965</v>
      </c>
      <c r="AE47" s="78">
        <f t="shared" si="10"/>
        <v>229.52406256746684</v>
      </c>
      <c r="AF47" s="78">
        <f t="shared" si="10"/>
        <v>215.60524896378325</v>
      </c>
      <c r="AG47" s="79">
        <f t="shared" si="10"/>
        <v>253.90774206554249</v>
      </c>
    </row>
    <row r="48" spans="1:33" ht="15">
      <c r="R48" s="124">
        <v>12</v>
      </c>
      <c r="S48" s="78">
        <f t="shared" si="10"/>
        <v>476.53795812918798</v>
      </c>
      <c r="T48" s="78">
        <f t="shared" si="10"/>
        <v>456.11462948302579</v>
      </c>
      <c r="U48" s="78">
        <f t="shared" si="10"/>
        <v>413.86441663557724</v>
      </c>
      <c r="V48" s="78">
        <f t="shared" si="10"/>
        <v>545.19424297983869</v>
      </c>
      <c r="W48" s="78">
        <f t="shared" si="10"/>
        <v>217.34893875517614</v>
      </c>
      <c r="X48" s="78">
        <f t="shared" si="10"/>
        <v>187.93059434003794</v>
      </c>
      <c r="Y48" s="78">
        <f t="shared" si="10"/>
        <v>80.985227741250185</v>
      </c>
      <c r="Z48" s="78">
        <f t="shared" si="10"/>
        <v>196.24129880676142</v>
      </c>
      <c r="AA48" s="78">
        <f t="shared" si="10"/>
        <v>244.21262443256944</v>
      </c>
      <c r="AB48" s="78">
        <f t="shared" si="10"/>
        <v>238.93956076898075</v>
      </c>
      <c r="AC48" s="78">
        <f t="shared" si="10"/>
        <v>310.40995171196965</v>
      </c>
      <c r="AD48" s="111">
        <f t="shared" si="10"/>
        <v>0</v>
      </c>
      <c r="AE48" s="78">
        <f t="shared" si="10"/>
        <v>539.93396275766452</v>
      </c>
      <c r="AF48" s="78">
        <f t="shared" si="10"/>
        <v>504.71867173682426</v>
      </c>
      <c r="AG48" s="79">
        <f t="shared" si="10"/>
        <v>343.71766130424044</v>
      </c>
    </row>
    <row r="49" spans="18:33" ht="15">
      <c r="R49" s="124">
        <v>13</v>
      </c>
      <c r="S49" s="78">
        <f t="shared" si="10"/>
        <v>166.24766329420825</v>
      </c>
      <c r="T49" s="78">
        <f t="shared" si="10"/>
        <v>199.21786127021554</v>
      </c>
      <c r="U49" s="78">
        <f t="shared" si="10"/>
        <v>225.4098968763337</v>
      </c>
      <c r="V49" s="78">
        <f t="shared" si="10"/>
        <v>85.530866119049492</v>
      </c>
      <c r="W49" s="78">
        <f t="shared" si="10"/>
        <v>394.82939421009377</v>
      </c>
      <c r="X49" s="78">
        <f t="shared" si="10"/>
        <v>370.49370442246152</v>
      </c>
      <c r="Y49" s="78">
        <f t="shared" si="10"/>
        <v>506.44970871063845</v>
      </c>
      <c r="Z49" s="78">
        <f t="shared" si="10"/>
        <v>401.34210495569931</v>
      </c>
      <c r="AA49" s="78">
        <f t="shared" si="10"/>
        <v>418.58691675179392</v>
      </c>
      <c r="AB49" s="78">
        <f t="shared" si="10"/>
        <v>343.23800472175242</v>
      </c>
      <c r="AC49" s="78">
        <f t="shared" si="10"/>
        <v>229.52406256746684</v>
      </c>
      <c r="AD49" s="78">
        <f t="shared" si="10"/>
        <v>539.93396275766452</v>
      </c>
      <c r="AE49" s="111">
        <f t="shared" si="10"/>
        <v>0</v>
      </c>
      <c r="AF49" s="78">
        <f t="shared" si="10"/>
        <v>127.97216072056759</v>
      </c>
      <c r="AG49" s="79">
        <f t="shared" si="10"/>
        <v>385.50102343587747</v>
      </c>
    </row>
    <row r="50" spans="18:33" ht="15">
      <c r="R50" s="124">
        <v>14</v>
      </c>
      <c r="S50" s="78">
        <f t="shared" si="10"/>
        <v>43.627434418712667</v>
      </c>
      <c r="T50" s="78">
        <f t="shared" si="10"/>
        <v>79.03822260954027</v>
      </c>
      <c r="U50" s="78">
        <f t="shared" si="10"/>
        <v>117.05948454950837</v>
      </c>
      <c r="V50" s="78">
        <f t="shared" si="10"/>
        <v>209.16282830150308</v>
      </c>
      <c r="W50" s="78">
        <f t="shared" si="10"/>
        <v>321.85836784012554</v>
      </c>
      <c r="X50" s="78">
        <f t="shared" si="10"/>
        <v>319.2524065418915</v>
      </c>
      <c r="Y50" s="78">
        <f t="shared" si="10"/>
        <v>454.60608976349624</v>
      </c>
      <c r="Z50" s="78">
        <f t="shared" si="10"/>
        <v>334.23445421028055</v>
      </c>
      <c r="AA50" s="78">
        <f t="shared" si="10"/>
        <v>333.91043574757589</v>
      </c>
      <c r="AB50" s="78">
        <f t="shared" si="10"/>
        <v>277.19471876766289</v>
      </c>
      <c r="AC50" s="78">
        <f t="shared" si="10"/>
        <v>215.60524896378325</v>
      </c>
      <c r="AD50" s="78">
        <f t="shared" si="10"/>
        <v>504.71867173682426</v>
      </c>
      <c r="AE50" s="78">
        <f t="shared" si="10"/>
        <v>127.9721607205676</v>
      </c>
      <c r="AF50" s="111">
        <f t="shared" si="10"/>
        <v>0</v>
      </c>
      <c r="AG50" s="79">
        <f t="shared" si="10"/>
        <v>279.11449624635367</v>
      </c>
    </row>
    <row r="51" spans="18:33" ht="15.75" thickBot="1">
      <c r="R51" s="132">
        <v>15</v>
      </c>
      <c r="S51" s="80">
        <f t="shared" si="10"/>
        <v>235.92056172827887</v>
      </c>
      <c r="T51" s="80">
        <f t="shared" si="10"/>
        <v>201.14756751767686</v>
      </c>
      <c r="U51" s="80">
        <f t="shared" si="10"/>
        <v>163.05880626550467</v>
      </c>
      <c r="V51" s="80">
        <f t="shared" si="10"/>
        <v>443.65343531531397</v>
      </c>
      <c r="W51" s="80">
        <f t="shared" si="10"/>
        <v>130.10141514607648</v>
      </c>
      <c r="X51" s="80">
        <f t="shared" si="10"/>
        <v>189.22843379725694</v>
      </c>
      <c r="Y51" s="80">
        <f t="shared" si="10"/>
        <v>266.95448741353545</v>
      </c>
      <c r="Z51" s="80">
        <f t="shared" si="10"/>
        <v>152.05756119461753</v>
      </c>
      <c r="AA51" s="80">
        <f t="shared" si="10"/>
        <v>100.53876287995732</v>
      </c>
      <c r="AB51" s="80">
        <f t="shared" si="10"/>
        <v>140.34652822183338</v>
      </c>
      <c r="AC51" s="80">
        <f t="shared" si="10"/>
        <v>253.90774206554252</v>
      </c>
      <c r="AD51" s="80">
        <f t="shared" si="10"/>
        <v>343.71766130424044</v>
      </c>
      <c r="AE51" s="80">
        <f t="shared" si="10"/>
        <v>385.50102343587747</v>
      </c>
      <c r="AF51" s="80">
        <f t="shared" si="10"/>
        <v>279.11449624635367</v>
      </c>
      <c r="AG51" s="112">
        <f t="shared" si="10"/>
        <v>0</v>
      </c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6A3DC7-4B1E-41BB-A374-E22794B4974E}">
  <dimension ref="A1:AH51"/>
  <sheetViews>
    <sheetView topLeftCell="A15" workbookViewId="0">
      <selection activeCell="M19" sqref="A19:M34"/>
    </sheetView>
  </sheetViews>
  <sheetFormatPr defaultRowHeight="14.25"/>
  <cols>
    <col min="1" max="1" width="11.625" bestFit="1" customWidth="1"/>
    <col min="2" max="2" width="14.75" bestFit="1" customWidth="1"/>
    <col min="3" max="3" width="18.5" customWidth="1"/>
    <col min="4" max="4" width="7.625" customWidth="1"/>
    <col min="5" max="5" width="7.75" bestFit="1" customWidth="1"/>
    <col min="6" max="6" width="9.75" customWidth="1"/>
    <col min="7" max="7" width="7.875" customWidth="1"/>
    <col min="8" max="8" width="8" customWidth="1"/>
    <col min="9" max="12" width="7.375" bestFit="1" customWidth="1"/>
    <col min="13" max="13" width="7.625" customWidth="1"/>
    <col min="14" max="16" width="7.375" bestFit="1" customWidth="1"/>
    <col min="17" max="17" width="37.875" bestFit="1" customWidth="1"/>
    <col min="18" max="18" width="18.25" customWidth="1"/>
    <col min="19" max="19" width="12.75" bestFit="1" customWidth="1"/>
    <col min="20" max="34" width="6.125" customWidth="1"/>
    <col min="35" max="35" width="15.75" bestFit="1" customWidth="1"/>
  </cols>
  <sheetData>
    <row r="1" spans="1:34" ht="48.75" customHeight="1" thickBot="1">
      <c r="A1" s="125" t="s">
        <v>41</v>
      </c>
      <c r="B1" s="116" t="s">
        <v>5</v>
      </c>
      <c r="C1" s="25"/>
      <c r="D1" s="25"/>
      <c r="E1" s="25"/>
      <c r="F1" s="25"/>
      <c r="G1" s="25"/>
      <c r="H1" s="25"/>
      <c r="I1" s="25"/>
      <c r="J1" s="25"/>
      <c r="K1" s="25"/>
      <c r="L1" s="25"/>
      <c r="M1" s="25"/>
      <c r="N1" s="25"/>
      <c r="O1" s="25"/>
      <c r="P1" s="25"/>
      <c r="Q1" s="117" t="s">
        <v>40</v>
      </c>
      <c r="R1" s="117" t="s">
        <v>11</v>
      </c>
      <c r="S1" s="118" t="s">
        <v>6</v>
      </c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</row>
    <row r="2" spans="1:34">
      <c r="A2" s="121" t="s">
        <v>5</v>
      </c>
      <c r="B2" s="119">
        <v>1</v>
      </c>
      <c r="C2" s="119">
        <v>2</v>
      </c>
      <c r="D2" s="119">
        <v>3</v>
      </c>
      <c r="E2" s="119">
        <v>4</v>
      </c>
      <c r="F2" s="119">
        <v>5</v>
      </c>
      <c r="G2" s="119">
        <v>6</v>
      </c>
      <c r="H2" s="119">
        <v>7</v>
      </c>
      <c r="I2" s="119">
        <v>8</v>
      </c>
      <c r="J2" s="119">
        <v>9</v>
      </c>
      <c r="K2" s="119">
        <v>10</v>
      </c>
      <c r="L2" s="119">
        <v>11</v>
      </c>
      <c r="M2" s="119">
        <v>12</v>
      </c>
      <c r="N2" s="119">
        <v>13</v>
      </c>
      <c r="O2" s="119">
        <v>14</v>
      </c>
      <c r="P2" s="120">
        <v>15</v>
      </c>
      <c r="R2" s="121" t="s">
        <v>12</v>
      </c>
      <c r="S2" s="119">
        <v>1</v>
      </c>
      <c r="T2" s="119">
        <v>2</v>
      </c>
      <c r="U2" s="119">
        <v>3</v>
      </c>
      <c r="V2" s="119">
        <v>4</v>
      </c>
      <c r="W2" s="119">
        <v>5</v>
      </c>
      <c r="X2" s="119">
        <v>6</v>
      </c>
      <c r="Y2" s="119">
        <v>7</v>
      </c>
      <c r="Z2" s="119">
        <v>8</v>
      </c>
      <c r="AA2" s="119">
        <v>9</v>
      </c>
      <c r="AB2" s="119">
        <v>10</v>
      </c>
      <c r="AC2" s="119">
        <v>11</v>
      </c>
      <c r="AD2" s="119">
        <v>12</v>
      </c>
      <c r="AE2" s="119">
        <v>13</v>
      </c>
      <c r="AF2" s="119">
        <v>14</v>
      </c>
      <c r="AG2" s="120">
        <v>15</v>
      </c>
      <c r="AH2" s="122" t="s">
        <v>13</v>
      </c>
    </row>
    <row r="3" spans="1:34" ht="15.75" customHeight="1">
      <c r="A3" s="124">
        <v>1</v>
      </c>
      <c r="B3" s="72">
        <f>(getDistance(coord!C1,coord!D1,coord!$C$1,coord!$D$1)*1000)/$B$18</f>
        <v>0</v>
      </c>
      <c r="C3" s="73">
        <f>(getDistance(coord!C1,coord!D1,coord!$C$2,coord!$D$2)*1000)/$C$18</f>
        <v>1.117527131493248E-2</v>
      </c>
      <c r="D3" s="73">
        <f>(getDistance(coord!$C1,coord!$D1,coord!$C$3,coord!$D$3)*1000)/$D$18</f>
        <v>2.5720776653345583E-2</v>
      </c>
      <c r="E3" s="73">
        <f>(getDistance(coord!$C1,coord!$D1,coord!$C$4,coord!$D$4)*1000)/$E$18</f>
        <v>4.9070720717916162E-2</v>
      </c>
      <c r="F3" s="73">
        <f>(getDistance(coord!$C1,coord!$D1,coord!$C$5,coord!$D$5)*1000)/$F$18</f>
        <v>0.10248471975285137</v>
      </c>
      <c r="G3" s="73">
        <f>(getDistance(coord!$C1,coord!$D1,coord!$C$6,coord!$D$6)*1000)/$G$18</f>
        <v>0.10230127949494407</v>
      </c>
      <c r="H3" s="73">
        <f>(getDistance(coord!$C1,coord!$D1,coord!$C$7,coord!$D$7)*1000)/$H$18</f>
        <v>0.10440233568696755</v>
      </c>
      <c r="I3" s="73">
        <f>(getDistance(coord!$C1,coord!$D1,coord!$C$8,coord!$D$8)*1000)/$I$18</f>
        <v>0.10540237870618735</v>
      </c>
      <c r="J3" s="73">
        <f>(getDistance(coord!$C1,coord!$D1,coord!$C$9,coord!$D$9)*1000)/$J$18</f>
        <v>9.6420743685199664E-2</v>
      </c>
      <c r="K3" s="73">
        <f>(getDistance(coord!$C1,coord!$D1,coord!$C$10,coord!$D$10)*1000)/$K$18</f>
        <v>9.3804164484117755E-2</v>
      </c>
      <c r="L3" s="73">
        <f>(getDistance(coord!$C1,coord!$D1,coord!$C$11,coord!$D$11)*1000)/$L$18</f>
        <v>6.6947974001657556E-2</v>
      </c>
      <c r="M3" s="73">
        <f>(getDistance(coord!$C1,coord!$D1,coord!$C$12,coord!$D$12)*1000)/$M$18</f>
        <v>0.10019406120946865</v>
      </c>
      <c r="N3" s="73">
        <f>(getDistance(coord!$C1,coord!$D1,coord!$C$13,coord!$D$13)*1000)/$N$18</f>
        <v>3.7832765385205913E-2</v>
      </c>
      <c r="O3" s="73">
        <f>(getDistance(coord!$C1,coord!$D1,coord!$C$14,coord!$D$14)*1000)/$O$18</f>
        <v>1.2060589622102796E-2</v>
      </c>
      <c r="P3" s="101">
        <f>(getDistance(coord!$C1,coord!$D1,coord!$C$15,coord!$D$15)*1000)/$P$18</f>
        <v>7.1812090617403165E-2</v>
      </c>
      <c r="Q3" s="123" t="s">
        <v>69</v>
      </c>
      <c r="R3" s="124">
        <v>8</v>
      </c>
      <c r="S3" s="103">
        <f t="shared" ref="S3:AG17" si="0">S20/S$18</f>
        <v>2.7027027027027029E-2</v>
      </c>
      <c r="T3" s="103">
        <f t="shared" si="0"/>
        <v>3.6231884057971016E-2</v>
      </c>
      <c r="U3" s="103">
        <f t="shared" si="0"/>
        <v>8.6206896551724137E-3</v>
      </c>
      <c r="V3" s="103">
        <f t="shared" si="0"/>
        <v>3.3333333333333333E-2</v>
      </c>
      <c r="W3" s="103">
        <f t="shared" si="0"/>
        <v>0.04</v>
      </c>
      <c r="X3" s="103">
        <f t="shared" si="0"/>
        <v>3.6363636363636362E-2</v>
      </c>
      <c r="Y3" s="103">
        <f t="shared" si="0"/>
        <v>5.0314465408805034E-2</v>
      </c>
      <c r="Z3" s="103">
        <f t="shared" si="0"/>
        <v>2.9411764705882353E-2</v>
      </c>
      <c r="AA3" s="103">
        <f t="shared" si="0"/>
        <v>6.2111801242236021E-3</v>
      </c>
      <c r="AB3" s="103">
        <f t="shared" si="0"/>
        <v>1.8518518518518517E-2</v>
      </c>
      <c r="AC3" s="103">
        <f t="shared" si="0"/>
        <v>7.9051383399209481E-3</v>
      </c>
      <c r="AD3" s="103">
        <f t="shared" si="0"/>
        <v>6.8965517241379309E-2</v>
      </c>
      <c r="AE3" s="103">
        <f t="shared" si="0"/>
        <v>1.2048192771084338E-2</v>
      </c>
      <c r="AF3" s="103">
        <f t="shared" si="0"/>
        <v>1.2048192771084338E-2</v>
      </c>
      <c r="AG3" s="104">
        <f t="shared" si="0"/>
        <v>4.2253521126760563E-2</v>
      </c>
      <c r="AH3" s="82">
        <f t="shared" ref="AH3:AH17" si="1">AVERAGE(S3:AG3)</f>
        <v>2.8616870762986604E-2</v>
      </c>
    </row>
    <row r="4" spans="1:34" ht="15.75" customHeight="1">
      <c r="A4" s="124">
        <v>2</v>
      </c>
      <c r="B4" s="73">
        <f>(getDistance(coord!C2,coord!D2,coord!$C$1,coord!$D$1)*1000)/$B$18</f>
        <v>1.0689802865799129E-2</v>
      </c>
      <c r="C4" s="72">
        <f>(getDistance(coord!C2,coord!D2,coord!$C$2,coord!$D$2)*1000)/$C$18</f>
        <v>0</v>
      </c>
      <c r="D4" s="73">
        <f>(getDistance(coord!$C2,coord!$D2,coord!$C$3,coord!$D$3)*1000)/$D$18</f>
        <v>1.5191498195246419E-2</v>
      </c>
      <c r="E4" s="73">
        <f>(getDistance(coord!$C2,coord!$D2,coord!$C$4,coord!$D$4)*1000)/$E$18</f>
        <v>5.5126561601008373E-2</v>
      </c>
      <c r="F4" s="73">
        <f>(getDistance(coord!$C2,coord!$D2,coord!$C$5,coord!$D$5)*1000)/$F$18</f>
        <v>9.2629358559344246E-2</v>
      </c>
      <c r="G4" s="73">
        <f>(getDistance(coord!$C2,coord!$D2,coord!$C$6,coord!$D$6)*1000)/$G$18</f>
        <v>9.4874253911209322E-2</v>
      </c>
      <c r="H4" s="73">
        <f>(getDistance(coord!$C2,coord!$D2,coord!$C$7,coord!$D$7)*1000)/$H$18</f>
        <v>9.8444849955087482E-2</v>
      </c>
      <c r="I4" s="73">
        <f>(getDistance(coord!$C2,coord!$D2,coord!$C$8,coord!$D$8)*1000)/$I$18</f>
        <v>9.6218093534717122E-2</v>
      </c>
      <c r="J4" s="73">
        <f>(getDistance(coord!$C2,coord!$D2,coord!$C$9,coord!$D$9)*1000)/$J$18</f>
        <v>8.6343604350493902E-2</v>
      </c>
      <c r="K4" s="73">
        <f>(getDistance(coord!$C2,coord!$D2,coord!$C$10,coord!$D$10)*1000)/$K$18</f>
        <v>8.4539801494731906E-2</v>
      </c>
      <c r="L4" s="73">
        <f>(getDistance(coord!$C2,coord!$D2,coord!$C$11,coord!$D$11)*1000)/$L$18</f>
        <v>6.5994823643482664E-2</v>
      </c>
      <c r="M4" s="73">
        <f>(getDistance(coord!$C2,coord!$D2,coord!$C$12,coord!$D$12)*1000)/$M$18</f>
        <v>9.5899972552799834E-2</v>
      </c>
      <c r="N4" s="73">
        <f>(getDistance(coord!$C2,coord!$D2,coord!$C$13,coord!$D$13)*1000)/$N$18</f>
        <v>4.5335750630313601E-2</v>
      </c>
      <c r="O4" s="73">
        <f>(getDistance(coord!$C2,coord!$D2,coord!$C$14,coord!$D$14)*1000)/$O$18</f>
        <v>2.1849727815881039E-2</v>
      </c>
      <c r="P4" s="101">
        <f>(getDistance(coord!$C2,coord!$D2,coord!$C$15,coord!$D$15)*1000)/$P$18</f>
        <v>6.122750488652378E-2</v>
      </c>
      <c r="Q4" s="123" t="s">
        <v>70</v>
      </c>
      <c r="R4" s="124">
        <v>9</v>
      </c>
      <c r="S4" s="103">
        <f t="shared" ref="S4:S17" si="2">S21/$S$18</f>
        <v>6.7567567567567571E-2</v>
      </c>
      <c r="T4" s="103">
        <f t="shared" si="0"/>
        <v>9.420289855072464E-2</v>
      </c>
      <c r="U4" s="103">
        <f t="shared" si="0"/>
        <v>6.0344827586206899E-2</v>
      </c>
      <c r="V4" s="103">
        <f t="shared" si="0"/>
        <v>0.05</v>
      </c>
      <c r="W4" s="103">
        <f t="shared" si="0"/>
        <v>6.4000000000000001E-2</v>
      </c>
      <c r="X4" s="103">
        <f t="shared" si="0"/>
        <v>1.8181818181818181E-2</v>
      </c>
      <c r="Y4" s="103">
        <f t="shared" si="0"/>
        <v>4.40251572327044E-2</v>
      </c>
      <c r="Z4" s="103">
        <f t="shared" si="0"/>
        <v>8.8235294117647065E-2</v>
      </c>
      <c r="AA4" s="103">
        <f t="shared" si="0"/>
        <v>6.2111801242236021E-3</v>
      </c>
      <c r="AB4" s="103">
        <f t="shared" si="0"/>
        <v>5.5555555555555552E-2</v>
      </c>
      <c r="AC4" s="103">
        <f t="shared" si="0"/>
        <v>7.9051383399209481E-3</v>
      </c>
      <c r="AD4" s="103">
        <f t="shared" si="0"/>
        <v>5.9113300492610835E-2</v>
      </c>
      <c r="AE4" s="103">
        <f t="shared" si="0"/>
        <v>1.2048192771084338E-2</v>
      </c>
      <c r="AF4" s="103">
        <f t="shared" si="0"/>
        <v>1.2048192771084338E-2</v>
      </c>
      <c r="AG4" s="104">
        <f t="shared" si="0"/>
        <v>5.6338028169014086E-2</v>
      </c>
      <c r="AH4" s="82">
        <f t="shared" si="1"/>
        <v>4.6385143430677504E-2</v>
      </c>
    </row>
    <row r="5" spans="1:34" ht="15.75" customHeight="1">
      <c r="A5" s="124">
        <v>3</v>
      </c>
      <c r="B5" s="73">
        <f>(getDistance(coord!C3,coord!D3,coord!$C$1,coord!$D$1)*1000)/$B$18</f>
        <v>2.2708861297606776E-2</v>
      </c>
      <c r="C5" s="73">
        <f>(getDistance(coord!C3,coord!D3,coord!$C$2,coord!$D$2)*1000)/$C$18</f>
        <v>1.4021686904213865E-2</v>
      </c>
      <c r="D5" s="72">
        <f>(getDistance(coord!$C3,coord!$D3,coord!$C$3,coord!$D$3)*1000)/$D$18</f>
        <v>0</v>
      </c>
      <c r="E5" s="73">
        <f>(getDistance(coord!$C3,coord!$D3,coord!$C$4,coord!$D$4)*1000)/$E$18</f>
        <v>5.8872704670058063E-2</v>
      </c>
      <c r="F5" s="73">
        <f>(getDistance(coord!$C3,coord!$D3,coord!$C$5,coord!$D$5)*1000)/$F$18</f>
        <v>7.6686179560042075E-2</v>
      </c>
      <c r="G5" s="73">
        <f>(getDistance(coord!$C3,coord!$D3,coord!$C$6,coord!$D$6)*1000)/$G$18</f>
        <v>7.9993945764307434E-2</v>
      </c>
      <c r="H5" s="73">
        <f>(getDistance(coord!$C3,coord!$D3,coord!$C$7,coord!$D$7)*1000)/$H$18</f>
        <v>8.7628901586288749E-2</v>
      </c>
      <c r="I5" s="73">
        <f>(getDistance(coord!$C3,coord!$D3,coord!$C$8,coord!$D$8)*1000)/$I$18</f>
        <v>8.0653625274724985E-2</v>
      </c>
      <c r="J5" s="73">
        <f>(getDistance(coord!$C3,coord!$D3,coord!$C$9,coord!$D$9)*1000)/$J$18</f>
        <v>7.1951788859303298E-2</v>
      </c>
      <c r="K5" s="73">
        <f>(getDistance(coord!$C3,coord!$D3,coord!$C$10,coord!$D$10)*1000)/$K$18</f>
        <v>6.7827715604826352E-2</v>
      </c>
      <c r="L5" s="73">
        <f>(getDistance(coord!$C3,coord!$D3,coord!$C$11,coord!$D$11)*1000)/$L$18</f>
        <v>5.7890112992331204E-2</v>
      </c>
      <c r="M5" s="73">
        <f>(getDistance(coord!$C3,coord!$D3,coord!$C$12,coord!$D$12)*1000)/$M$18</f>
        <v>8.7016691924391362E-2</v>
      </c>
      <c r="N5" s="73">
        <f>(getDistance(coord!$C3,coord!$D3,coord!$C$13,coord!$D$13)*1000)/$N$18</f>
        <v>5.1296238245069445E-2</v>
      </c>
      <c r="O5" s="73">
        <f>(getDistance(coord!$C3,coord!$D3,coord!$C$14,coord!$D$14)*1000)/$O$18</f>
        <v>3.2360518635515992E-2</v>
      </c>
      <c r="P5" s="101">
        <f>(getDistance(coord!$C3,coord!$D3,coord!$C$15,coord!$D$15)*1000)/$P$18</f>
        <v>4.9633629581598372E-2</v>
      </c>
      <c r="Q5" s="123" t="s">
        <v>71</v>
      </c>
      <c r="R5" s="124">
        <v>10</v>
      </c>
      <c r="S5" s="103">
        <f t="shared" si="2"/>
        <v>6.7567567567567571E-2</v>
      </c>
      <c r="T5" s="103">
        <f t="shared" si="0"/>
        <v>6.5217391304347824E-2</v>
      </c>
      <c r="U5" s="103">
        <f t="shared" si="0"/>
        <v>5.1724137931034482E-2</v>
      </c>
      <c r="V5" s="103">
        <f t="shared" si="0"/>
        <v>0.05</v>
      </c>
      <c r="W5" s="103">
        <f t="shared" si="0"/>
        <v>6.4000000000000001E-2</v>
      </c>
      <c r="X5" s="103">
        <f t="shared" si="0"/>
        <v>1.8181818181818181E-2</v>
      </c>
      <c r="Y5" s="103">
        <f t="shared" si="0"/>
        <v>7.5471698113207544E-2</v>
      </c>
      <c r="Z5" s="103">
        <f t="shared" si="0"/>
        <v>5.8823529411764705E-2</v>
      </c>
      <c r="AA5" s="103">
        <f t="shared" si="0"/>
        <v>2.4844720496894408E-2</v>
      </c>
      <c r="AB5" s="103">
        <f t="shared" si="0"/>
        <v>8.3333333333333329E-2</v>
      </c>
      <c r="AC5" s="103">
        <f t="shared" si="0"/>
        <v>4.7430830039525688E-2</v>
      </c>
      <c r="AD5" s="103">
        <f t="shared" si="0"/>
        <v>4.9261083743842367E-2</v>
      </c>
      <c r="AE5" s="103">
        <f t="shared" si="0"/>
        <v>4.8192771084337352E-2</v>
      </c>
      <c r="AF5" s="103">
        <f t="shared" si="0"/>
        <v>2.4096385542168676E-2</v>
      </c>
      <c r="AG5" s="104">
        <f t="shared" si="0"/>
        <v>5.6338028169014086E-2</v>
      </c>
      <c r="AH5" s="82">
        <f t="shared" si="1"/>
        <v>5.2298886327923753E-2</v>
      </c>
    </row>
    <row r="6" spans="1:34" ht="15.75" customHeight="1">
      <c r="A6" s="124">
        <v>4</v>
      </c>
      <c r="B6" s="73">
        <f>(getDistance(coord!C4,coord!D4,coord!$C$1,coord!$D$1)*1000)/$B$18</f>
        <v>7.3384062946620046E-2</v>
      </c>
      <c r="C6" s="73">
        <f>(getDistance(coord!C4,coord!D4,coord!$C$2,coord!$D$2)*1000)/$C$18</f>
        <v>8.6184387798222087E-2</v>
      </c>
      <c r="D6" s="73">
        <f>(getDistance(coord!$C4,coord!$D4,coord!$C$3,coord!$D$3)*1000)/$D$18</f>
        <v>9.9719943798129013E-2</v>
      </c>
      <c r="E6" s="72">
        <f>(getDistance(coord!$C4,coord!$D4,coord!$C$4,coord!$D$4)*1000)/$E$18</f>
        <v>0</v>
      </c>
      <c r="F6" s="73">
        <f>(getDistance(coord!$C4,coord!$D4,coord!$C$5,coord!$D$5)*1000)/$F$18</f>
        <v>0.15462704911993852</v>
      </c>
      <c r="G6" s="73">
        <f>(getDistance(coord!$C4,coord!$D4,coord!$C$6,coord!$D$6)*1000)/$G$18</f>
        <v>0.13926202993234338</v>
      </c>
      <c r="H6" s="73">
        <f>(getDistance(coord!$C4,coord!$D4,coord!$C$7,coord!$D$7)*1000)/$H$18</f>
        <v>0.12954502942200619</v>
      </c>
      <c r="I6" s="73">
        <f>(getDistance(coord!$C4,coord!$D4,coord!$C$8,coord!$D$8)*1000)/$I$18</f>
        <v>0.15255279501093499</v>
      </c>
      <c r="J6" s="73">
        <f>(getDistance(coord!$C4,coord!$D4,coord!$C$9,coord!$D$9)*1000)/$J$18</f>
        <v>0.15101221286439442</v>
      </c>
      <c r="K6" s="73">
        <f>(getDistance(coord!$C4,coord!$D4,coord!$C$10,coord!$D$10)*1000)/$K$18</f>
        <v>0.14533093819154677</v>
      </c>
      <c r="L6" s="73">
        <f>(getDistance(coord!$C4,coord!$D4,coord!$C$11,coord!$D$11)*1000)/$L$18</f>
        <v>8.0303919074357799E-2</v>
      </c>
      <c r="M6" s="73">
        <f>(getDistance(coord!$C4,coord!$D4,coord!$C$12,coord!$D$12)*1000)/$M$18</f>
        <v>0.11462932683604429</v>
      </c>
      <c r="N6" s="73">
        <f>(getDistance(coord!$C4,coord!$D4,coord!$C$13,coord!$D$13)*1000)/$N$18</f>
        <v>1.9464148409406176E-2</v>
      </c>
      <c r="O6" s="73">
        <f>(getDistance(coord!$C4,coord!$D4,coord!$C$14,coord!$D$14)*1000)/$O$18</f>
        <v>5.7822034918027933E-2</v>
      </c>
      <c r="P6" s="101">
        <f>(getDistance(coord!$C4,coord!$D4,coord!$C$15,coord!$D$15)*1000)/$P$18</f>
        <v>0.13504410326167277</v>
      </c>
      <c r="Q6" s="123" t="s">
        <v>72</v>
      </c>
      <c r="R6" s="124">
        <v>11</v>
      </c>
      <c r="S6" s="103">
        <f t="shared" si="2"/>
        <v>6.7567567567567571E-2</v>
      </c>
      <c r="T6" s="103">
        <f t="shared" si="0"/>
        <v>6.5217391304347824E-2</v>
      </c>
      <c r="U6" s="103">
        <f t="shared" si="0"/>
        <v>6.0344827586206899E-2</v>
      </c>
      <c r="V6" s="103">
        <f t="shared" si="0"/>
        <v>0.05</v>
      </c>
      <c r="W6" s="103">
        <f t="shared" si="0"/>
        <v>6.4000000000000001E-2</v>
      </c>
      <c r="X6" s="103">
        <f t="shared" si="0"/>
        <v>3.6363636363636362E-2</v>
      </c>
      <c r="Y6" s="103">
        <f t="shared" si="0"/>
        <v>5.6603773584905662E-2</v>
      </c>
      <c r="Z6" s="103">
        <f t="shared" si="0"/>
        <v>5.8823529411764705E-2</v>
      </c>
      <c r="AA6" s="103">
        <f t="shared" si="0"/>
        <v>5.5900621118012424E-2</v>
      </c>
      <c r="AB6" s="103">
        <f t="shared" si="0"/>
        <v>7.407407407407407E-2</v>
      </c>
      <c r="AC6" s="103">
        <f t="shared" si="0"/>
        <v>7.1146245059288543E-2</v>
      </c>
      <c r="AD6" s="103">
        <f t="shared" si="0"/>
        <v>7.3891625615763554E-2</v>
      </c>
      <c r="AE6" s="103">
        <f t="shared" si="0"/>
        <v>0.12048192771084337</v>
      </c>
      <c r="AF6" s="103">
        <f t="shared" si="0"/>
        <v>4.8192771084337352E-2</v>
      </c>
      <c r="AG6" s="104">
        <f t="shared" si="0"/>
        <v>7.0422535211267609E-2</v>
      </c>
      <c r="AH6" s="82">
        <f t="shared" si="1"/>
        <v>6.4868701712801069E-2</v>
      </c>
    </row>
    <row r="7" spans="1:34" ht="15.75" customHeight="1">
      <c r="A7" s="124">
        <v>5</v>
      </c>
      <c r="B7" s="73">
        <f>(getDistance(coord!C5,coord!D5,coord!$C$1,coord!$D$1)*1000)/$B$18</f>
        <v>8.6140311823197854E-2</v>
      </c>
      <c r="C7" s="73">
        <f>(getDistance(coord!C5,coord!D5,coord!$C$2,coord!$D$2)*1000)/$C$18</f>
        <v>8.139249430853264E-2</v>
      </c>
      <c r="D7" s="73">
        <f>(getDistance(coord!$C5,coord!$D5,coord!$C$3,coord!$D$3)*1000)/$D$18</f>
        <v>7.3005090610452794E-2</v>
      </c>
      <c r="E7" s="73">
        <f>(getDistance(coord!$C5,coord!$D5,coord!$C$4,coord!$D$4)*1000)/$E$18</f>
        <v>8.6906742815300697E-2</v>
      </c>
      <c r="F7" s="72">
        <f>(getDistance(coord!$C5,coord!$D5,coord!$C$5,coord!$D$5)*1000)/$F$18</f>
        <v>0</v>
      </c>
      <c r="G7" s="73">
        <f>(getDistance(coord!$C5,coord!$D5,coord!$C$6,coord!$D$6)*1000)/$G$18</f>
        <v>2.4570798882456439E-2</v>
      </c>
      <c r="H7" s="73">
        <f>(getDistance(coord!$C5,coord!$D5,coord!$C$7,coord!$D$7)*1000)/$H$18</f>
        <v>3.612180184080574E-2</v>
      </c>
      <c r="I7" s="73">
        <f>(getDistance(coord!$C5,coord!$D5,coord!$C$8,coord!$D$8)*1000)/$I$18</f>
        <v>7.7395722034668945E-3</v>
      </c>
      <c r="J7" s="73">
        <f>(getDistance(coord!$C5,coord!$D5,coord!$C$9,coord!$D$9)*1000)/$J$18</f>
        <v>1.5107908989478376E-2</v>
      </c>
      <c r="K7" s="73">
        <f>(getDistance(coord!$C5,coord!$D5,coord!$C$10,coord!$D$10)*1000)/$K$18</f>
        <v>2.0507248856763218E-2</v>
      </c>
      <c r="L7" s="73">
        <f>(getDistance(coord!$C5,coord!$D5,coord!$C$11,coord!$D$11)*1000)/$L$18</f>
        <v>6.4699467266578256E-2</v>
      </c>
      <c r="M7" s="73">
        <f>(getDistance(coord!$C5,coord!$D5,coord!$C$12,coord!$D$12)*1000)/$M$18</f>
        <v>4.5698506282568732E-2</v>
      </c>
      <c r="N7" s="73">
        <f>(getDistance(coord!$C5,coord!$D5,coord!$C$13,coord!$D$13)*1000)/$N$18</f>
        <v>8.9850813793987627E-2</v>
      </c>
      <c r="O7" s="73">
        <f>(getDistance(coord!$C5,coord!$D5,coord!$C$14,coord!$D$14)*1000)/$O$18</f>
        <v>8.8976162423490601E-2</v>
      </c>
      <c r="P7" s="101">
        <f>(getDistance(coord!$C5,coord!$D5,coord!$C$15,coord!$D$15)*1000)/$P$18</f>
        <v>3.9601697052090989E-2</v>
      </c>
      <c r="Q7" s="123" t="s">
        <v>73</v>
      </c>
      <c r="R7" s="124">
        <v>12</v>
      </c>
      <c r="S7" s="103">
        <f t="shared" si="2"/>
        <v>9.45945945945946E-2</v>
      </c>
      <c r="T7" s="103">
        <f t="shared" si="0"/>
        <v>7.2463768115942032E-2</v>
      </c>
      <c r="U7" s="103">
        <f t="shared" si="0"/>
        <v>8.6206896551724144E-2</v>
      </c>
      <c r="V7" s="103">
        <f t="shared" si="0"/>
        <v>6.6666666666666666E-2</v>
      </c>
      <c r="W7" s="103">
        <f t="shared" si="0"/>
        <v>7.1999999999999995E-2</v>
      </c>
      <c r="X7" s="103">
        <f t="shared" si="0"/>
        <v>3.6363636363636362E-2</v>
      </c>
      <c r="Y7" s="103">
        <f t="shared" si="0"/>
        <v>6.2893081761006289E-2</v>
      </c>
      <c r="Z7" s="103">
        <f t="shared" si="0"/>
        <v>8.8235294117647065E-2</v>
      </c>
      <c r="AA7" s="103">
        <f t="shared" si="0"/>
        <v>9.3167701863354033E-2</v>
      </c>
      <c r="AB7" s="103">
        <f t="shared" si="0"/>
        <v>5.5555555555555552E-2</v>
      </c>
      <c r="AC7" s="103">
        <f t="shared" si="0"/>
        <v>5.9288537549407112E-2</v>
      </c>
      <c r="AD7" s="103">
        <f t="shared" si="0"/>
        <v>9.3596059113300489E-2</v>
      </c>
      <c r="AE7" s="103">
        <f t="shared" si="0"/>
        <v>8.4337349397590355E-2</v>
      </c>
      <c r="AF7" s="103">
        <f t="shared" si="0"/>
        <v>7.2289156626506021E-2</v>
      </c>
      <c r="AG7" s="104">
        <f t="shared" si="0"/>
        <v>5.6338028169014086E-2</v>
      </c>
      <c r="AH7" s="82">
        <f t="shared" si="1"/>
        <v>7.2933088429729648E-2</v>
      </c>
    </row>
    <row r="8" spans="1:34" ht="15.75" customHeight="1">
      <c r="A8" s="124">
        <v>6</v>
      </c>
      <c r="B8" s="73">
        <f>(getDistance(coord!C6,coord!D6,coord!$C$1,coord!$D$1)*1000)/$B$18</f>
        <v>8.7285025003798394E-2</v>
      </c>
      <c r="C8" s="73">
        <f>(getDistance(coord!C6,coord!D6,coord!$C$2,coord!$D$2)*1000)/$C$18</f>
        <v>8.4624366049989241E-2</v>
      </c>
      <c r="D8" s="73">
        <f>(getDistance(coord!$C6,coord!$D6,coord!$C$3,coord!$D$3)*1000)/$D$18</f>
        <v>7.7304453604575149E-2</v>
      </c>
      <c r="E8" s="73">
        <f>(getDistance(coord!$C6,coord!$D6,coord!$C$4,coord!$D$4)*1000)/$E$18</f>
        <v>7.9453325658303667E-2</v>
      </c>
      <c r="F8" s="73">
        <f>(getDistance(coord!$C6,coord!$D6,coord!$C$5,coord!$D$5)*1000)/$F$18</f>
        <v>2.4941962997010375E-2</v>
      </c>
      <c r="G8" s="72">
        <f>(getDistance(coord!$C6,coord!$D6,coord!$C$6,coord!$D$6)*1000)/$G$18</f>
        <v>0</v>
      </c>
      <c r="H8" s="73">
        <f>(getDistance(coord!$C6,coord!$D6,coord!$C$7,coord!$D$7)*1000)/$H$18</f>
        <v>3.3900020478840311E-2</v>
      </c>
      <c r="I8" s="73">
        <f>(getDistance(coord!$C6,coord!$D6,coord!$C$8,coord!$D$8)*1000)/$I$18</f>
        <v>1.9311928358176342E-2</v>
      </c>
      <c r="J8" s="73">
        <f>(getDistance(coord!$C6,coord!$D6,coord!$C$9,coord!$D$9)*1000)/$J$18</f>
        <v>3.7848334791225485E-2</v>
      </c>
      <c r="K8" s="73">
        <f>(getDistance(coord!$C6,coord!$D6,coord!$C$10,coord!$D$10)*1000)/$K$18</f>
        <v>2.1224732711973001E-2</v>
      </c>
      <c r="L8" s="73">
        <f>(getDistance(coord!$C6,coord!$D6,coord!$C$11,coord!$D$11)*1000)/$L$18</f>
        <v>4.9684183349825349E-2</v>
      </c>
      <c r="M8" s="73">
        <f>(getDistance(coord!$C6,coord!$D6,coord!$C$12,coord!$D$12)*1000)/$M$18</f>
        <v>3.9513178648683756E-2</v>
      </c>
      <c r="N8" s="73">
        <f>(getDistance(coord!$C6,coord!$D6,coord!$C$13,coord!$D$13)*1000)/$N$18</f>
        <v>8.4312772392507576E-2</v>
      </c>
      <c r="O8" s="73">
        <f>(getDistance(coord!$C6,coord!$D6,coord!$C$14,coord!$D$14)*1000)/$O$18</f>
        <v>8.82557572424882E-2</v>
      </c>
      <c r="P8" s="101">
        <f>(getDistance(coord!$C6,coord!$D6,coord!$C$15,coord!$D$15)*1000)/$P$18</f>
        <v>5.7599428111267691E-2</v>
      </c>
      <c r="Q8" s="123" t="s">
        <v>74</v>
      </c>
      <c r="R8" s="124">
        <v>13</v>
      </c>
      <c r="S8" s="103">
        <f t="shared" si="2"/>
        <v>9.45945945945946E-2</v>
      </c>
      <c r="T8" s="103">
        <f t="shared" si="0"/>
        <v>6.5217391304347824E-2</v>
      </c>
      <c r="U8" s="103">
        <f t="shared" si="0"/>
        <v>7.7586206896551727E-2</v>
      </c>
      <c r="V8" s="103">
        <f t="shared" si="0"/>
        <v>0.11666666666666667</v>
      </c>
      <c r="W8" s="103">
        <f t="shared" si="0"/>
        <v>7.1999999999999995E-2</v>
      </c>
      <c r="X8" s="103">
        <f t="shared" si="0"/>
        <v>5.4545454545454543E-2</v>
      </c>
      <c r="Y8" s="103">
        <f t="shared" si="0"/>
        <v>6.9182389937106917E-2</v>
      </c>
      <c r="Z8" s="103">
        <f t="shared" si="0"/>
        <v>8.8235294117647065E-2</v>
      </c>
      <c r="AA8" s="103">
        <f t="shared" si="0"/>
        <v>0.11180124223602485</v>
      </c>
      <c r="AB8" s="103">
        <f t="shared" si="0"/>
        <v>6.4814814814814811E-2</v>
      </c>
      <c r="AC8" s="103">
        <f t="shared" si="0"/>
        <v>5.9288537549407112E-2</v>
      </c>
      <c r="AD8" s="103">
        <f t="shared" si="0"/>
        <v>7.8817733990147784E-2</v>
      </c>
      <c r="AE8" s="103">
        <f t="shared" si="0"/>
        <v>8.4337349397590355E-2</v>
      </c>
      <c r="AF8" s="103">
        <f t="shared" si="0"/>
        <v>8.4337349397590355E-2</v>
      </c>
      <c r="AG8" s="104">
        <f t="shared" si="0"/>
        <v>5.6338028169014086E-2</v>
      </c>
      <c r="AH8" s="82">
        <f t="shared" si="1"/>
        <v>7.8517536907797239E-2</v>
      </c>
    </row>
    <row r="9" spans="1:34" ht="15.75" customHeight="1">
      <c r="A9" s="124">
        <v>7</v>
      </c>
      <c r="B9" s="73">
        <f>(getDistance(coord!C7,coord!D7,coord!$C$1,coord!$D$1)*1000)/$B$18</f>
        <v>0.12744797941958427</v>
      </c>
      <c r="C9" s="73">
        <f>(getDistance(coord!C7,coord!D7,coord!$C$2,coord!$D$2)*1000)/$C$18</f>
        <v>0.12563311284950232</v>
      </c>
      <c r="D9" s="73">
        <f>(getDistance(coord!$C7,coord!$D7,coord!$C$3,coord!$D$3)*1000)/$D$18</f>
        <v>0.12115987821068286</v>
      </c>
      <c r="E9" s="73">
        <f>(getDistance(coord!$C7,coord!$D7,coord!$C$4,coord!$D$4)*1000)/$E$18</f>
        <v>0.10574605570347448</v>
      </c>
      <c r="F9" s="73">
        <f>(getDistance(coord!$C7,coord!$D7,coord!$C$5,coord!$D$5)*1000)/$F$18</f>
        <v>5.2461997669375496E-2</v>
      </c>
      <c r="G9" s="73">
        <f>(getDistance(coord!$C7,coord!$D7,coord!$C$6,coord!$D$6)*1000)/$G$18</f>
        <v>4.8502488917617437E-2</v>
      </c>
      <c r="H9" s="72">
        <f>(getDistance(coord!$C7,coord!$D7,coord!$C$7,coord!$D$7)*1000)/$H$18</f>
        <v>0</v>
      </c>
      <c r="I9" s="73">
        <f>(getDistance(coord!$C7,coord!$D7,coord!$C$8,coord!$D$8)*1000)/$I$18</f>
        <v>4.475709073076263E-2</v>
      </c>
      <c r="J9" s="73">
        <f>(getDistance(coord!$C7,coord!$D7,coord!$C$9,coord!$D$9)*1000)/$J$18</f>
        <v>5.4547149836496299E-2</v>
      </c>
      <c r="K9" s="73">
        <f>(getDistance(coord!$C7,coord!$D7,coord!$C$10,coord!$D$10)*1000)/$K$18</f>
        <v>6.8851627447904185E-2</v>
      </c>
      <c r="L9" s="73">
        <f>(getDistance(coord!$C7,coord!$D7,coord!$C$11,coord!$D$11)*1000)/$L$18</f>
        <v>9.2702229079247384E-2</v>
      </c>
      <c r="M9" s="73">
        <f>(getDistance(coord!$C7,coord!$D7,coord!$C$12,coord!$D$12)*1000)/$M$18</f>
        <v>1.7027476462157992E-2</v>
      </c>
      <c r="N9" s="73">
        <f>(getDistance(coord!$C7,coord!$D7,coord!$C$13,coord!$D$13)*1000)/$N$18</f>
        <v>0.11525210417632964</v>
      </c>
      <c r="O9" s="73">
        <f>(getDistance(coord!$C7,coord!$D7,coord!$C$14,coord!$D$14)*1000)/$O$18</f>
        <v>0.12567361710352296</v>
      </c>
      <c r="P9" s="101">
        <f>(getDistance(coord!$C7,coord!$D7,coord!$C$15,coord!$D$15)*1000)/$P$18</f>
        <v>8.125853762141716E-2</v>
      </c>
      <c r="Q9" s="123" t="s">
        <v>75</v>
      </c>
      <c r="R9" s="124">
        <v>14</v>
      </c>
      <c r="S9" s="103">
        <f t="shared" si="2"/>
        <v>5.4054054054054057E-2</v>
      </c>
      <c r="T9" s="103">
        <f t="shared" si="0"/>
        <v>5.7971014492753624E-2</v>
      </c>
      <c r="U9" s="103">
        <f t="shared" si="0"/>
        <v>7.7586206896551727E-2</v>
      </c>
      <c r="V9" s="103">
        <f t="shared" si="0"/>
        <v>0.11666666666666667</v>
      </c>
      <c r="W9" s="103">
        <f t="shared" si="0"/>
        <v>6.4000000000000001E-2</v>
      </c>
      <c r="X9" s="103">
        <f t="shared" si="0"/>
        <v>7.2727272727272724E-2</v>
      </c>
      <c r="Y9" s="103">
        <f t="shared" si="0"/>
        <v>8.1761006289308172E-2</v>
      </c>
      <c r="Z9" s="103">
        <f t="shared" si="0"/>
        <v>8.8235294117647065E-2</v>
      </c>
      <c r="AA9" s="103">
        <f t="shared" si="0"/>
        <v>8.6956521739130432E-2</v>
      </c>
      <c r="AB9" s="103">
        <f t="shared" si="0"/>
        <v>6.4814814814814811E-2</v>
      </c>
      <c r="AC9" s="103">
        <f t="shared" si="0"/>
        <v>7.5098814229249009E-2</v>
      </c>
      <c r="AD9" s="103">
        <f t="shared" si="0"/>
        <v>7.8817733990147784E-2</v>
      </c>
      <c r="AE9" s="103">
        <f t="shared" si="0"/>
        <v>8.4337349397590355E-2</v>
      </c>
      <c r="AF9" s="103">
        <f t="shared" si="0"/>
        <v>6.0240963855421686E-2</v>
      </c>
      <c r="AG9" s="104">
        <f t="shared" si="0"/>
        <v>5.6338028169014086E-2</v>
      </c>
      <c r="AH9" s="82">
        <f t="shared" si="1"/>
        <v>7.4640382762641469E-2</v>
      </c>
    </row>
    <row r="10" spans="1:34" ht="15.75" customHeight="1">
      <c r="A10" s="124">
        <v>8</v>
      </c>
      <c r="B10" s="73">
        <f>(getDistance(coord!C8,coord!D8,coord!$C$1,coord!$D$1)*1000)/$B$18</f>
        <v>9.0305255830799541E-2</v>
      </c>
      <c r="C10" s="73">
        <f>(getDistance(coord!C8,coord!D8,coord!$C$2,coord!$D$2)*1000)/$C$18</f>
        <v>8.6180248540368515E-2</v>
      </c>
      <c r="D10" s="73">
        <f>(getDistance(coord!$C8,coord!$D8,coord!$C$3,coord!$D$3)*1000)/$D$18</f>
        <v>7.826637670005078E-2</v>
      </c>
      <c r="E10" s="73">
        <f>(getDistance(coord!$C8,coord!$D8,coord!$C$4,coord!$D$4)*1000)/$E$18</f>
        <v>8.7398397137412806E-2</v>
      </c>
      <c r="F10" s="73">
        <f>(getDistance(coord!$C8,coord!$D8,coord!$C$5,coord!$D$5)*1000)/$F$18</f>
        <v>7.8891869873752157E-3</v>
      </c>
      <c r="G10" s="73">
        <f>(getDistance(coord!$C8,coord!$D8,coord!$C$6,coord!$D$6)*1000)/$G$18</f>
        <v>1.9392311637613405E-2</v>
      </c>
      <c r="H10" s="73">
        <f>(getDistance(coord!$C8,coord!$D8,coord!$C$7,coord!$D$7)*1000)/$H$18</f>
        <v>3.1412443799478405E-2</v>
      </c>
      <c r="I10" s="72">
        <f>(getDistance(coord!$C8,coord!$D8,coord!$C$8,coord!$D$8)*1000)/$I$18</f>
        <v>0</v>
      </c>
      <c r="J10" s="73">
        <f>(getDistance(coord!$C8,coord!$D8,coord!$C$9,coord!$D$9)*1000)/$J$18</f>
        <v>2.0897411024069883E-2</v>
      </c>
      <c r="K10" s="73">
        <f>(getDistance(coord!$C8,coord!$D8,coord!$C$10,coord!$D$10)*1000)/$K$18</f>
        <v>2.2504827840583726E-2</v>
      </c>
      <c r="L10" s="73">
        <f>(getDistance(coord!$C8,coord!$D8,coord!$C$11,coord!$D$11)*1000)/$L$18</f>
        <v>6.4079408130827339E-2</v>
      </c>
      <c r="M10" s="73">
        <f>(getDistance(coord!$C8,coord!$D8,coord!$C$12,coord!$D$12)*1000)/$M$18</f>
        <v>4.1260538366473448E-2</v>
      </c>
      <c r="N10" s="73">
        <f>(getDistance(coord!$C8,coord!$D8,coord!$C$13,coord!$D$13)*1000)/$N$18</f>
        <v>9.1332902942056787E-2</v>
      </c>
      <c r="O10" s="73">
        <f>(getDistance(coord!$C8,coord!$D8,coord!$C$14,coord!$D$14)*1000)/$O$18</f>
        <v>9.2397470616990912E-2</v>
      </c>
      <c r="P10" s="101">
        <f>(getDistance(coord!$C8,coord!$D8,coord!$C$15,coord!$D$15)*1000)/$P$18</f>
        <v>4.6284949830467929E-2</v>
      </c>
      <c r="Q10" s="123" t="s">
        <v>76</v>
      </c>
      <c r="R10" s="124">
        <v>15</v>
      </c>
      <c r="S10" s="103">
        <f t="shared" si="2"/>
        <v>0.10810810810810811</v>
      </c>
      <c r="T10" s="103">
        <f t="shared" si="0"/>
        <v>5.7971014492753624E-2</v>
      </c>
      <c r="U10" s="103">
        <f t="shared" si="0"/>
        <v>7.7586206896551727E-2</v>
      </c>
      <c r="V10" s="103">
        <f t="shared" si="0"/>
        <v>0.11666666666666667</v>
      </c>
      <c r="W10" s="103">
        <f t="shared" si="0"/>
        <v>7.1999999999999995E-2</v>
      </c>
      <c r="X10" s="103">
        <f t="shared" si="0"/>
        <v>7.2727272727272724E-2</v>
      </c>
      <c r="Y10" s="103">
        <f t="shared" si="0"/>
        <v>9.4339622641509441E-2</v>
      </c>
      <c r="Z10" s="103">
        <f t="shared" si="0"/>
        <v>5.8823529411764705E-2</v>
      </c>
      <c r="AA10" s="103">
        <f t="shared" si="0"/>
        <v>8.0745341614906832E-2</v>
      </c>
      <c r="AB10" s="103">
        <f t="shared" si="0"/>
        <v>7.407407407407407E-2</v>
      </c>
      <c r="AC10" s="103">
        <f t="shared" si="0"/>
        <v>9.0909090909090912E-2</v>
      </c>
      <c r="AD10" s="103">
        <f t="shared" si="0"/>
        <v>6.8965517241379309E-2</v>
      </c>
      <c r="AE10" s="103">
        <f t="shared" si="0"/>
        <v>6.0240963855421686E-2</v>
      </c>
      <c r="AF10" s="103">
        <f t="shared" si="0"/>
        <v>9.6385542168674704E-2</v>
      </c>
      <c r="AG10" s="104">
        <f t="shared" si="0"/>
        <v>7.0422535211267609E-2</v>
      </c>
      <c r="AH10" s="82">
        <f t="shared" si="1"/>
        <v>7.9997699067962807E-2</v>
      </c>
    </row>
    <row r="11" spans="1:34" ht="15.75" customHeight="1">
      <c r="A11" s="124">
        <v>9</v>
      </c>
      <c r="B11" s="73">
        <f>(getDistance(coord!C9,coord!D9,coord!$C$1,coord!$D$1)*1000)/$B$18</f>
        <v>8.8844980488939906E-2</v>
      </c>
      <c r="C11" s="73">
        <f>(getDistance(coord!C9,coord!D9,coord!$C$2,coord!$D$2)*1000)/$C$18</f>
        <v>8.3172733120971704E-2</v>
      </c>
      <c r="D11" s="73">
        <f>(getDistance(coord!$C9,coord!$D9,coord!$C$3,coord!$D$3)*1000)/$D$18</f>
        <v>7.5091838214592879E-2</v>
      </c>
      <c r="E11" s="73">
        <f>(getDistance(coord!$C9,coord!$D9,coord!$C$4,coord!$D$4)*1000)/$E$18</f>
        <v>9.304545729645182E-2</v>
      </c>
      <c r="F11" s="73">
        <f>(getDistance(coord!$C9,coord!$D9,coord!$C$5,coord!$D$5)*1000)/$F$18</f>
        <v>1.656225464926861E-2</v>
      </c>
      <c r="G11" s="73">
        <f>(getDistance(coord!$C9,coord!$D9,coord!$C$6,coord!$D$6)*1000)/$G$18</f>
        <v>4.0874318150941821E-2</v>
      </c>
      <c r="H11" s="73">
        <f>(getDistance(coord!$C9,coord!$D9,coord!$C$7,coord!$D$7)*1000)/$H$18</f>
        <v>4.1172927054020134E-2</v>
      </c>
      <c r="I11" s="73">
        <f>(getDistance(coord!$C9,coord!$D9,coord!$C$8,coord!$D$8)*1000)/$I$18</f>
        <v>2.2474616461677813E-2</v>
      </c>
      <c r="J11" s="72">
        <f>(getDistance(coord!$C9,coord!$D9,coord!$C$9,coord!$D$9)*1000)/$J$18</f>
        <v>0</v>
      </c>
      <c r="K11" s="73">
        <f>(getDistance(coord!$C9,coord!$D9,coord!$C$10,coord!$D$10)*1000)/$K$18</f>
        <v>3.4914384770615425E-2</v>
      </c>
      <c r="L11" s="73">
        <f>(getDistance(coord!$C9,coord!$D9,coord!$C$11,coord!$D$11)*1000)/$L$18</f>
        <v>7.7257595900459664E-2</v>
      </c>
      <c r="M11" s="73">
        <f>(getDistance(coord!$C9,coord!$D9,coord!$C$12,coord!$D$12)*1000)/$M$18</f>
        <v>5.1346706433590052E-2</v>
      </c>
      <c r="N11" s="73">
        <f>(getDistance(coord!$C9,coord!$D9,coord!$C$13,coord!$D$13)*1000)/$N$18</f>
        <v>9.5257282424245929E-2</v>
      </c>
      <c r="O11" s="73">
        <f>(getDistance(coord!$C9,coord!$D9,coord!$C$14,coord!$D$14)*1000)/$O$18</f>
        <v>9.2307897306968603E-2</v>
      </c>
      <c r="P11" s="101">
        <f>(getDistance(coord!$C9,coord!$D9,coord!$C$15,coord!$D$15)*1000)/$P$18</f>
        <v>3.0603092403673621E-2</v>
      </c>
      <c r="Q11" s="123" t="s">
        <v>77</v>
      </c>
      <c r="R11" s="124">
        <v>16</v>
      </c>
      <c r="S11" s="103">
        <f t="shared" si="2"/>
        <v>8.1081081081081086E-2</v>
      </c>
      <c r="T11" s="103">
        <f t="shared" si="0"/>
        <v>9.420289855072464E-2</v>
      </c>
      <c r="U11" s="103">
        <f t="shared" si="0"/>
        <v>6.8965517241379309E-2</v>
      </c>
      <c r="V11" s="103">
        <f t="shared" si="0"/>
        <v>3.3333333333333333E-2</v>
      </c>
      <c r="W11" s="103">
        <f t="shared" si="0"/>
        <v>0.08</v>
      </c>
      <c r="X11" s="103">
        <f t="shared" si="0"/>
        <v>7.2727272727272724E-2</v>
      </c>
      <c r="Y11" s="103">
        <f t="shared" si="0"/>
        <v>7.5471698113207544E-2</v>
      </c>
      <c r="Z11" s="103">
        <f t="shared" si="0"/>
        <v>5.8823529411764705E-2</v>
      </c>
      <c r="AA11" s="103">
        <f t="shared" si="0"/>
        <v>6.2111801242236024E-2</v>
      </c>
      <c r="AB11" s="103">
        <f t="shared" si="0"/>
        <v>7.407407407407407E-2</v>
      </c>
      <c r="AC11" s="103">
        <f t="shared" si="0"/>
        <v>0.10276679841897234</v>
      </c>
      <c r="AD11" s="103">
        <f t="shared" si="0"/>
        <v>6.8965517241379309E-2</v>
      </c>
      <c r="AE11" s="103">
        <f t="shared" si="0"/>
        <v>8.4337349397590355E-2</v>
      </c>
      <c r="AF11" s="103">
        <f t="shared" si="0"/>
        <v>8.4337349397590355E-2</v>
      </c>
      <c r="AG11" s="104">
        <f t="shared" si="0"/>
        <v>7.0422535211267609E-2</v>
      </c>
      <c r="AH11" s="82">
        <f t="shared" si="1"/>
        <v>7.4108050362791555E-2</v>
      </c>
    </row>
    <row r="12" spans="1:34" ht="15.75" customHeight="1">
      <c r="A12" s="124">
        <v>10</v>
      </c>
      <c r="B12" s="73">
        <f>(getDistance(coord!C10,coord!D10,coord!$C$1,coord!$D$1)*1000)/$B$18</f>
        <v>7.3524289435178872E-2</v>
      </c>
      <c r="C12" s="73">
        <f>(getDistance(coord!C10,coord!D10,coord!$C$2,coord!$D$2)*1000)/$C$18</f>
        <v>6.9272094599152942E-2</v>
      </c>
      <c r="D12" s="73">
        <f>(getDistance(coord!$C10,coord!$D10,coord!$C$3,coord!$D$3)*1000)/$D$18</f>
        <v>6.0214991244566876E-2</v>
      </c>
      <c r="E12" s="73">
        <f>(getDistance(coord!$C10,coord!$D10,coord!$C$4,coord!$D$4)*1000)/$E$18</f>
        <v>7.6170617665823573E-2</v>
      </c>
      <c r="F12" s="73">
        <f>(getDistance(coord!$C10,coord!$D10,coord!$C$5,coord!$D$5)*1000)/$F$18</f>
        <v>1.9123562363221994E-2</v>
      </c>
      <c r="G12" s="73">
        <f>(getDistance(coord!$C10,coord!$D10,coord!$C$6,coord!$D$6)*1000)/$G$18</f>
        <v>1.9498098998980046E-2</v>
      </c>
      <c r="H12" s="73">
        <f>(getDistance(coord!$C10,coord!$D10,coord!$C$7,coord!$D$7)*1000)/$H$18</f>
        <v>4.4207930717761038E-2</v>
      </c>
      <c r="I12" s="73">
        <f>(getDistance(coord!$C10,coord!$D10,coord!$C$8,coord!$D$8)*1000)/$I$18</f>
        <v>2.0588362024686353E-2</v>
      </c>
      <c r="J12" s="73">
        <f>(getDistance(coord!$C10,coord!$D10,coord!$C$9,coord!$D$9)*1000)/$J$18</f>
        <v>2.9699606189922838E-2</v>
      </c>
      <c r="K12" s="72">
        <f>(getDistance(coord!$C10,coord!$D10,coord!$C$10,coord!$D$10)*1000)/$K$18</f>
        <v>0</v>
      </c>
      <c r="L12" s="73">
        <f>(getDistance(coord!$C10,coord!$D10,coord!$C$11,coord!$D$11)*1000)/$L$18</f>
        <v>4.753820893696948E-2</v>
      </c>
      <c r="M12" s="73">
        <f>(getDistance(coord!$C10,coord!$D10,coord!$C$12,coord!$D$12)*1000)/$M$18</f>
        <v>5.0238023159868965E-2</v>
      </c>
      <c r="N12" s="73">
        <f>(getDistance(coord!$C10,coord!$D10,coord!$C$13,coord!$D$13)*1000)/$N$18</f>
        <v>7.8110228117574121E-2</v>
      </c>
      <c r="O12" s="73">
        <f>(getDistance(coord!$C10,coord!$D10,coord!$C$14,coord!$D$14)*1000)/$O$18</f>
        <v>7.6629116357964044E-2</v>
      </c>
      <c r="P12" s="101">
        <f>(getDistance(coord!$C10,coord!$D10,coord!$C$15,coord!$D$15)*1000)/$P$18</f>
        <v>4.2720217045397739E-2</v>
      </c>
      <c r="Q12" s="123" t="s">
        <v>78</v>
      </c>
      <c r="R12" s="124">
        <v>17</v>
      </c>
      <c r="S12" s="103">
        <f t="shared" si="2"/>
        <v>8.1081081081081086E-2</v>
      </c>
      <c r="T12" s="103">
        <f t="shared" si="0"/>
        <v>6.5217391304347824E-2</v>
      </c>
      <c r="U12" s="103">
        <f t="shared" si="0"/>
        <v>6.8965517241379309E-2</v>
      </c>
      <c r="V12" s="103">
        <f t="shared" si="0"/>
        <v>0.05</v>
      </c>
      <c r="W12" s="103">
        <f t="shared" si="0"/>
        <v>7.1999999999999995E-2</v>
      </c>
      <c r="X12" s="103">
        <f t="shared" si="0"/>
        <v>0.12727272727272726</v>
      </c>
      <c r="Y12" s="103">
        <f t="shared" si="0"/>
        <v>3.7735849056603772E-2</v>
      </c>
      <c r="Z12" s="103">
        <f t="shared" si="0"/>
        <v>5.8823529411764705E-2</v>
      </c>
      <c r="AA12" s="103">
        <f t="shared" si="0"/>
        <v>6.2111801242236024E-2</v>
      </c>
      <c r="AB12" s="103">
        <f t="shared" si="0"/>
        <v>7.407407407407407E-2</v>
      </c>
      <c r="AC12" s="103">
        <f t="shared" si="0"/>
        <v>8.6956521739130432E-2</v>
      </c>
      <c r="AD12" s="103">
        <f t="shared" si="0"/>
        <v>5.9113300492610835E-2</v>
      </c>
      <c r="AE12" s="103">
        <f t="shared" si="0"/>
        <v>7.2289156626506021E-2</v>
      </c>
      <c r="AF12" s="103">
        <f t="shared" si="0"/>
        <v>0.12048192771084337</v>
      </c>
      <c r="AG12" s="104">
        <f t="shared" si="0"/>
        <v>7.0422535211267609E-2</v>
      </c>
      <c r="AH12" s="82">
        <f t="shared" si="1"/>
        <v>7.376969416430483E-2</v>
      </c>
    </row>
    <row r="13" spans="1:34" ht="15.75" customHeight="1">
      <c r="A13" s="124">
        <v>11</v>
      </c>
      <c r="B13" s="73">
        <f>(getDistance(coord!C11,coord!D11,coord!$C$1,coord!$D$1)*1000)/$B$18</f>
        <v>6.127426480099326E-2</v>
      </c>
      <c r="C13" s="73">
        <f>(getDistance(coord!C11,coord!D11,coord!$C$2,coord!$D$2)*1000)/$C$18</f>
        <v>6.3144993430051921E-2</v>
      </c>
      <c r="D13" s="73">
        <f>(getDistance(coord!$C11,coord!$D11,coord!$C$3,coord!$D$3)*1000)/$D$18</f>
        <v>6.0011404079360689E-2</v>
      </c>
      <c r="E13" s="73">
        <f>(getDistance(coord!$C11,coord!$D11,coord!$C$4,coord!$D$4)*1000)/$E$18</f>
        <v>4.9147122391873257E-2</v>
      </c>
      <c r="F13" s="73">
        <f>(getDistance(coord!$C11,coord!$D11,coord!$C$5,coord!$D$5)*1000)/$F$18</f>
        <v>7.0452117914412193E-2</v>
      </c>
      <c r="G13" s="73">
        <f>(getDistance(coord!$C11,coord!$D11,coord!$C$6,coord!$D$6)*1000)/$G$18</f>
        <v>5.3296679322693087E-2</v>
      </c>
      <c r="H13" s="73">
        <f>(getDistance(coord!$C11,coord!$D11,coord!$C$7,coord!$D$7)*1000)/$H$18</f>
        <v>6.9503729292049857E-2</v>
      </c>
      <c r="I13" s="73">
        <f>(getDistance(coord!$C11,coord!$D11,coord!$C$8,coord!$D$8)*1000)/$I$18</f>
        <v>6.8453640037458213E-2</v>
      </c>
      <c r="J13" s="73">
        <f>(getDistance(coord!$C11,coord!$D11,coord!$C$9,coord!$D$9)*1000)/$J$18</f>
        <v>7.6739583973957054E-2</v>
      </c>
      <c r="K13" s="73">
        <f>(getDistance(coord!$C11,coord!$D11,coord!$C$10,coord!$D$10)*1000)/$K$18</f>
        <v>5.5510452669894815E-2</v>
      </c>
      <c r="L13" s="72">
        <f>(getDistance(coord!$C11,coord!$D11,coord!$C$11,coord!$D$11)*1000)/$L$18</f>
        <v>0</v>
      </c>
      <c r="M13" s="73">
        <f>(getDistance(coord!$C11,coord!$D11,coord!$C$12,coord!$D$12)*1000)/$M$18</f>
        <v>6.5264966140275119E-2</v>
      </c>
      <c r="N13" s="73">
        <f>(getDistance(coord!$C11,coord!$D11,coord!$C$13,coord!$D$13)*1000)/$N$18</f>
        <v>5.2232493602072869E-2</v>
      </c>
      <c r="O13" s="73">
        <f>(getDistance(coord!$C11,coord!$D11,coord!$C$14,coord!$D$14)*1000)/$O$18</f>
        <v>5.9603010416953664E-2</v>
      </c>
      <c r="P13" s="101">
        <f>(getDistance(coord!$C11,coord!$D11,coord!$C$15,coord!$D$15)*1000)/$P$18</f>
        <v>7.7287226039549434E-2</v>
      </c>
      <c r="Q13" s="123" t="s">
        <v>79</v>
      </c>
      <c r="R13" s="124">
        <v>18</v>
      </c>
      <c r="S13" s="103">
        <f t="shared" si="2"/>
        <v>4.0540540540540543E-2</v>
      </c>
      <c r="T13" s="103">
        <f t="shared" si="0"/>
        <v>7.2463768115942032E-2</v>
      </c>
      <c r="U13" s="103">
        <f t="shared" si="0"/>
        <v>7.7586206896551727E-2</v>
      </c>
      <c r="V13" s="103">
        <f t="shared" si="0"/>
        <v>6.6666666666666666E-2</v>
      </c>
      <c r="W13" s="103">
        <f t="shared" si="0"/>
        <v>5.6000000000000001E-2</v>
      </c>
      <c r="X13" s="103">
        <f t="shared" si="0"/>
        <v>0.12727272727272726</v>
      </c>
      <c r="Y13" s="103">
        <f t="shared" si="0"/>
        <v>5.0314465408805034E-2</v>
      </c>
      <c r="Z13" s="103">
        <f t="shared" si="0"/>
        <v>8.8235294117647065E-2</v>
      </c>
      <c r="AA13" s="103">
        <f t="shared" si="0"/>
        <v>9.3167701863354033E-2</v>
      </c>
      <c r="AB13" s="103">
        <f t="shared" si="0"/>
        <v>5.5555555555555552E-2</v>
      </c>
      <c r="AC13" s="103">
        <f t="shared" si="0"/>
        <v>6.7193675889328064E-2</v>
      </c>
      <c r="AD13" s="103">
        <f t="shared" si="0"/>
        <v>5.9113300492610835E-2</v>
      </c>
      <c r="AE13" s="103">
        <f t="shared" si="0"/>
        <v>4.8192771084337352E-2</v>
      </c>
      <c r="AF13" s="103">
        <f t="shared" si="0"/>
        <v>7.2289156626506021E-2</v>
      </c>
      <c r="AG13" s="104">
        <f t="shared" si="0"/>
        <v>5.6338028169014086E-2</v>
      </c>
      <c r="AH13" s="82">
        <f t="shared" si="1"/>
        <v>6.8728657246639083E-2</v>
      </c>
    </row>
    <row r="14" spans="1:34" ht="15.75" customHeight="1">
      <c r="A14" s="124">
        <v>12</v>
      </c>
      <c r="B14" s="73">
        <f>(getDistance(coord!C12,coord!D12,coord!$C$1,coord!$D$1)*1000)/$B$18</f>
        <v>0.14383717721341799</v>
      </c>
      <c r="C14" s="73">
        <f>(getDistance(coord!C12,coord!D12,coord!$C$2,coord!$D$2)*1000)/$C$18</f>
        <v>0.14392493216892677</v>
      </c>
      <c r="D14" s="73">
        <f>(getDistance(coord!$C12,coord!$D12,coord!$C$3,coord!$D$3)*1000)/$D$18</f>
        <v>0.14148827783637166</v>
      </c>
      <c r="E14" s="73">
        <f>(getDistance(coord!$C12,coord!$D12,coord!$C$4,coord!$D$4)*1000)/$E$18</f>
        <v>0.11003873692811286</v>
      </c>
      <c r="F14" s="73">
        <f>(getDistance(coord!$C12,coord!$D12,coord!$C$5,coord!$D$5)*1000)/$F$18</f>
        <v>7.8051967348498674E-2</v>
      </c>
      <c r="G14" s="73">
        <f>(getDistance(coord!$C12,coord!$D12,coord!$C$6,coord!$D$6)*1000)/$G$18</f>
        <v>6.6483284048690902E-2</v>
      </c>
      <c r="H14" s="73">
        <f>(getDistance(coord!$C12,coord!$D12,coord!$C$7,coord!$D$7)*1000)/$H$18</f>
        <v>2.0024271268220917E-2</v>
      </c>
      <c r="I14" s="73">
        <f>(getDistance(coord!$C12,coord!$D12,coord!$C$8,coord!$D$8)*1000)/$I$18</f>
        <v>6.9135553826330728E-2</v>
      </c>
      <c r="J14" s="73">
        <f>(getDistance(coord!$C12,coord!$D12,coord!$C$9,coord!$D$9)*1000)/$J$18</f>
        <v>7.9998039362600984E-2</v>
      </c>
      <c r="K14" s="73">
        <f>(getDistance(coord!$C12,coord!$D12,coord!$C$10,coord!$D$10)*1000)/$K$18</f>
        <v>9.2013806307226581E-2</v>
      </c>
      <c r="L14" s="73">
        <f>(getDistance(coord!$C12,coord!$D12,coord!$C$11,coord!$D$11)*1000)/$L$18</f>
        <v>0.10236903700413104</v>
      </c>
      <c r="M14" s="72">
        <f>(getDistance(coord!$C12,coord!$D12,coord!$C$12,coord!$D$12)*1000)/$M$18</f>
        <v>0</v>
      </c>
      <c r="N14" s="73">
        <f>(getDistance(coord!$C12,coord!$D12,coord!$C$13,coord!$D$13)*1000)/$N$18</f>
        <v>0.12287207249563113</v>
      </c>
      <c r="O14" s="73">
        <f>(getDistance(coord!$C12,coord!$D12,coord!$C$14,coord!$D$14)*1000)/$O$18</f>
        <v>0.13952699386374479</v>
      </c>
      <c r="P14" s="101">
        <f>(getDistance(coord!$C12,coord!$D12,coord!$C$15,coord!$D$15)*1000)/$P$18</f>
        <v>0.10462455522978409</v>
      </c>
      <c r="Q14" s="123" t="s">
        <v>80</v>
      </c>
      <c r="R14" s="124">
        <v>19</v>
      </c>
      <c r="S14" s="103">
        <f t="shared" si="2"/>
        <v>4.0540540540540543E-2</v>
      </c>
      <c r="T14" s="103">
        <f t="shared" si="0"/>
        <v>7.9710144927536225E-2</v>
      </c>
      <c r="U14" s="103">
        <f t="shared" si="0"/>
        <v>6.8965517241379309E-2</v>
      </c>
      <c r="V14" s="103">
        <f t="shared" si="0"/>
        <v>3.3333333333333333E-2</v>
      </c>
      <c r="W14" s="103">
        <f t="shared" si="0"/>
        <v>6.4000000000000001E-2</v>
      </c>
      <c r="X14" s="103">
        <f t="shared" si="0"/>
        <v>9.0909090909090912E-2</v>
      </c>
      <c r="Y14" s="103">
        <f t="shared" si="0"/>
        <v>6.9182389937106917E-2</v>
      </c>
      <c r="Z14" s="103">
        <f t="shared" si="0"/>
        <v>2.9411764705882353E-2</v>
      </c>
      <c r="AA14" s="103">
        <f t="shared" si="0"/>
        <v>7.4534161490683232E-2</v>
      </c>
      <c r="AB14" s="103">
        <f t="shared" si="0"/>
        <v>8.3333333333333329E-2</v>
      </c>
      <c r="AC14" s="103">
        <f t="shared" si="0"/>
        <v>8.3003952569169967E-2</v>
      </c>
      <c r="AD14" s="103">
        <f t="shared" si="0"/>
        <v>5.9113300492610835E-2</v>
      </c>
      <c r="AE14" s="103">
        <f t="shared" si="0"/>
        <v>8.4337349397590355E-2</v>
      </c>
      <c r="AF14" s="103">
        <f t="shared" si="0"/>
        <v>8.4337349397590355E-2</v>
      </c>
      <c r="AG14" s="104">
        <f t="shared" si="0"/>
        <v>7.0422535211267609E-2</v>
      </c>
      <c r="AH14" s="82">
        <f t="shared" si="1"/>
        <v>6.7675650899141016E-2</v>
      </c>
    </row>
    <row r="15" spans="1:34" ht="15.75" customHeight="1">
      <c r="A15" s="124">
        <v>13</v>
      </c>
      <c r="B15" s="73">
        <f>(getDistance(coord!C13,coord!D13,coord!$C$1,coord!$D$1)*1000)/$B$18</f>
        <v>5.017983184475526E-2</v>
      </c>
      <c r="C15" s="73">
        <f>(getDistance(coord!C13,coord!D13,coord!$C$2,coord!$D$2)*1000)/$C$18</f>
        <v>6.2862305474947436E-2</v>
      </c>
      <c r="D15" s="73">
        <f>(getDistance(coord!$C13,coord!$D13,coord!$C$3,coord!$D$3)*1000)/$D$18</f>
        <v>7.706112638427047E-2</v>
      </c>
      <c r="E15" s="73">
        <f>(getDistance(coord!$C13,coord!$D13,coord!$C$4,coord!$D$4)*1000)/$E$18</f>
        <v>1.7263037160236069E-2</v>
      </c>
      <c r="F15" s="73">
        <f>(getDistance(coord!$C13,coord!$D13,coord!$C$5,coord!$D$5)*1000)/$F$18</f>
        <v>0.14178680218828463</v>
      </c>
      <c r="G15" s="73">
        <f>(getDistance(coord!$C13,coord!$D13,coord!$C$6,coord!$D$6)*1000)/$G$18</f>
        <v>0.1310677395336825</v>
      </c>
      <c r="H15" s="73">
        <f>(getDistance(coord!$C13,coord!$D13,coord!$C$7,coord!$D$7)*1000)/$H$18</f>
        <v>0.12522390359060237</v>
      </c>
      <c r="I15" s="73">
        <f>(getDistance(coord!$C13,coord!$D13,coord!$C$8,coord!$D$8)*1000)/$I$18</f>
        <v>0.14139230054352664</v>
      </c>
      <c r="J15" s="73">
        <f>(getDistance(coord!$C13,coord!$D13,coord!$C$9,coord!$D$9)*1000)/$J$18</f>
        <v>0.13711876165609851</v>
      </c>
      <c r="K15" s="73">
        <f>(getDistance(coord!$C13,coord!$D13,coord!$C$10,coord!$D$10)*1000)/$K$18</f>
        <v>0.13217834326849706</v>
      </c>
      <c r="L15" s="73">
        <f>(getDistance(coord!$C13,coord!$D13,coord!$C$11,coord!$D$11)*1000)/$L$18</f>
        <v>7.5693956088462189E-2</v>
      </c>
      <c r="M15" s="73">
        <f>(getDistance(coord!$C13,coord!$D13,coord!$C$12,coord!$D$12)*1000)/$M$18</f>
        <v>0.11352333133333851</v>
      </c>
      <c r="N15" s="72">
        <f>(getDistance(coord!$C13,coord!$D13,coord!$C$13,coord!$D$13)*1000)/$N$18</f>
        <v>0</v>
      </c>
      <c r="O15" s="73">
        <f>(getDistance(coord!$C13,coord!$D13,coord!$C$14,coord!$D$14)*1000)/$O$18</f>
        <v>3.5377274278648514E-2</v>
      </c>
      <c r="P15" s="101">
        <f>(getDistance(coord!$C13,coord!$D13,coord!$C$15,coord!$D$15)*1000)/$P$18</f>
        <v>0.11734303371133657</v>
      </c>
      <c r="Q15" s="123" t="s">
        <v>81</v>
      </c>
      <c r="R15" s="124">
        <v>20</v>
      </c>
      <c r="S15" s="103">
        <f t="shared" si="2"/>
        <v>5.4054054054054057E-2</v>
      </c>
      <c r="T15" s="103">
        <f t="shared" si="0"/>
        <v>3.6231884057971016E-2</v>
      </c>
      <c r="U15" s="103">
        <f t="shared" si="0"/>
        <v>6.8965517241379309E-2</v>
      </c>
      <c r="V15" s="103">
        <f t="shared" si="0"/>
        <v>0.05</v>
      </c>
      <c r="W15" s="103">
        <f t="shared" si="0"/>
        <v>0.08</v>
      </c>
      <c r="X15" s="103">
        <f t="shared" si="0"/>
        <v>9.0909090909090912E-2</v>
      </c>
      <c r="Y15" s="103">
        <f t="shared" si="0"/>
        <v>6.2893081761006289E-2</v>
      </c>
      <c r="Z15" s="103">
        <f t="shared" si="0"/>
        <v>8.8235294117647065E-2</v>
      </c>
      <c r="AA15" s="103">
        <f t="shared" si="0"/>
        <v>6.8322981366459631E-2</v>
      </c>
      <c r="AB15" s="103">
        <f t="shared" si="0"/>
        <v>8.3333333333333329E-2</v>
      </c>
      <c r="AC15" s="103">
        <f t="shared" si="0"/>
        <v>6.7193675889328064E-2</v>
      </c>
      <c r="AD15" s="103">
        <f t="shared" si="0"/>
        <v>5.9113300492610835E-2</v>
      </c>
      <c r="AE15" s="103">
        <f t="shared" si="0"/>
        <v>7.2289156626506021E-2</v>
      </c>
      <c r="AF15" s="103">
        <f t="shared" si="0"/>
        <v>8.4337349397590355E-2</v>
      </c>
      <c r="AG15" s="104">
        <f t="shared" si="0"/>
        <v>0.11267605633802817</v>
      </c>
      <c r="AH15" s="82">
        <f t="shared" si="1"/>
        <v>7.1903651705667024E-2</v>
      </c>
    </row>
    <row r="16" spans="1:34" ht="15.75" customHeight="1">
      <c r="A16" s="124">
        <v>14</v>
      </c>
      <c r="B16" s="73">
        <f>(getDistance(coord!C14,coord!D14,coord!$C$1,coord!$D$1)*1000)/$B$18</f>
        <v>1.3168409585852855E-2</v>
      </c>
      <c r="C16" s="73">
        <f>(getDistance(coord!C14,coord!D14,coord!$C$2,coord!$D$2)*1000)/$C$18</f>
        <v>2.4940157786046097E-2</v>
      </c>
      <c r="D16" s="73">
        <f>(getDistance(coord!$C14,coord!$D14,coord!$C$3,coord!$D$3)*1000)/$D$18</f>
        <v>4.0019253184327808E-2</v>
      </c>
      <c r="E16" s="73">
        <f>(getDistance(coord!$C14,coord!$D14,coord!$C$4,coord!$D$4)*1000)/$E$18</f>
        <v>4.2216171089429995E-2</v>
      </c>
      <c r="F16" s="73">
        <f>(getDistance(coord!$C14,coord!$D14,coord!$C$5,coord!$D$5)*1000)/$F$18</f>
        <v>0.11558224742838909</v>
      </c>
      <c r="G16" s="73">
        <f>(getDistance(coord!$C14,coord!$D14,coord!$C$6,coord!$D$6)*1000)/$G$18</f>
        <v>0.11294035706048326</v>
      </c>
      <c r="H16" s="73">
        <f>(getDistance(coord!$C14,coord!$D14,coord!$C$7,coord!$D$7)*1000)/$H$18</f>
        <v>0.11240513752328073</v>
      </c>
      <c r="I16" s="73">
        <f>(getDistance(coord!$C14,coord!$D14,coord!$C$8,coord!$D$8)*1000)/$I$18</f>
        <v>0.11775036264116372</v>
      </c>
      <c r="J16" s="73">
        <f>(getDistance(coord!$C14,coord!$D14,coord!$C$9,coord!$D$9)*1000)/$J$18</f>
        <v>0.109380832561723</v>
      </c>
      <c r="K16" s="73">
        <f>(getDistance(coord!$C14,coord!$D14,coord!$C$10,coord!$D$10)*1000)/$K$18</f>
        <v>0.1067455764963683</v>
      </c>
      <c r="L16" s="73">
        <f>(getDistance(coord!$C14,coord!$D14,coord!$C$11,coord!$D$11)*1000)/$L$18</f>
        <v>7.1103718124148424E-2</v>
      </c>
      <c r="M16" s="73">
        <f>(getDistance(coord!$C14,coord!$D14,coord!$C$12,coord!$D$12)*1000)/$M$18</f>
        <v>0.10611917188735627</v>
      </c>
      <c r="N16" s="73">
        <f>(getDistance(coord!$C14,coord!$D14,coord!$C$13,coord!$D$13)*1000)/$N$18</f>
        <v>2.9122458845096851E-2</v>
      </c>
      <c r="O16" s="72">
        <f>(getDistance(coord!$C14,coord!$D14,coord!$C$14,coord!$D$14)*1000)/$O$18</f>
        <v>0</v>
      </c>
      <c r="P16" s="101">
        <f>(getDistance(coord!$C14,coord!$D14,coord!$C$15,coord!$D$15)*1000)/$P$18</f>
        <v>8.4959934607816812E-2</v>
      </c>
      <c r="Q16" s="123" t="s">
        <v>82</v>
      </c>
      <c r="R16" s="124">
        <v>21</v>
      </c>
      <c r="S16" s="103">
        <f t="shared" si="2"/>
        <v>6.7567567567567571E-2</v>
      </c>
      <c r="T16" s="103">
        <f t="shared" si="0"/>
        <v>6.5217391304347824E-2</v>
      </c>
      <c r="U16" s="103">
        <f t="shared" si="0"/>
        <v>9.4827586206896547E-2</v>
      </c>
      <c r="V16" s="103">
        <f t="shared" si="0"/>
        <v>8.3333333333333329E-2</v>
      </c>
      <c r="W16" s="103">
        <f t="shared" si="0"/>
        <v>6.4000000000000001E-2</v>
      </c>
      <c r="X16" s="103">
        <f t="shared" si="0"/>
        <v>7.2727272727272724E-2</v>
      </c>
      <c r="Y16" s="103">
        <f t="shared" si="0"/>
        <v>8.1761006289308172E-2</v>
      </c>
      <c r="Z16" s="103">
        <f t="shared" si="0"/>
        <v>5.8823529411764705E-2</v>
      </c>
      <c r="AA16" s="103">
        <f t="shared" si="0"/>
        <v>8.0745341614906832E-2</v>
      </c>
      <c r="AB16" s="103">
        <f t="shared" si="0"/>
        <v>5.5555555555555552E-2</v>
      </c>
      <c r="AC16" s="103">
        <f t="shared" si="0"/>
        <v>9.0909090909090912E-2</v>
      </c>
      <c r="AD16" s="103">
        <f t="shared" si="0"/>
        <v>5.9113300492610835E-2</v>
      </c>
      <c r="AE16" s="103">
        <f t="shared" si="0"/>
        <v>8.4337349397590355E-2</v>
      </c>
      <c r="AF16" s="103">
        <f t="shared" si="0"/>
        <v>6.0240963855421686E-2</v>
      </c>
      <c r="AG16" s="104">
        <f t="shared" si="0"/>
        <v>8.4507042253521125E-2</v>
      </c>
      <c r="AH16" s="82">
        <f t="shared" si="1"/>
        <v>7.3577755394612573E-2</v>
      </c>
    </row>
    <row r="17" spans="1:34" ht="15.75" customHeight="1">
      <c r="A17" s="124">
        <v>15</v>
      </c>
      <c r="B17" s="73">
        <f>(getDistance(coord!C15,coord!D15,coord!$C$1,coord!$D$1)*1000)/$B$18</f>
        <v>7.1209747443455748E-2</v>
      </c>
      <c r="C17" s="73">
        <f>(getDistance(coord!C15,coord!D15,coord!$C$2,coord!$D$2)*1000)/$C$18</f>
        <v>6.3471215654142113E-2</v>
      </c>
      <c r="D17" s="73">
        <f>(getDistance(coord!$C15,coord!$D15,coord!$C$3,coord!$D$3)*1000)/$D$18</f>
        <v>5.5745091284026972E-2</v>
      </c>
      <c r="E17" s="73">
        <f>(getDistance(coord!$C15,coord!$D15,coord!$C$4,coord!$D$4)*1000)/$E$18</f>
        <v>8.9544349164598025E-2</v>
      </c>
      <c r="F17" s="73">
        <f>(getDistance(coord!$C15,coord!$D15,coord!$C$5,coord!$D$5)*1000)/$F$18</f>
        <v>4.6720593461987633E-2</v>
      </c>
      <c r="G17" s="73">
        <f>(getDistance(coord!$C15,coord!$D15,coord!$C$6,coord!$D$6)*1000)/$G$18</f>
        <v>6.6942414344036902E-2</v>
      </c>
      <c r="H17" s="73">
        <f>(getDistance(coord!$C15,coord!$D15,coord!$C$7,coord!$D$7)*1000)/$H$18</f>
        <v>6.6006717784590621E-2</v>
      </c>
      <c r="I17" s="73">
        <f>(getDistance(coord!$C15,coord!$D15,coord!$C$8,coord!$D$8)*1000)/$I$18</f>
        <v>5.3569680646186453E-2</v>
      </c>
      <c r="J17" s="73">
        <f>(getDistance(coord!$C15,coord!$D15,coord!$C$9,coord!$D$9)*1000)/$J$18</f>
        <v>3.2934021855036376E-2</v>
      </c>
      <c r="K17" s="73">
        <f>(getDistance(coord!$C15,coord!$D15,coord!$C$10,coord!$D$10)*1000)/$K$18</f>
        <v>5.4046379854951018E-2</v>
      </c>
      <c r="L17" s="73">
        <f>(getDistance(coord!$C15,coord!$D15,coord!$C$11,coord!$D$11)*1000)/$L$18</f>
        <v>8.3735366407521647E-2</v>
      </c>
      <c r="M17" s="73">
        <f>(getDistance(coord!$C15,coord!$D15,coord!$C$12,coord!$D$12)*1000)/$M$18</f>
        <v>7.2268048762982942E-2</v>
      </c>
      <c r="N17" s="73">
        <f>(getDistance(coord!$C15,coord!$D15,coord!$C$13,coord!$D$13)*1000)/$N$18</f>
        <v>8.7727968540502299E-2</v>
      </c>
      <c r="O17" s="73">
        <f>(getDistance(coord!$C15,coord!$D15,coord!$C$14,coord!$D$14)*1000)/$O$18</f>
        <v>7.7159829397700191E-2</v>
      </c>
      <c r="P17" s="102">
        <f>(getDistance(coord!$C15,coord!$D15,coord!$C$15,coord!$D$15)*1000)/$P$18</f>
        <v>0</v>
      </c>
      <c r="Q17" s="123" t="s">
        <v>83</v>
      </c>
      <c r="R17" s="124">
        <v>22</v>
      </c>
      <c r="S17" s="103">
        <f t="shared" si="2"/>
        <v>5.4054054054054057E-2</v>
      </c>
      <c r="T17" s="103">
        <f t="shared" si="0"/>
        <v>7.2463768115942032E-2</v>
      </c>
      <c r="U17" s="103">
        <f t="shared" si="0"/>
        <v>5.1724137931034482E-2</v>
      </c>
      <c r="V17" s="103">
        <f t="shared" si="0"/>
        <v>8.3333333333333329E-2</v>
      </c>
      <c r="W17" s="103">
        <f t="shared" si="0"/>
        <v>7.1999999999999995E-2</v>
      </c>
      <c r="X17" s="103">
        <f t="shared" si="0"/>
        <v>7.2727272727272724E-2</v>
      </c>
      <c r="Y17" s="103">
        <f t="shared" si="0"/>
        <v>8.8050314465408799E-2</v>
      </c>
      <c r="Z17" s="103">
        <f t="shared" si="0"/>
        <v>5.8823529411764705E-2</v>
      </c>
      <c r="AA17" s="103">
        <f t="shared" si="0"/>
        <v>9.3167701863354033E-2</v>
      </c>
      <c r="AB17" s="103">
        <f t="shared" si="0"/>
        <v>8.3333333333333329E-2</v>
      </c>
      <c r="AC17" s="103">
        <f t="shared" si="0"/>
        <v>8.3003952569169967E-2</v>
      </c>
      <c r="AD17" s="103">
        <f t="shared" si="0"/>
        <v>6.4039408866995079E-2</v>
      </c>
      <c r="AE17" s="103">
        <f t="shared" si="0"/>
        <v>4.8192771084337352E-2</v>
      </c>
      <c r="AF17" s="103">
        <f t="shared" si="0"/>
        <v>8.4337349397590355E-2</v>
      </c>
      <c r="AG17" s="104">
        <f t="shared" si="0"/>
        <v>7.0422535211267609E-2</v>
      </c>
      <c r="AH17" s="82">
        <f t="shared" si="1"/>
        <v>7.1978230824323849E-2</v>
      </c>
    </row>
    <row r="18" spans="1:34" ht="15" thickBot="1">
      <c r="A18" s="49"/>
      <c r="B18" s="126">
        <v>3313.0374730736421</v>
      </c>
      <c r="C18" s="126">
        <v>3169.1147781655891</v>
      </c>
      <c r="D18" s="126">
        <v>2925.0791865189221</v>
      </c>
      <c r="E18" s="126">
        <v>4954.5665299303491</v>
      </c>
      <c r="F18" s="126">
        <v>2784.669575139887</v>
      </c>
      <c r="G18" s="126">
        <v>2826.7345247626708</v>
      </c>
      <c r="H18" s="126">
        <v>4044.3533078667401</v>
      </c>
      <c r="I18" s="126">
        <v>2838.5004233816035</v>
      </c>
      <c r="J18" s="126">
        <v>3052.7326216789588</v>
      </c>
      <c r="K18" s="126">
        <v>2596.7794438497749</v>
      </c>
      <c r="L18" s="126">
        <v>3032.2640594874724</v>
      </c>
      <c r="M18" s="126">
        <v>4756.1497395831047</v>
      </c>
      <c r="N18" s="126">
        <v>4394.277330813823</v>
      </c>
      <c r="O18" s="126">
        <v>3617.355020417825</v>
      </c>
      <c r="P18" s="127">
        <v>3285.2484825320653</v>
      </c>
      <c r="R18" s="41"/>
      <c r="S18" s="128">
        <v>370</v>
      </c>
      <c r="T18" s="128">
        <v>690</v>
      </c>
      <c r="U18" s="128">
        <v>580</v>
      </c>
      <c r="V18" s="128">
        <v>300</v>
      </c>
      <c r="W18" s="128">
        <v>625</v>
      </c>
      <c r="X18" s="128">
        <v>275</v>
      </c>
      <c r="Y18" s="128">
        <v>795</v>
      </c>
      <c r="Z18" s="128">
        <v>170</v>
      </c>
      <c r="AA18" s="128">
        <v>805</v>
      </c>
      <c r="AB18" s="128">
        <v>540</v>
      </c>
      <c r="AC18" s="128">
        <v>1265</v>
      </c>
      <c r="AD18" s="128">
        <v>1015</v>
      </c>
      <c r="AE18" s="128">
        <v>415</v>
      </c>
      <c r="AF18" s="128">
        <v>415</v>
      </c>
      <c r="AG18" s="129">
        <v>355</v>
      </c>
    </row>
    <row r="19" spans="1:34" ht="27.75" customHeight="1">
      <c r="A19" s="114" t="s">
        <v>4</v>
      </c>
      <c r="B19" s="114" t="s">
        <v>7</v>
      </c>
      <c r="C19" s="114" t="s">
        <v>9</v>
      </c>
      <c r="D19" s="114" t="s">
        <v>61</v>
      </c>
      <c r="E19" s="114" t="s">
        <v>62</v>
      </c>
      <c r="F19" s="114" t="s">
        <v>63</v>
      </c>
      <c r="G19" s="114" t="s">
        <v>59</v>
      </c>
      <c r="H19" s="115" t="s">
        <v>60</v>
      </c>
      <c r="I19" s="145" t="s">
        <v>33</v>
      </c>
      <c r="J19" s="135" t="s">
        <v>34</v>
      </c>
      <c r="K19" s="148" t="s">
        <v>35</v>
      </c>
      <c r="L19" s="148" t="s">
        <v>84</v>
      </c>
      <c r="M19" s="149" t="s">
        <v>85</v>
      </c>
      <c r="R19" s="121" t="s">
        <v>12</v>
      </c>
      <c r="S19" s="119">
        <v>1</v>
      </c>
      <c r="T19" s="119">
        <v>2</v>
      </c>
      <c r="U19" s="119">
        <v>3</v>
      </c>
      <c r="V19" s="119">
        <v>4</v>
      </c>
      <c r="W19" s="119">
        <v>5</v>
      </c>
      <c r="X19" s="119">
        <v>6</v>
      </c>
      <c r="Y19" s="119">
        <v>7</v>
      </c>
      <c r="Z19" s="119">
        <v>8</v>
      </c>
      <c r="AA19" s="119">
        <v>9</v>
      </c>
      <c r="AB19" s="119">
        <v>10</v>
      </c>
      <c r="AC19" s="119">
        <v>11</v>
      </c>
      <c r="AD19" s="119">
        <v>12</v>
      </c>
      <c r="AE19" s="119">
        <v>13</v>
      </c>
      <c r="AF19" s="119">
        <v>14</v>
      </c>
      <c r="AG19" s="120">
        <v>15</v>
      </c>
    </row>
    <row r="20" spans="1:34" ht="27.75" customHeight="1">
      <c r="A20" s="124">
        <v>8</v>
      </c>
      <c r="B20" s="124">
        <v>11</v>
      </c>
      <c r="C20" s="94" t="str">
        <f t="shared" ref="C20:C34" si="3">VLOOKUP(B20,$A$2:$Q$17,17,1)</f>
        <v>seven-dwarfs-mine-train</v>
      </c>
      <c r="D20" s="94">
        <f>ABS(E20)</f>
        <v>0</v>
      </c>
      <c r="E20" s="8"/>
      <c r="F20" s="78">
        <f t="shared" ref="F20:F34" si="4">INDEX($R$2:$AG$17,MATCH(A20,$R$2:$R$17,0),MATCH(B20,$R$2:$AG$2,0))</f>
        <v>7.9051383399209481E-3</v>
      </c>
      <c r="G20" s="8"/>
      <c r="H20" s="79">
        <f t="shared" ref="H20:H34" si="5">INDEX($R$19:$AG$34,MATCH(A20,$R$19:$R$34,0),MATCH(B20,$R$19:$AG$19,0))</f>
        <v>10</v>
      </c>
      <c r="I20" s="146">
        <v>1</v>
      </c>
      <c r="J20" s="137">
        <v>1</v>
      </c>
      <c r="K20" s="39">
        <v>8</v>
      </c>
      <c r="L20" s="150">
        <f>VLOOKUP(C20,coordMK!C:E,2,0)</f>
        <v>28.420463999999999</v>
      </c>
      <c r="M20" s="151">
        <f>VLOOKUP(C20,coordMK!C:E,3,0)</f>
        <v>-81.580502999999993</v>
      </c>
      <c r="O20" s="133"/>
      <c r="R20" s="124">
        <v>8</v>
      </c>
      <c r="S20" s="130">
        <v>10</v>
      </c>
      <c r="T20" s="130">
        <v>25</v>
      </c>
      <c r="U20" s="130">
        <v>5</v>
      </c>
      <c r="V20" s="130">
        <v>10</v>
      </c>
      <c r="W20" s="130">
        <v>25</v>
      </c>
      <c r="X20" s="130">
        <v>10</v>
      </c>
      <c r="Y20" s="130">
        <v>40</v>
      </c>
      <c r="Z20" s="130">
        <v>5</v>
      </c>
      <c r="AA20" s="130">
        <v>5</v>
      </c>
      <c r="AB20" s="130">
        <v>10</v>
      </c>
      <c r="AC20" s="130">
        <v>10</v>
      </c>
      <c r="AD20" s="130">
        <v>70</v>
      </c>
      <c r="AE20" s="130">
        <v>5</v>
      </c>
      <c r="AF20" s="130">
        <v>5</v>
      </c>
      <c r="AG20" s="131">
        <v>15</v>
      </c>
    </row>
    <row r="21" spans="1:34">
      <c r="A21" s="124">
        <v>9</v>
      </c>
      <c r="B21" s="124">
        <v>7</v>
      </c>
      <c r="C21" s="94" t="str">
        <f t="shared" si="3"/>
        <v>jungle-cruise</v>
      </c>
      <c r="D21" s="94">
        <f t="shared" ref="D21:D34" si="6">ABS(E21)</f>
        <v>6.9503729292049857E-2</v>
      </c>
      <c r="E21" s="83">
        <f t="shared" ref="E21:E34" si="7">INDEX($A$2:$P$17,MATCH(B20,$A$2:$A$17,0),MATCH(B21,$A$2:$P$2,0))</f>
        <v>6.9503729292049857E-2</v>
      </c>
      <c r="F21" s="78">
        <f t="shared" si="4"/>
        <v>4.40251572327044E-2</v>
      </c>
      <c r="G21" s="83">
        <f t="shared" ref="G21:G34" si="8">INDEX($S$36:$AH$52,MATCH(B20,$R$36:$R$51,0),MATCH(B21,$R$36:$AG$36,0))</f>
        <v>194.30568622833701</v>
      </c>
      <c r="H21" s="79">
        <f t="shared" si="5"/>
        <v>35</v>
      </c>
      <c r="I21" s="12">
        <v>1</v>
      </c>
      <c r="J21" s="8">
        <v>1</v>
      </c>
      <c r="K21" s="39">
        <v>9</v>
      </c>
      <c r="L21" s="150">
        <f>VLOOKUP(C21,coordMK!C:E,2,0)</f>
        <v>28.418016000000001</v>
      </c>
      <c r="M21" s="151">
        <f>VLOOKUP(C21,coordMK!C:E,3,0)</f>
        <v>-81.583437000000004</v>
      </c>
      <c r="O21" s="133"/>
      <c r="R21" s="124">
        <v>9</v>
      </c>
      <c r="S21" s="130">
        <v>25</v>
      </c>
      <c r="T21" s="130">
        <v>65</v>
      </c>
      <c r="U21" s="130">
        <v>35</v>
      </c>
      <c r="V21" s="130">
        <v>15</v>
      </c>
      <c r="W21" s="130">
        <v>40</v>
      </c>
      <c r="X21" s="130">
        <v>5</v>
      </c>
      <c r="Y21" s="130">
        <v>35</v>
      </c>
      <c r="Z21" s="130">
        <v>15</v>
      </c>
      <c r="AA21" s="130">
        <v>5</v>
      </c>
      <c r="AB21" s="130">
        <v>30</v>
      </c>
      <c r="AC21" s="130">
        <v>10</v>
      </c>
      <c r="AD21" s="130">
        <v>60</v>
      </c>
      <c r="AE21" s="130">
        <v>5</v>
      </c>
      <c r="AF21" s="130">
        <v>5</v>
      </c>
      <c r="AG21" s="131">
        <v>20</v>
      </c>
    </row>
    <row r="22" spans="1:34">
      <c r="A22" s="124">
        <v>10</v>
      </c>
      <c r="B22" s="124">
        <v>12</v>
      </c>
      <c r="C22" s="94" t="str">
        <f t="shared" si="3"/>
        <v>space-mountain</v>
      </c>
      <c r="D22" s="94">
        <f t="shared" si="6"/>
        <v>1.7027476462157992E-2</v>
      </c>
      <c r="E22" s="83">
        <f t="shared" si="7"/>
        <v>1.7027476462157992E-2</v>
      </c>
      <c r="F22" s="78">
        <f t="shared" si="4"/>
        <v>4.9261083743842367E-2</v>
      </c>
      <c r="G22" s="83">
        <f t="shared" si="8"/>
        <v>506.44970871063845</v>
      </c>
      <c r="H22" s="79">
        <f t="shared" si="5"/>
        <v>50</v>
      </c>
      <c r="I22" s="12">
        <v>1</v>
      </c>
      <c r="J22" s="8">
        <v>1</v>
      </c>
      <c r="K22" s="39">
        <v>10</v>
      </c>
      <c r="L22" s="150">
        <f>VLOOKUP(C22,coordMK!C:E,2,0)</f>
        <v>28.419082</v>
      </c>
      <c r="M22" s="151">
        <f>VLOOKUP(C22,coordMK!C:E,3,0)</f>
        <v>-81.577305999999993</v>
      </c>
      <c r="O22" s="133"/>
      <c r="R22" s="124">
        <v>10</v>
      </c>
      <c r="S22" s="130">
        <v>25</v>
      </c>
      <c r="T22" s="130">
        <v>45</v>
      </c>
      <c r="U22" s="130">
        <v>30</v>
      </c>
      <c r="V22" s="130">
        <v>15</v>
      </c>
      <c r="W22" s="130">
        <v>40</v>
      </c>
      <c r="X22" s="130">
        <v>5</v>
      </c>
      <c r="Y22" s="130">
        <v>60</v>
      </c>
      <c r="Z22" s="130">
        <v>10</v>
      </c>
      <c r="AA22" s="130">
        <v>20</v>
      </c>
      <c r="AB22" s="130">
        <v>45</v>
      </c>
      <c r="AC22" s="130">
        <v>60</v>
      </c>
      <c r="AD22" s="130">
        <v>50</v>
      </c>
      <c r="AE22" s="130">
        <v>20</v>
      </c>
      <c r="AF22" s="130">
        <v>10</v>
      </c>
      <c r="AG22" s="131">
        <v>20</v>
      </c>
    </row>
    <row r="23" spans="1:34">
      <c r="A23" s="124">
        <v>11</v>
      </c>
      <c r="B23" s="124">
        <v>9</v>
      </c>
      <c r="C23" s="94" t="str">
        <f t="shared" si="3"/>
        <v>peter-pans-flight</v>
      </c>
      <c r="D23" s="94">
        <f t="shared" si="6"/>
        <v>7.9998039362600984E-2</v>
      </c>
      <c r="E23" s="83">
        <f t="shared" si="7"/>
        <v>7.9998039362600984E-2</v>
      </c>
      <c r="F23" s="78">
        <f t="shared" si="4"/>
        <v>5.5900621118012424E-2</v>
      </c>
      <c r="G23" s="83">
        <f t="shared" si="8"/>
        <v>238.93956076898075</v>
      </c>
      <c r="H23" s="79">
        <f t="shared" si="5"/>
        <v>45</v>
      </c>
      <c r="I23" s="12">
        <v>1</v>
      </c>
      <c r="J23" s="8">
        <v>1</v>
      </c>
      <c r="K23" s="39">
        <v>11</v>
      </c>
      <c r="L23" s="150">
        <f>VLOOKUP(C23,coordMK!C:E,2,0)</f>
        <v>28.420356000000002</v>
      </c>
      <c r="M23" s="151">
        <f>VLOOKUP(C23,coordMK!C:E,3,0)</f>
        <v>-81.581855000000004</v>
      </c>
      <c r="O23" s="133"/>
      <c r="R23" s="124">
        <v>11</v>
      </c>
      <c r="S23" s="130">
        <v>25</v>
      </c>
      <c r="T23" s="130">
        <v>45</v>
      </c>
      <c r="U23" s="130">
        <v>35</v>
      </c>
      <c r="V23" s="130">
        <v>15</v>
      </c>
      <c r="W23" s="130">
        <v>40</v>
      </c>
      <c r="X23" s="130">
        <v>10</v>
      </c>
      <c r="Y23" s="130">
        <v>45</v>
      </c>
      <c r="Z23" s="130">
        <v>10</v>
      </c>
      <c r="AA23" s="130">
        <v>45</v>
      </c>
      <c r="AB23" s="130">
        <v>40</v>
      </c>
      <c r="AC23" s="130">
        <v>90</v>
      </c>
      <c r="AD23" s="130">
        <v>75</v>
      </c>
      <c r="AE23" s="130">
        <v>50</v>
      </c>
      <c r="AF23" s="130">
        <v>20</v>
      </c>
      <c r="AG23" s="131">
        <v>25</v>
      </c>
    </row>
    <row r="24" spans="1:34">
      <c r="A24" s="124">
        <v>12</v>
      </c>
      <c r="B24" s="124">
        <v>5</v>
      </c>
      <c r="C24" s="94" t="str">
        <f t="shared" si="3"/>
        <v>haunted-mansion</v>
      </c>
      <c r="D24" s="94">
        <f t="shared" si="6"/>
        <v>1.656225464926861E-2</v>
      </c>
      <c r="E24" s="83">
        <f t="shared" si="7"/>
        <v>1.656225464926861E-2</v>
      </c>
      <c r="F24" s="78">
        <f t="shared" si="4"/>
        <v>7.1999999999999995E-2</v>
      </c>
      <c r="G24" s="83">
        <f t="shared" si="8"/>
        <v>115.54084629340073</v>
      </c>
      <c r="H24" s="79">
        <f t="shared" si="5"/>
        <v>45</v>
      </c>
      <c r="I24" s="12">
        <v>1</v>
      </c>
      <c r="J24" s="8">
        <v>1</v>
      </c>
      <c r="K24" s="39">
        <v>12</v>
      </c>
      <c r="L24" s="150">
        <f>VLOOKUP(C24,coordMK!C:E,2,0)</f>
        <v>28.420445999999998</v>
      </c>
      <c r="M24" s="151">
        <f>VLOOKUP(C24,coordMK!C:E,3,0)</f>
        <v>-81.582879000000005</v>
      </c>
      <c r="O24" s="133"/>
      <c r="R24" s="124">
        <v>12</v>
      </c>
      <c r="S24" s="130">
        <v>35</v>
      </c>
      <c r="T24" s="130">
        <v>50</v>
      </c>
      <c r="U24" s="130">
        <v>50</v>
      </c>
      <c r="V24" s="130">
        <v>20</v>
      </c>
      <c r="W24" s="130">
        <v>45</v>
      </c>
      <c r="X24" s="130">
        <v>10</v>
      </c>
      <c r="Y24" s="130">
        <v>50</v>
      </c>
      <c r="Z24" s="130">
        <v>15</v>
      </c>
      <c r="AA24" s="130">
        <v>75</v>
      </c>
      <c r="AB24" s="130">
        <v>30</v>
      </c>
      <c r="AC24" s="130">
        <v>75</v>
      </c>
      <c r="AD24" s="130">
        <v>95</v>
      </c>
      <c r="AE24" s="130">
        <v>35</v>
      </c>
      <c r="AF24" s="130">
        <v>30</v>
      </c>
      <c r="AG24" s="131">
        <v>20</v>
      </c>
    </row>
    <row r="25" spans="1:34">
      <c r="A25" s="124">
        <v>13</v>
      </c>
      <c r="B25" s="124">
        <v>8</v>
      </c>
      <c r="C25" s="94" t="str">
        <f t="shared" si="3"/>
        <v>monsters-inc-laugh-floor</v>
      </c>
      <c r="D25" s="94">
        <f t="shared" si="6"/>
        <v>7.7395722034668945E-3</v>
      </c>
      <c r="E25" s="83">
        <f t="shared" si="7"/>
        <v>7.7395722034668945E-3</v>
      </c>
      <c r="F25" s="78">
        <f t="shared" si="4"/>
        <v>8.8235294117647065E-2</v>
      </c>
      <c r="G25" s="83">
        <f t="shared" si="8"/>
        <v>46.120406617537434</v>
      </c>
      <c r="H25" s="79">
        <f t="shared" si="5"/>
        <v>15</v>
      </c>
      <c r="I25" s="12">
        <v>1</v>
      </c>
      <c r="J25" s="8">
        <v>1</v>
      </c>
      <c r="K25" s="39">
        <v>13</v>
      </c>
      <c r="L25" s="150">
        <f>VLOOKUP(C25,coordMK!C:E,2,0)</f>
        <v>28.418417000000002</v>
      </c>
      <c r="M25" s="151">
        <f>VLOOKUP(C25,coordMK!C:E,3,0)</f>
        <v>-81.579811000000007</v>
      </c>
      <c r="O25" s="133"/>
      <c r="R25" s="124">
        <v>13</v>
      </c>
      <c r="S25" s="130">
        <v>35</v>
      </c>
      <c r="T25" s="130">
        <v>45</v>
      </c>
      <c r="U25" s="130">
        <v>45</v>
      </c>
      <c r="V25" s="130">
        <v>35</v>
      </c>
      <c r="W25" s="130">
        <v>45</v>
      </c>
      <c r="X25" s="130">
        <v>15</v>
      </c>
      <c r="Y25" s="130">
        <v>55</v>
      </c>
      <c r="Z25" s="130">
        <v>15</v>
      </c>
      <c r="AA25" s="130">
        <v>90</v>
      </c>
      <c r="AB25" s="130">
        <v>35</v>
      </c>
      <c r="AC25" s="130">
        <v>75</v>
      </c>
      <c r="AD25" s="130">
        <v>80</v>
      </c>
      <c r="AE25" s="130">
        <v>35</v>
      </c>
      <c r="AF25" s="130">
        <v>35</v>
      </c>
      <c r="AG25" s="131">
        <v>20</v>
      </c>
    </row>
    <row r="26" spans="1:34">
      <c r="A26" s="124">
        <v>14</v>
      </c>
      <c r="B26" s="124">
        <v>6</v>
      </c>
      <c r="C26" s="94" t="str">
        <f t="shared" si="3"/>
        <v>its-a-small-world</v>
      </c>
      <c r="D26" s="94">
        <f t="shared" si="6"/>
        <v>1.9392311637613405E-2</v>
      </c>
      <c r="E26" s="83">
        <f t="shared" si="7"/>
        <v>1.9392311637613405E-2</v>
      </c>
      <c r="F26" s="78">
        <f t="shared" si="4"/>
        <v>7.2727272727272724E-2</v>
      </c>
      <c r="G26" s="83">
        <f t="shared" si="8"/>
        <v>127.04302098859856</v>
      </c>
      <c r="H26" s="79">
        <f t="shared" si="5"/>
        <v>20</v>
      </c>
      <c r="I26" s="12">
        <v>1</v>
      </c>
      <c r="J26" s="8">
        <v>1</v>
      </c>
      <c r="K26" s="39">
        <v>14</v>
      </c>
      <c r="L26" s="150">
        <f>VLOOKUP(C26,coordMK!C:E,2,0)</f>
        <v>28.420539999999999</v>
      </c>
      <c r="M26" s="151">
        <f>VLOOKUP(C26,coordMK!C:E,3,0)</f>
        <v>-81.581951000000004</v>
      </c>
      <c r="O26" s="133"/>
      <c r="R26" s="124">
        <v>14</v>
      </c>
      <c r="S26" s="130">
        <v>20</v>
      </c>
      <c r="T26" s="130">
        <v>40</v>
      </c>
      <c r="U26" s="130">
        <v>45</v>
      </c>
      <c r="V26" s="130">
        <v>35</v>
      </c>
      <c r="W26" s="130">
        <v>40</v>
      </c>
      <c r="X26" s="130">
        <v>20</v>
      </c>
      <c r="Y26" s="130">
        <v>65</v>
      </c>
      <c r="Z26" s="130">
        <v>15</v>
      </c>
      <c r="AA26" s="130">
        <v>70</v>
      </c>
      <c r="AB26" s="130">
        <v>35</v>
      </c>
      <c r="AC26" s="130">
        <v>95</v>
      </c>
      <c r="AD26" s="130">
        <v>80</v>
      </c>
      <c r="AE26" s="130">
        <v>35</v>
      </c>
      <c r="AF26" s="130">
        <v>25</v>
      </c>
      <c r="AG26" s="131">
        <v>20</v>
      </c>
    </row>
    <row r="27" spans="1:34">
      <c r="A27" s="124">
        <v>15</v>
      </c>
      <c r="B27" s="124">
        <v>10</v>
      </c>
      <c r="C27" s="94" t="str">
        <f t="shared" si="3"/>
        <v>pirates-of-the-caribbean</v>
      </c>
      <c r="D27" s="94">
        <f t="shared" si="6"/>
        <v>2.1224732711973001E-2</v>
      </c>
      <c r="E27" s="83">
        <f t="shared" si="7"/>
        <v>2.1224732711973001E-2</v>
      </c>
      <c r="F27" s="78">
        <f t="shared" si="4"/>
        <v>7.407407407407407E-2</v>
      </c>
      <c r="G27" s="83">
        <f t="shared" si="8"/>
        <v>150.6555634966613</v>
      </c>
      <c r="H27" s="79">
        <f t="shared" si="5"/>
        <v>40</v>
      </c>
      <c r="I27" s="12">
        <v>1</v>
      </c>
      <c r="J27" s="8">
        <v>1</v>
      </c>
      <c r="K27" s="39">
        <v>15</v>
      </c>
      <c r="L27" s="150">
        <f>VLOOKUP(C27,coordMK!C:E,2,0)</f>
        <v>28.418123999999999</v>
      </c>
      <c r="M27" s="151">
        <f>VLOOKUP(C27,coordMK!C:E,3,0)</f>
        <v>-81.584284999999994</v>
      </c>
      <c r="O27" s="133"/>
      <c r="R27" s="124">
        <v>15</v>
      </c>
      <c r="S27" s="130">
        <v>40</v>
      </c>
      <c r="T27" s="130">
        <v>40</v>
      </c>
      <c r="U27" s="130">
        <v>45</v>
      </c>
      <c r="V27" s="130">
        <v>35</v>
      </c>
      <c r="W27" s="130">
        <v>45</v>
      </c>
      <c r="X27" s="130">
        <v>20</v>
      </c>
      <c r="Y27" s="130">
        <v>75</v>
      </c>
      <c r="Z27" s="130">
        <v>10</v>
      </c>
      <c r="AA27" s="130">
        <v>65</v>
      </c>
      <c r="AB27" s="130">
        <v>40</v>
      </c>
      <c r="AC27" s="130">
        <v>115</v>
      </c>
      <c r="AD27" s="130">
        <v>70</v>
      </c>
      <c r="AE27" s="130">
        <v>25</v>
      </c>
      <c r="AF27" s="130">
        <v>40</v>
      </c>
      <c r="AG27" s="131">
        <v>25</v>
      </c>
    </row>
    <row r="28" spans="1:34">
      <c r="A28" s="124">
        <v>16</v>
      </c>
      <c r="B28" s="124">
        <v>15</v>
      </c>
      <c r="C28" s="94" t="str">
        <f t="shared" si="3"/>
        <v>tomorrowland-speedway</v>
      </c>
      <c r="D28" s="94">
        <f t="shared" si="6"/>
        <v>4.2720217045397739E-2</v>
      </c>
      <c r="E28" s="83">
        <f t="shared" si="7"/>
        <v>4.2720217045397739E-2</v>
      </c>
      <c r="F28" s="78">
        <f t="shared" si="4"/>
        <v>7.0422535211267609E-2</v>
      </c>
      <c r="G28" s="83">
        <f t="shared" si="8"/>
        <v>0</v>
      </c>
      <c r="H28" s="79">
        <f t="shared" si="5"/>
        <v>25</v>
      </c>
      <c r="I28" s="12">
        <v>1</v>
      </c>
      <c r="J28" s="8">
        <v>1</v>
      </c>
      <c r="K28" s="39">
        <v>16</v>
      </c>
      <c r="L28" s="150">
        <f>VLOOKUP(C28,coordMK!C:E,2,0)</f>
        <v>28.419384000000001</v>
      </c>
      <c r="M28" s="151">
        <f>VLOOKUP(C28,coordMK!C:E,3,0)</f>
        <v>-81.579367000000005</v>
      </c>
      <c r="O28" s="133"/>
      <c r="R28" s="124">
        <v>16</v>
      </c>
      <c r="S28" s="130">
        <v>30</v>
      </c>
      <c r="T28" s="130">
        <v>65</v>
      </c>
      <c r="U28" s="130">
        <v>40</v>
      </c>
      <c r="V28" s="130">
        <v>10</v>
      </c>
      <c r="W28" s="130">
        <v>50</v>
      </c>
      <c r="X28" s="130">
        <v>20</v>
      </c>
      <c r="Y28" s="130">
        <v>60</v>
      </c>
      <c r="Z28" s="130">
        <v>10</v>
      </c>
      <c r="AA28" s="130">
        <v>50</v>
      </c>
      <c r="AB28" s="130">
        <v>40</v>
      </c>
      <c r="AC28" s="130">
        <v>130</v>
      </c>
      <c r="AD28" s="130">
        <v>70</v>
      </c>
      <c r="AE28" s="130">
        <v>35</v>
      </c>
      <c r="AF28" s="130">
        <v>35</v>
      </c>
      <c r="AG28" s="131">
        <v>25</v>
      </c>
    </row>
    <row r="29" spans="1:34">
      <c r="A29" s="124">
        <v>17</v>
      </c>
      <c r="B29" s="124">
        <v>3</v>
      </c>
      <c r="C29" s="94" t="str">
        <f t="shared" si="3"/>
        <v>buzz-lightyears-space-ranger-spin</v>
      </c>
      <c r="D29" s="94">
        <f t="shared" si="6"/>
        <v>5.5745091284026972E-2</v>
      </c>
      <c r="E29" s="83">
        <f t="shared" si="7"/>
        <v>5.5745091284026972E-2</v>
      </c>
      <c r="F29" s="78">
        <f t="shared" si="4"/>
        <v>6.8965517241379309E-2</v>
      </c>
      <c r="G29" s="83">
        <f t="shared" si="8"/>
        <v>443.65343531531397</v>
      </c>
      <c r="H29" s="79">
        <f t="shared" si="5"/>
        <v>40</v>
      </c>
      <c r="I29" s="12">
        <v>1</v>
      </c>
      <c r="J29" s="8">
        <v>1</v>
      </c>
      <c r="K29" s="39">
        <v>17</v>
      </c>
      <c r="L29" s="150">
        <f>VLOOKUP(C29,coordMK!C:E,2,0)</f>
        <v>28.418243</v>
      </c>
      <c r="M29" s="151">
        <f>VLOOKUP(C29,coordMK!C:E,3,0)</f>
        <v>-81.579359999999994</v>
      </c>
      <c r="R29" s="124">
        <v>17</v>
      </c>
      <c r="S29" s="130">
        <v>30</v>
      </c>
      <c r="T29" s="130">
        <v>45</v>
      </c>
      <c r="U29" s="130">
        <v>40</v>
      </c>
      <c r="V29" s="130">
        <v>15</v>
      </c>
      <c r="W29" s="130">
        <v>45</v>
      </c>
      <c r="X29" s="130">
        <v>35</v>
      </c>
      <c r="Y29" s="130">
        <v>30</v>
      </c>
      <c r="Z29" s="130">
        <v>10</v>
      </c>
      <c r="AA29" s="130">
        <v>50</v>
      </c>
      <c r="AB29" s="130">
        <v>40</v>
      </c>
      <c r="AC29" s="130">
        <v>110</v>
      </c>
      <c r="AD29" s="130">
        <v>60</v>
      </c>
      <c r="AE29" s="130">
        <v>30</v>
      </c>
      <c r="AF29" s="130">
        <v>50</v>
      </c>
      <c r="AG29" s="131">
        <v>25</v>
      </c>
    </row>
    <row r="30" spans="1:34">
      <c r="A30" s="124">
        <v>18</v>
      </c>
      <c r="B30" s="124">
        <v>2</v>
      </c>
      <c r="C30" s="94" t="str">
        <f t="shared" si="3"/>
        <v>big-thunder-mountain-railroad</v>
      </c>
      <c r="D30" s="94">
        <f t="shared" si="6"/>
        <v>1.4021686904213865E-2</v>
      </c>
      <c r="E30" s="83">
        <f t="shared" si="7"/>
        <v>1.4021686904213865E-2</v>
      </c>
      <c r="F30" s="78">
        <f t="shared" si="4"/>
        <v>7.2463768115942032E-2</v>
      </c>
      <c r="G30" s="83">
        <f t="shared" si="8"/>
        <v>0</v>
      </c>
      <c r="H30" s="79">
        <f t="shared" si="5"/>
        <v>50</v>
      </c>
      <c r="I30" s="12">
        <v>1</v>
      </c>
      <c r="J30" s="8">
        <v>1</v>
      </c>
      <c r="K30" s="39">
        <v>18</v>
      </c>
      <c r="L30" s="150">
        <f>VLOOKUP(C30,coordMK!C:E,2,0)</f>
        <v>28.420021999999999</v>
      </c>
      <c r="M30" s="151">
        <f>VLOOKUP(C30,coordMK!C:E,3,0)</f>
        <v>-81.584692000000004</v>
      </c>
      <c r="R30" s="124">
        <v>18</v>
      </c>
      <c r="S30" s="130">
        <v>15</v>
      </c>
      <c r="T30" s="130">
        <v>50</v>
      </c>
      <c r="U30" s="130">
        <v>45</v>
      </c>
      <c r="V30" s="130">
        <v>20</v>
      </c>
      <c r="W30" s="130">
        <v>35</v>
      </c>
      <c r="X30" s="130">
        <v>35</v>
      </c>
      <c r="Y30" s="130">
        <v>40</v>
      </c>
      <c r="Z30" s="130">
        <v>15</v>
      </c>
      <c r="AA30" s="130">
        <v>75</v>
      </c>
      <c r="AB30" s="130">
        <v>30</v>
      </c>
      <c r="AC30" s="130">
        <v>85</v>
      </c>
      <c r="AD30" s="130">
        <v>60</v>
      </c>
      <c r="AE30" s="130">
        <v>20</v>
      </c>
      <c r="AF30" s="130">
        <v>30</v>
      </c>
      <c r="AG30" s="131">
        <v>20</v>
      </c>
    </row>
    <row r="31" spans="1:34">
      <c r="A31" s="124">
        <v>19</v>
      </c>
      <c r="B31" s="124">
        <v>1</v>
      </c>
      <c r="C31" s="94" t="str">
        <f t="shared" si="3"/>
        <v>astro-orbiter</v>
      </c>
      <c r="D31" s="94">
        <f t="shared" si="6"/>
        <v>1.0689802865799129E-2</v>
      </c>
      <c r="E31" s="83">
        <f t="shared" si="7"/>
        <v>1.0689802865799129E-2</v>
      </c>
      <c r="F31" s="78">
        <f t="shared" si="4"/>
        <v>4.0540540540540543E-2</v>
      </c>
      <c r="G31" s="83">
        <f t="shared" si="8"/>
        <v>0</v>
      </c>
      <c r="H31" s="79">
        <f t="shared" si="5"/>
        <v>15</v>
      </c>
      <c r="I31" s="12">
        <v>1</v>
      </c>
      <c r="J31" s="8">
        <v>1</v>
      </c>
      <c r="K31" s="39">
        <v>19</v>
      </c>
      <c r="L31" s="150">
        <f>VLOOKUP(C31,coordMK!C:E,2,0)</f>
        <v>28.418493000000002</v>
      </c>
      <c r="M31" s="151">
        <f>VLOOKUP(C31,coordMK!C:E,3,0)</f>
        <v>-81.579230999999993</v>
      </c>
      <c r="R31" s="124">
        <v>19</v>
      </c>
      <c r="S31" s="130">
        <v>15</v>
      </c>
      <c r="T31" s="130">
        <v>55</v>
      </c>
      <c r="U31" s="130">
        <v>40</v>
      </c>
      <c r="V31" s="130">
        <v>10</v>
      </c>
      <c r="W31" s="130">
        <v>40</v>
      </c>
      <c r="X31" s="130">
        <v>25</v>
      </c>
      <c r="Y31" s="130">
        <v>55</v>
      </c>
      <c r="Z31" s="130">
        <v>5</v>
      </c>
      <c r="AA31" s="130">
        <v>60</v>
      </c>
      <c r="AB31" s="130">
        <v>45</v>
      </c>
      <c r="AC31" s="130">
        <v>105</v>
      </c>
      <c r="AD31" s="130">
        <v>60</v>
      </c>
      <c r="AE31" s="130">
        <v>35</v>
      </c>
      <c r="AF31" s="130">
        <v>35</v>
      </c>
      <c r="AG31" s="131">
        <v>25</v>
      </c>
    </row>
    <row r="32" spans="1:34">
      <c r="A32" s="124">
        <v>20</v>
      </c>
      <c r="B32" s="124">
        <v>14</v>
      </c>
      <c r="C32" s="94" t="str">
        <f t="shared" si="3"/>
        <v>the-many-adventures-of-winnie-the-pooh</v>
      </c>
      <c r="D32" s="94">
        <f t="shared" si="6"/>
        <v>1.2060589622102796E-2</v>
      </c>
      <c r="E32" s="83">
        <f t="shared" si="7"/>
        <v>1.2060589622102796E-2</v>
      </c>
      <c r="F32" s="78">
        <f t="shared" si="4"/>
        <v>8.4337349397590355E-2</v>
      </c>
      <c r="G32" s="83">
        <f t="shared" si="8"/>
        <v>235.9205617282789</v>
      </c>
      <c r="H32" s="79">
        <f t="shared" si="5"/>
        <v>35</v>
      </c>
      <c r="I32" s="12">
        <v>1</v>
      </c>
      <c r="J32" s="8">
        <v>1</v>
      </c>
      <c r="K32" s="39">
        <v>20</v>
      </c>
      <c r="L32" s="150">
        <f>VLOOKUP(C32,coordMK!C:E,2,0)</f>
        <v>28.420138999999999</v>
      </c>
      <c r="M32" s="151">
        <f>VLOOKUP(C32,coordMK!C:E,3,0)</f>
        <v>-81.580201000000002</v>
      </c>
      <c r="R32" s="124">
        <v>20</v>
      </c>
      <c r="S32" s="130">
        <v>20</v>
      </c>
      <c r="T32" s="130">
        <v>25</v>
      </c>
      <c r="U32" s="130">
        <v>40</v>
      </c>
      <c r="V32" s="130">
        <v>15</v>
      </c>
      <c r="W32" s="130">
        <v>50</v>
      </c>
      <c r="X32" s="130">
        <v>25</v>
      </c>
      <c r="Y32" s="130">
        <v>50</v>
      </c>
      <c r="Z32" s="130">
        <v>15</v>
      </c>
      <c r="AA32" s="130">
        <v>55</v>
      </c>
      <c r="AB32" s="130">
        <v>45</v>
      </c>
      <c r="AC32" s="130">
        <v>85</v>
      </c>
      <c r="AD32" s="130">
        <v>60</v>
      </c>
      <c r="AE32" s="130">
        <v>30</v>
      </c>
      <c r="AF32" s="130">
        <v>35</v>
      </c>
      <c r="AG32" s="131">
        <v>40</v>
      </c>
    </row>
    <row r="33" spans="1:33">
      <c r="A33" s="124">
        <v>21</v>
      </c>
      <c r="B33" s="124">
        <v>13</v>
      </c>
      <c r="C33" s="94" t="str">
        <f t="shared" si="3"/>
        <v>splash-mountain</v>
      </c>
      <c r="D33" s="94">
        <f t="shared" si="6"/>
        <v>2.9122458845096851E-2</v>
      </c>
      <c r="E33" s="83">
        <f t="shared" si="7"/>
        <v>2.9122458845096851E-2</v>
      </c>
      <c r="F33" s="78">
        <f t="shared" si="4"/>
        <v>8.4337349397590355E-2</v>
      </c>
      <c r="G33" s="83">
        <f t="shared" si="8"/>
        <v>0</v>
      </c>
      <c r="H33" s="79">
        <f t="shared" si="5"/>
        <v>35</v>
      </c>
      <c r="I33" s="12">
        <v>1</v>
      </c>
      <c r="J33" s="8">
        <v>1</v>
      </c>
      <c r="K33" s="39">
        <v>21</v>
      </c>
      <c r="L33" s="150">
        <f>VLOOKUP(C33,coordMK!C:E,2,0)</f>
        <v>28.419139000000001</v>
      </c>
      <c r="M33" s="151">
        <f>VLOOKUP(C33,coordMK!C:E,3,0)</f>
        <v>-81.585058000000004</v>
      </c>
      <c r="R33" s="124">
        <v>21</v>
      </c>
      <c r="S33" s="130">
        <v>25</v>
      </c>
      <c r="T33" s="130">
        <v>45</v>
      </c>
      <c r="U33" s="130">
        <v>55</v>
      </c>
      <c r="V33" s="130">
        <v>25</v>
      </c>
      <c r="W33" s="130">
        <v>40</v>
      </c>
      <c r="X33" s="130">
        <v>20</v>
      </c>
      <c r="Y33" s="130">
        <v>65</v>
      </c>
      <c r="Z33" s="130">
        <v>10</v>
      </c>
      <c r="AA33" s="130">
        <v>65</v>
      </c>
      <c r="AB33" s="130">
        <v>30</v>
      </c>
      <c r="AC33" s="130">
        <v>115</v>
      </c>
      <c r="AD33" s="130">
        <v>60</v>
      </c>
      <c r="AE33" s="130">
        <v>35</v>
      </c>
      <c r="AF33" s="130">
        <v>25</v>
      </c>
      <c r="AG33" s="131">
        <v>30</v>
      </c>
    </row>
    <row r="34" spans="1:33" ht="15" thickBot="1">
      <c r="A34" s="132">
        <v>22</v>
      </c>
      <c r="B34" s="132">
        <v>4</v>
      </c>
      <c r="C34" s="97" t="str">
        <f t="shared" si="3"/>
        <v>dumbo-the-flying-elephant</v>
      </c>
      <c r="D34" s="97">
        <f t="shared" si="6"/>
        <v>1.7263037160236069E-2</v>
      </c>
      <c r="E34" s="105">
        <f t="shared" si="7"/>
        <v>1.7263037160236069E-2</v>
      </c>
      <c r="F34" s="80">
        <f t="shared" si="4"/>
        <v>8.3333333333333329E-2</v>
      </c>
      <c r="G34" s="105">
        <f t="shared" si="8"/>
        <v>394.82939421009377</v>
      </c>
      <c r="H34" s="81">
        <f t="shared" si="5"/>
        <v>25</v>
      </c>
      <c r="I34" s="41">
        <v>1</v>
      </c>
      <c r="J34" s="16">
        <v>1</v>
      </c>
      <c r="K34" s="147">
        <v>22</v>
      </c>
      <c r="L34" s="152">
        <f>VLOOKUP(C34,coordMK!C:E,2,0)</f>
        <v>28.420459999999999</v>
      </c>
      <c r="M34" s="153">
        <f>VLOOKUP(C34,coordMK!C:E,3,0)</f>
        <v>-81.578979000000004</v>
      </c>
      <c r="R34" s="124">
        <v>22</v>
      </c>
      <c r="S34" s="130">
        <v>20</v>
      </c>
      <c r="T34" s="130">
        <v>50</v>
      </c>
      <c r="U34" s="130">
        <v>30</v>
      </c>
      <c r="V34" s="130">
        <v>25</v>
      </c>
      <c r="W34" s="130">
        <v>45</v>
      </c>
      <c r="X34" s="130">
        <v>20</v>
      </c>
      <c r="Y34" s="130">
        <v>70</v>
      </c>
      <c r="Z34" s="130">
        <v>10</v>
      </c>
      <c r="AA34" s="130">
        <v>75</v>
      </c>
      <c r="AB34" s="130">
        <v>45</v>
      </c>
      <c r="AC34" s="130">
        <v>105</v>
      </c>
      <c r="AD34" s="130">
        <v>65</v>
      </c>
      <c r="AE34" s="130">
        <v>20</v>
      </c>
      <c r="AF34" s="130">
        <v>35</v>
      </c>
      <c r="AG34" s="131">
        <v>25</v>
      </c>
    </row>
    <row r="35" spans="1:33" ht="15.75" thickBot="1">
      <c r="A35" s="7"/>
      <c r="B35" s="4"/>
      <c r="C35" s="4"/>
      <c r="D35" s="108">
        <f>SUM(D20:D34)</f>
        <v>0.41307100004600417</v>
      </c>
      <c r="F35" s="82">
        <f>SUM(F20:F34)</f>
        <v>0.96852903459111761</v>
      </c>
      <c r="G35" s="106">
        <f>SUM(G21:G34)</f>
        <v>2453.4581843578403</v>
      </c>
      <c r="H35" s="107">
        <f>SUM(H20:H34)</f>
        <v>485</v>
      </c>
      <c r="K35" s="82">
        <f>D35-SUM(D27:D30)</f>
        <v>0.27935927210039257</v>
      </c>
      <c r="R35" s="41"/>
      <c r="S35" s="109">
        <f>SUM(S20:S34)</f>
        <v>370</v>
      </c>
      <c r="T35" s="109">
        <f t="shared" ref="T35:AG35" si="9">SUM(T20:T34)</f>
        <v>690</v>
      </c>
      <c r="U35" s="109">
        <f t="shared" si="9"/>
        <v>580</v>
      </c>
      <c r="V35" s="109">
        <f t="shared" si="9"/>
        <v>300</v>
      </c>
      <c r="W35" s="109">
        <f t="shared" si="9"/>
        <v>625</v>
      </c>
      <c r="X35" s="109">
        <f t="shared" si="9"/>
        <v>275</v>
      </c>
      <c r="Y35" s="109">
        <f t="shared" si="9"/>
        <v>795</v>
      </c>
      <c r="Z35" s="109">
        <f t="shared" si="9"/>
        <v>170</v>
      </c>
      <c r="AA35" s="109">
        <f t="shared" si="9"/>
        <v>805</v>
      </c>
      <c r="AB35" s="109">
        <f t="shared" si="9"/>
        <v>540</v>
      </c>
      <c r="AC35" s="109">
        <f t="shared" si="9"/>
        <v>1265</v>
      </c>
      <c r="AD35" s="109">
        <f t="shared" si="9"/>
        <v>1015</v>
      </c>
      <c r="AE35" s="109">
        <f t="shared" si="9"/>
        <v>415</v>
      </c>
      <c r="AF35" s="109">
        <f t="shared" si="9"/>
        <v>415</v>
      </c>
      <c r="AG35" s="110">
        <f t="shared" si="9"/>
        <v>355</v>
      </c>
    </row>
    <row r="36" spans="1:33">
      <c r="C36" s="133" t="s">
        <v>3</v>
      </c>
      <c r="D36" s="134">
        <v>1</v>
      </c>
      <c r="F36" s="134">
        <v>0</v>
      </c>
      <c r="K36" s="82">
        <f>F35-SUM(F27:F30)</f>
        <v>0.68260313994845456</v>
      </c>
      <c r="R36" s="121" t="s">
        <v>7</v>
      </c>
      <c r="S36" s="119">
        <v>1</v>
      </c>
      <c r="T36" s="119">
        <v>2</v>
      </c>
      <c r="U36" s="119">
        <v>3</v>
      </c>
      <c r="V36" s="119">
        <v>4</v>
      </c>
      <c r="W36" s="119">
        <v>5</v>
      </c>
      <c r="X36" s="119">
        <v>6</v>
      </c>
      <c r="Y36" s="119">
        <v>7</v>
      </c>
      <c r="Z36" s="119">
        <v>8</v>
      </c>
      <c r="AA36" s="119">
        <v>9</v>
      </c>
      <c r="AB36" s="119">
        <v>10</v>
      </c>
      <c r="AC36" s="119">
        <v>11</v>
      </c>
      <c r="AD36" s="119">
        <v>12</v>
      </c>
      <c r="AE36" s="119">
        <v>13</v>
      </c>
      <c r="AF36" s="119">
        <v>14</v>
      </c>
      <c r="AG36" s="120">
        <v>15</v>
      </c>
    </row>
    <row r="37" spans="1:33" ht="15">
      <c r="L37" s="133" t="s">
        <v>31</v>
      </c>
      <c r="R37" s="124">
        <v>1</v>
      </c>
      <c r="S37" s="111">
        <f t="shared" ref="S37:AG51" si="10">B3*B$18</f>
        <v>0</v>
      </c>
      <c r="T37" s="78">
        <f t="shared" si="10"/>
        <v>35.41571747416252</v>
      </c>
      <c r="U37" s="78">
        <f t="shared" si="10"/>
        <v>75.235308449802986</v>
      </c>
      <c r="V37" s="78">
        <f t="shared" si="10"/>
        <v>243.12415046854716</v>
      </c>
      <c r="W37" s="78">
        <f t="shared" si="10"/>
        <v>285.38608101250298</v>
      </c>
      <c r="X37" s="78">
        <f t="shared" si="10"/>
        <v>289.17855867575389</v>
      </c>
      <c r="Y37" s="78">
        <f t="shared" si="10"/>
        <v>422.239931684601</v>
      </c>
      <c r="Z37" s="78">
        <f t="shared" si="10"/>
        <v>299.18469658294089</v>
      </c>
      <c r="AA37" s="78">
        <f t="shared" si="10"/>
        <v>294.34674965435448</v>
      </c>
      <c r="AB37" s="78">
        <f t="shared" si="10"/>
        <v>243.58872607986012</v>
      </c>
      <c r="AC37" s="78">
        <f t="shared" si="10"/>
        <v>203.00393542072791</v>
      </c>
      <c r="AD37" s="78">
        <f t="shared" si="10"/>
        <v>476.53795812918798</v>
      </c>
      <c r="AE37" s="78">
        <f t="shared" si="10"/>
        <v>166.24766329420822</v>
      </c>
      <c r="AF37" s="78">
        <f t="shared" si="10"/>
        <v>43.627434418712667</v>
      </c>
      <c r="AG37" s="79">
        <f t="shared" si="10"/>
        <v>235.9205617282789</v>
      </c>
    </row>
    <row r="38" spans="1:33" ht="15">
      <c r="C38" s="108">
        <f>D35*D36</f>
        <v>0.41307100004600417</v>
      </c>
      <c r="E38" s="82">
        <f>F35*F36</f>
        <v>0</v>
      </c>
      <c r="G38" s="133" t="s">
        <v>8</v>
      </c>
      <c r="H38" s="113">
        <f>E38+C38</f>
        <v>0.41307100004600417</v>
      </c>
      <c r="I38" s="4"/>
      <c r="J38" s="4"/>
      <c r="K38" s="4"/>
      <c r="L38" s="133" t="s">
        <v>32</v>
      </c>
      <c r="R38" s="124">
        <v>2</v>
      </c>
      <c r="S38" s="78">
        <f t="shared" si="10"/>
        <v>35.41571747416252</v>
      </c>
      <c r="T38" s="111">
        <f t="shared" si="10"/>
        <v>0</v>
      </c>
      <c r="U38" s="78">
        <f t="shared" si="10"/>
        <v>44.436335182955069</v>
      </c>
      <c r="V38" s="78">
        <f t="shared" si="10"/>
        <v>273.1282170184997</v>
      </c>
      <c r="W38" s="78">
        <f t="shared" si="10"/>
        <v>257.94215654492939</v>
      </c>
      <c r="X38" s="78">
        <f t="shared" si="10"/>
        <v>268.18432904191525</v>
      </c>
      <c r="Y38" s="78">
        <f t="shared" si="10"/>
        <v>398.14575455830294</v>
      </c>
      <c r="Z38" s="78">
        <f t="shared" si="10"/>
        <v>273.11509923526529</v>
      </c>
      <c r="AA38" s="78">
        <f t="shared" si="10"/>
        <v>263.58393767409399</v>
      </c>
      <c r="AB38" s="78">
        <f t="shared" si="10"/>
        <v>219.53121870866028</v>
      </c>
      <c r="AC38" s="78">
        <f t="shared" si="10"/>
        <v>200.11373184634658</v>
      </c>
      <c r="AD38" s="78">
        <f t="shared" si="10"/>
        <v>456.11462948302579</v>
      </c>
      <c r="AE38" s="78">
        <f t="shared" si="10"/>
        <v>199.21786127021554</v>
      </c>
      <c r="AF38" s="78">
        <f t="shared" si="10"/>
        <v>79.03822260954027</v>
      </c>
      <c r="AG38" s="79">
        <f t="shared" si="10"/>
        <v>201.14756751767686</v>
      </c>
    </row>
    <row r="39" spans="1:33" ht="15">
      <c r="R39" s="124">
        <v>3</v>
      </c>
      <c r="S39" s="78">
        <f t="shared" si="10"/>
        <v>75.235308449802986</v>
      </c>
      <c r="T39" s="78">
        <f t="shared" si="10"/>
        <v>44.436335182955069</v>
      </c>
      <c r="U39" s="111">
        <f t="shared" si="10"/>
        <v>0</v>
      </c>
      <c r="V39" s="78">
        <f t="shared" si="10"/>
        <v>291.68873208474383</v>
      </c>
      <c r="W39" s="78">
        <f t="shared" si="10"/>
        <v>213.54567105456346</v>
      </c>
      <c r="X39" s="78">
        <f t="shared" si="10"/>
        <v>226.12164826396045</v>
      </c>
      <c r="Y39" s="78">
        <f t="shared" si="10"/>
        <v>354.40223799523591</v>
      </c>
      <c r="Z39" s="78">
        <f t="shared" si="10"/>
        <v>228.93534948956807</v>
      </c>
      <c r="AA39" s="78">
        <f t="shared" si="10"/>
        <v>219.64957303895187</v>
      </c>
      <c r="AB39" s="78">
        <f t="shared" si="10"/>
        <v>176.13361760590166</v>
      </c>
      <c r="AC39" s="78">
        <f t="shared" si="10"/>
        <v>175.53810902631469</v>
      </c>
      <c r="AD39" s="78">
        <f t="shared" si="10"/>
        <v>413.86441663557724</v>
      </c>
      <c r="AE39" s="78">
        <f t="shared" si="10"/>
        <v>225.4098968763337</v>
      </c>
      <c r="AF39" s="78">
        <f t="shared" si="10"/>
        <v>117.05948454950835</v>
      </c>
      <c r="AG39" s="79">
        <f t="shared" si="10"/>
        <v>163.05880626550467</v>
      </c>
    </row>
    <row r="40" spans="1:33" ht="15">
      <c r="L40" s="4"/>
      <c r="M40" s="4"/>
      <c r="N40" s="4"/>
      <c r="O40" s="4"/>
      <c r="P40" s="4"/>
      <c r="Q40" s="4"/>
      <c r="R40" s="124">
        <v>4</v>
      </c>
      <c r="S40" s="78">
        <f t="shared" si="10"/>
        <v>243.12415046854716</v>
      </c>
      <c r="T40" s="78">
        <f t="shared" si="10"/>
        <v>273.1282170184997</v>
      </c>
      <c r="U40" s="78">
        <f t="shared" si="10"/>
        <v>291.68873208474383</v>
      </c>
      <c r="V40" s="111">
        <f t="shared" si="10"/>
        <v>0</v>
      </c>
      <c r="W40" s="78">
        <f t="shared" si="10"/>
        <v>430.58523917795361</v>
      </c>
      <c r="X40" s="78">
        <f t="shared" si="10"/>
        <v>393.65678799828748</v>
      </c>
      <c r="Y40" s="78">
        <f t="shared" si="10"/>
        <v>523.92586826058493</v>
      </c>
      <c r="Z40" s="78">
        <f t="shared" si="10"/>
        <v>433.02117322658597</v>
      </c>
      <c r="AA40" s="78">
        <f t="shared" si="10"/>
        <v>460.99990848306379</v>
      </c>
      <c r="AB40" s="78">
        <f t="shared" si="10"/>
        <v>377.39239285121084</v>
      </c>
      <c r="AC40" s="78">
        <f t="shared" si="10"/>
        <v>243.50268764516565</v>
      </c>
      <c r="AD40" s="78">
        <f t="shared" si="10"/>
        <v>545.19424297983869</v>
      </c>
      <c r="AE40" s="78">
        <f t="shared" si="10"/>
        <v>85.530866119049492</v>
      </c>
      <c r="AF40" s="78">
        <f t="shared" si="10"/>
        <v>209.16282830150311</v>
      </c>
      <c r="AG40" s="79">
        <f t="shared" si="10"/>
        <v>443.65343531531397</v>
      </c>
    </row>
    <row r="41" spans="1:33" ht="15">
      <c r="C41" s="133" t="s">
        <v>64</v>
      </c>
      <c r="G41" s="82">
        <f>G35*3</f>
        <v>7360.3745530735214</v>
      </c>
      <c r="R41" s="124">
        <v>5</v>
      </c>
      <c r="S41" s="78">
        <f t="shared" si="10"/>
        <v>285.38608101250298</v>
      </c>
      <c r="T41" s="78">
        <f t="shared" si="10"/>
        <v>257.94215654492939</v>
      </c>
      <c r="U41" s="78">
        <f t="shared" si="10"/>
        <v>213.54567105456346</v>
      </c>
      <c r="V41" s="78">
        <f t="shared" si="10"/>
        <v>430.58523917795367</v>
      </c>
      <c r="W41" s="111">
        <f t="shared" si="10"/>
        <v>0</v>
      </c>
      <c r="X41" s="78">
        <f t="shared" si="10"/>
        <v>69.455125502039664</v>
      </c>
      <c r="Y41" s="78">
        <f t="shared" si="10"/>
        <v>146.08932876096961</v>
      </c>
      <c r="Z41" s="78">
        <f t="shared" si="10"/>
        <v>21.968778976333269</v>
      </c>
      <c r="AA41" s="78">
        <f t="shared" si="10"/>
        <v>46.120406617537434</v>
      </c>
      <c r="AB41" s="78">
        <f t="shared" si="10"/>
        <v>53.252802281154523</v>
      </c>
      <c r="AC41" s="78">
        <f t="shared" si="10"/>
        <v>196.18586926043142</v>
      </c>
      <c r="AD41" s="78">
        <f t="shared" si="10"/>
        <v>217.34893875517616</v>
      </c>
      <c r="AE41" s="78">
        <f t="shared" si="10"/>
        <v>394.82939421009377</v>
      </c>
      <c r="AF41" s="78">
        <f t="shared" si="10"/>
        <v>321.85836784012554</v>
      </c>
      <c r="AG41" s="79">
        <f t="shared" si="10"/>
        <v>130.10141514607648</v>
      </c>
    </row>
    <row r="42" spans="1:33" ht="15">
      <c r="C42" s="133" t="s">
        <v>65</v>
      </c>
      <c r="G42" s="82">
        <f>G41/5280</f>
        <v>1.3940103320215003</v>
      </c>
      <c r="R42" s="124">
        <v>6</v>
      </c>
      <c r="S42" s="78">
        <f t="shared" si="10"/>
        <v>289.17855867575389</v>
      </c>
      <c r="T42" s="78">
        <f t="shared" si="10"/>
        <v>268.18432904191525</v>
      </c>
      <c r="U42" s="78">
        <f t="shared" si="10"/>
        <v>226.12164826396042</v>
      </c>
      <c r="V42" s="78">
        <f t="shared" si="10"/>
        <v>393.6567879982876</v>
      </c>
      <c r="W42" s="78">
        <f t="shared" si="10"/>
        <v>69.455125502039664</v>
      </c>
      <c r="X42" s="111">
        <f t="shared" si="10"/>
        <v>0</v>
      </c>
      <c r="Y42" s="78">
        <f t="shared" si="10"/>
        <v>137.10365996034804</v>
      </c>
      <c r="Z42" s="78">
        <f t="shared" si="10"/>
        <v>54.816916820998742</v>
      </c>
      <c r="AA42" s="78">
        <f t="shared" si="10"/>
        <v>115.54084629340072</v>
      </c>
      <c r="AB42" s="78">
        <f t="shared" si="10"/>
        <v>55.115949607657377</v>
      </c>
      <c r="AC42" s="78">
        <f t="shared" si="10"/>
        <v>150.6555634966613</v>
      </c>
      <c r="AD42" s="78">
        <f t="shared" si="10"/>
        <v>187.93059434003794</v>
      </c>
      <c r="AE42" s="78">
        <f t="shared" si="10"/>
        <v>370.49370442246158</v>
      </c>
      <c r="AF42" s="78">
        <f t="shared" si="10"/>
        <v>319.2524065418915</v>
      </c>
      <c r="AG42" s="79">
        <f t="shared" si="10"/>
        <v>189.22843379725697</v>
      </c>
    </row>
    <row r="43" spans="1:33" ht="15">
      <c r="C43" s="133" t="s">
        <v>66</v>
      </c>
      <c r="G43" s="82">
        <f>H35/60</f>
        <v>8.0833333333333339</v>
      </c>
      <c r="R43" s="124">
        <v>7</v>
      </c>
      <c r="S43" s="78">
        <f t="shared" si="10"/>
        <v>422.239931684601</v>
      </c>
      <c r="T43" s="78">
        <f t="shared" si="10"/>
        <v>398.14575455830294</v>
      </c>
      <c r="U43" s="78">
        <f t="shared" si="10"/>
        <v>354.40223799523591</v>
      </c>
      <c r="V43" s="78">
        <f t="shared" si="10"/>
        <v>523.92586826058493</v>
      </c>
      <c r="W43" s="78">
        <f t="shared" si="10"/>
        <v>146.08932876096961</v>
      </c>
      <c r="X43" s="78">
        <f t="shared" si="10"/>
        <v>137.10365996034804</v>
      </c>
      <c r="Y43" s="111">
        <f t="shared" si="10"/>
        <v>0</v>
      </c>
      <c r="Z43" s="78">
        <f t="shared" si="10"/>
        <v>127.04302098859857</v>
      </c>
      <c r="AA43" s="78">
        <f t="shared" si="10"/>
        <v>166.51786372548233</v>
      </c>
      <c r="AB43" s="78">
        <f t="shared" si="10"/>
        <v>178.79249083232054</v>
      </c>
      <c r="AC43" s="78">
        <f t="shared" si="10"/>
        <v>281.09763747137629</v>
      </c>
      <c r="AD43" s="78">
        <f t="shared" si="10"/>
        <v>80.985227741250185</v>
      </c>
      <c r="AE43" s="78">
        <f t="shared" si="10"/>
        <v>506.44970871063845</v>
      </c>
      <c r="AF43" s="78">
        <f t="shared" si="10"/>
        <v>454.60608976349619</v>
      </c>
      <c r="AG43" s="79">
        <f t="shared" si="10"/>
        <v>266.95448741353545</v>
      </c>
    </row>
    <row r="44" spans="1:33" ht="15">
      <c r="C44" s="133" t="s">
        <v>67</v>
      </c>
      <c r="R44" s="124">
        <v>8</v>
      </c>
      <c r="S44" s="78">
        <f t="shared" si="10"/>
        <v>299.18469658294089</v>
      </c>
      <c r="T44" s="78">
        <f t="shared" si="10"/>
        <v>273.11509923526529</v>
      </c>
      <c r="U44" s="78">
        <f t="shared" si="10"/>
        <v>228.93534948956807</v>
      </c>
      <c r="V44" s="78">
        <f t="shared" si="10"/>
        <v>433.02117322658592</v>
      </c>
      <c r="W44" s="78">
        <f t="shared" si="10"/>
        <v>21.968778976333269</v>
      </c>
      <c r="X44" s="78">
        <f t="shared" si="10"/>
        <v>54.816916820998742</v>
      </c>
      <c r="Y44" s="78">
        <f t="shared" si="10"/>
        <v>127.04302098859856</v>
      </c>
      <c r="Z44" s="111">
        <f t="shared" si="10"/>
        <v>0</v>
      </c>
      <c r="AA44" s="78">
        <f t="shared" si="10"/>
        <v>63.794208341811625</v>
      </c>
      <c r="AB44" s="78">
        <f t="shared" si="10"/>
        <v>58.440074323805938</v>
      </c>
      <c r="AC44" s="78">
        <f t="shared" si="10"/>
        <v>194.30568622833707</v>
      </c>
      <c r="AD44" s="78">
        <f t="shared" si="10"/>
        <v>196.24129880676139</v>
      </c>
      <c r="AE44" s="78">
        <f t="shared" si="10"/>
        <v>401.34210495569926</v>
      </c>
      <c r="AF44" s="78">
        <f t="shared" si="10"/>
        <v>334.23445421028055</v>
      </c>
      <c r="AG44" s="79">
        <f t="shared" si="10"/>
        <v>152.05756119461753</v>
      </c>
    </row>
    <row r="45" spans="1:33" ht="15">
      <c r="C45" s="133" t="s">
        <v>68</v>
      </c>
      <c r="R45" s="124">
        <v>9</v>
      </c>
      <c r="S45" s="78">
        <f t="shared" si="10"/>
        <v>294.34674965435448</v>
      </c>
      <c r="T45" s="78">
        <f t="shared" si="10"/>
        <v>263.58393767409399</v>
      </c>
      <c r="U45" s="78">
        <f t="shared" si="10"/>
        <v>219.64957303895184</v>
      </c>
      <c r="V45" s="78">
        <f t="shared" si="10"/>
        <v>460.99990848306379</v>
      </c>
      <c r="W45" s="78">
        <f t="shared" si="10"/>
        <v>46.120406617537441</v>
      </c>
      <c r="X45" s="78">
        <f t="shared" si="10"/>
        <v>115.54084629340073</v>
      </c>
      <c r="Y45" s="78">
        <f t="shared" si="10"/>
        <v>166.51786372548233</v>
      </c>
      <c r="Z45" s="78">
        <f t="shared" si="10"/>
        <v>63.794208341811625</v>
      </c>
      <c r="AA45" s="111">
        <f t="shared" si="10"/>
        <v>0</v>
      </c>
      <c r="AB45" s="78">
        <f t="shared" si="10"/>
        <v>90.664956666995778</v>
      </c>
      <c r="AC45" s="78">
        <f t="shared" si="10"/>
        <v>234.26543137137054</v>
      </c>
      <c r="AD45" s="78">
        <f t="shared" si="10"/>
        <v>244.21262443256944</v>
      </c>
      <c r="AE45" s="78">
        <f t="shared" si="10"/>
        <v>418.58691675179392</v>
      </c>
      <c r="AF45" s="78">
        <f t="shared" si="10"/>
        <v>333.91043574757589</v>
      </c>
      <c r="AG45" s="79">
        <f t="shared" si="10"/>
        <v>100.53876287995733</v>
      </c>
    </row>
    <row r="46" spans="1:33" ht="15">
      <c r="R46" s="124">
        <v>10</v>
      </c>
      <c r="S46" s="78">
        <f t="shared" si="10"/>
        <v>243.58872607986009</v>
      </c>
      <c r="T46" s="78">
        <f t="shared" si="10"/>
        <v>219.53121870866028</v>
      </c>
      <c r="U46" s="78">
        <f t="shared" si="10"/>
        <v>176.13361760590169</v>
      </c>
      <c r="V46" s="78">
        <f t="shared" si="10"/>
        <v>377.39239285121084</v>
      </c>
      <c r="W46" s="78">
        <f t="shared" si="10"/>
        <v>53.252802281154523</v>
      </c>
      <c r="X46" s="78">
        <f t="shared" si="10"/>
        <v>55.11594960765737</v>
      </c>
      <c r="Y46" s="78">
        <f t="shared" si="10"/>
        <v>178.79249083232051</v>
      </c>
      <c r="Z46" s="78">
        <f t="shared" si="10"/>
        <v>58.440074323805938</v>
      </c>
      <c r="AA46" s="78">
        <f t="shared" si="10"/>
        <v>90.664956666995778</v>
      </c>
      <c r="AB46" s="111">
        <f t="shared" si="10"/>
        <v>0</v>
      </c>
      <c r="AC46" s="78">
        <f t="shared" si="10"/>
        <v>144.14840241197871</v>
      </c>
      <c r="AD46" s="78">
        <f t="shared" si="10"/>
        <v>238.93956076898075</v>
      </c>
      <c r="AE46" s="78">
        <f t="shared" si="10"/>
        <v>343.23800472175242</v>
      </c>
      <c r="AF46" s="78">
        <f t="shared" si="10"/>
        <v>277.19471876766289</v>
      </c>
      <c r="AG46" s="79">
        <f t="shared" si="10"/>
        <v>140.34652822183338</v>
      </c>
    </row>
    <row r="47" spans="1:33" ht="15">
      <c r="R47" s="124">
        <v>11</v>
      </c>
      <c r="S47" s="78">
        <f t="shared" si="10"/>
        <v>203.00393542072791</v>
      </c>
      <c r="T47" s="78">
        <f t="shared" si="10"/>
        <v>200.11373184634658</v>
      </c>
      <c r="U47" s="78">
        <f t="shared" si="10"/>
        <v>175.53810902631469</v>
      </c>
      <c r="V47" s="78">
        <f t="shared" si="10"/>
        <v>243.50268764516565</v>
      </c>
      <c r="W47" s="78">
        <f t="shared" si="10"/>
        <v>196.18586926043142</v>
      </c>
      <c r="X47" s="78">
        <f t="shared" si="10"/>
        <v>150.6555634966613</v>
      </c>
      <c r="Y47" s="78">
        <f t="shared" si="10"/>
        <v>281.09763747137629</v>
      </c>
      <c r="Z47" s="78">
        <f t="shared" si="10"/>
        <v>194.30568622833701</v>
      </c>
      <c r="AA47" s="78">
        <f t="shared" si="10"/>
        <v>234.26543137137054</v>
      </c>
      <c r="AB47" s="78">
        <f t="shared" si="10"/>
        <v>144.14840241197871</v>
      </c>
      <c r="AC47" s="111">
        <f t="shared" si="10"/>
        <v>0</v>
      </c>
      <c r="AD47" s="78">
        <f t="shared" si="10"/>
        <v>310.40995171196965</v>
      </c>
      <c r="AE47" s="78">
        <f t="shared" si="10"/>
        <v>229.52406256746684</v>
      </c>
      <c r="AF47" s="78">
        <f t="shared" si="10"/>
        <v>215.60524896378325</v>
      </c>
      <c r="AG47" s="79">
        <f t="shared" si="10"/>
        <v>253.90774206554249</v>
      </c>
    </row>
    <row r="48" spans="1:33" ht="15">
      <c r="R48" s="124">
        <v>12</v>
      </c>
      <c r="S48" s="78">
        <f t="shared" si="10"/>
        <v>476.53795812918798</v>
      </c>
      <c r="T48" s="78">
        <f t="shared" si="10"/>
        <v>456.11462948302579</v>
      </c>
      <c r="U48" s="78">
        <f t="shared" si="10"/>
        <v>413.86441663557724</v>
      </c>
      <c r="V48" s="78">
        <f t="shared" si="10"/>
        <v>545.19424297983869</v>
      </c>
      <c r="W48" s="78">
        <f t="shared" si="10"/>
        <v>217.34893875517614</v>
      </c>
      <c r="X48" s="78">
        <f t="shared" si="10"/>
        <v>187.93059434003794</v>
      </c>
      <c r="Y48" s="78">
        <f t="shared" si="10"/>
        <v>80.985227741250185</v>
      </c>
      <c r="Z48" s="78">
        <f t="shared" si="10"/>
        <v>196.24129880676142</v>
      </c>
      <c r="AA48" s="78">
        <f t="shared" si="10"/>
        <v>244.21262443256944</v>
      </c>
      <c r="AB48" s="78">
        <f t="shared" si="10"/>
        <v>238.93956076898075</v>
      </c>
      <c r="AC48" s="78">
        <f t="shared" si="10"/>
        <v>310.40995171196965</v>
      </c>
      <c r="AD48" s="111">
        <f t="shared" si="10"/>
        <v>0</v>
      </c>
      <c r="AE48" s="78">
        <f t="shared" si="10"/>
        <v>539.93396275766452</v>
      </c>
      <c r="AF48" s="78">
        <f t="shared" si="10"/>
        <v>504.71867173682426</v>
      </c>
      <c r="AG48" s="79">
        <f t="shared" si="10"/>
        <v>343.71766130424044</v>
      </c>
    </row>
    <row r="49" spans="18:33" ht="15">
      <c r="R49" s="124">
        <v>13</v>
      </c>
      <c r="S49" s="78">
        <f t="shared" si="10"/>
        <v>166.24766329420825</v>
      </c>
      <c r="T49" s="78">
        <f t="shared" si="10"/>
        <v>199.21786127021554</v>
      </c>
      <c r="U49" s="78">
        <f t="shared" si="10"/>
        <v>225.4098968763337</v>
      </c>
      <c r="V49" s="78">
        <f t="shared" si="10"/>
        <v>85.530866119049492</v>
      </c>
      <c r="W49" s="78">
        <f t="shared" si="10"/>
        <v>394.82939421009377</v>
      </c>
      <c r="X49" s="78">
        <f t="shared" si="10"/>
        <v>370.49370442246152</v>
      </c>
      <c r="Y49" s="78">
        <f t="shared" si="10"/>
        <v>506.44970871063845</v>
      </c>
      <c r="Z49" s="78">
        <f t="shared" si="10"/>
        <v>401.34210495569931</v>
      </c>
      <c r="AA49" s="78">
        <f t="shared" si="10"/>
        <v>418.58691675179392</v>
      </c>
      <c r="AB49" s="78">
        <f t="shared" si="10"/>
        <v>343.23800472175242</v>
      </c>
      <c r="AC49" s="78">
        <f t="shared" si="10"/>
        <v>229.52406256746684</v>
      </c>
      <c r="AD49" s="78">
        <f t="shared" si="10"/>
        <v>539.93396275766452</v>
      </c>
      <c r="AE49" s="111">
        <f t="shared" si="10"/>
        <v>0</v>
      </c>
      <c r="AF49" s="78">
        <f t="shared" si="10"/>
        <v>127.97216072056759</v>
      </c>
      <c r="AG49" s="79">
        <f t="shared" si="10"/>
        <v>385.50102343587747</v>
      </c>
    </row>
    <row r="50" spans="18:33" ht="15">
      <c r="R50" s="124">
        <v>14</v>
      </c>
      <c r="S50" s="78">
        <f t="shared" si="10"/>
        <v>43.627434418712667</v>
      </c>
      <c r="T50" s="78">
        <f t="shared" si="10"/>
        <v>79.03822260954027</v>
      </c>
      <c r="U50" s="78">
        <f t="shared" si="10"/>
        <v>117.05948454950837</v>
      </c>
      <c r="V50" s="78">
        <f t="shared" si="10"/>
        <v>209.16282830150308</v>
      </c>
      <c r="W50" s="78">
        <f t="shared" si="10"/>
        <v>321.85836784012554</v>
      </c>
      <c r="X50" s="78">
        <f t="shared" si="10"/>
        <v>319.2524065418915</v>
      </c>
      <c r="Y50" s="78">
        <f t="shared" si="10"/>
        <v>454.60608976349624</v>
      </c>
      <c r="Z50" s="78">
        <f t="shared" si="10"/>
        <v>334.23445421028055</v>
      </c>
      <c r="AA50" s="78">
        <f t="shared" si="10"/>
        <v>333.91043574757589</v>
      </c>
      <c r="AB50" s="78">
        <f t="shared" si="10"/>
        <v>277.19471876766289</v>
      </c>
      <c r="AC50" s="78">
        <f t="shared" si="10"/>
        <v>215.60524896378325</v>
      </c>
      <c r="AD50" s="78">
        <f t="shared" si="10"/>
        <v>504.71867173682426</v>
      </c>
      <c r="AE50" s="78">
        <f t="shared" si="10"/>
        <v>127.9721607205676</v>
      </c>
      <c r="AF50" s="111">
        <f t="shared" si="10"/>
        <v>0</v>
      </c>
      <c r="AG50" s="79">
        <f t="shared" si="10"/>
        <v>279.11449624635367</v>
      </c>
    </row>
    <row r="51" spans="18:33" ht="15.75" thickBot="1">
      <c r="R51" s="132">
        <v>15</v>
      </c>
      <c r="S51" s="80">
        <f t="shared" si="10"/>
        <v>235.92056172827887</v>
      </c>
      <c r="T51" s="80">
        <f t="shared" si="10"/>
        <v>201.14756751767686</v>
      </c>
      <c r="U51" s="80">
        <f t="shared" si="10"/>
        <v>163.05880626550467</v>
      </c>
      <c r="V51" s="80">
        <f t="shared" si="10"/>
        <v>443.65343531531397</v>
      </c>
      <c r="W51" s="80">
        <f t="shared" si="10"/>
        <v>130.10141514607648</v>
      </c>
      <c r="X51" s="80">
        <f t="shared" si="10"/>
        <v>189.22843379725694</v>
      </c>
      <c r="Y51" s="80">
        <f t="shared" si="10"/>
        <v>266.95448741353545</v>
      </c>
      <c r="Z51" s="80">
        <f t="shared" si="10"/>
        <v>152.05756119461753</v>
      </c>
      <c r="AA51" s="80">
        <f t="shared" si="10"/>
        <v>100.53876287995732</v>
      </c>
      <c r="AB51" s="80">
        <f t="shared" si="10"/>
        <v>140.34652822183338</v>
      </c>
      <c r="AC51" s="80">
        <f t="shared" si="10"/>
        <v>253.90774206554252</v>
      </c>
      <c r="AD51" s="80">
        <f t="shared" si="10"/>
        <v>343.71766130424044</v>
      </c>
      <c r="AE51" s="80">
        <f t="shared" si="10"/>
        <v>385.50102343587747</v>
      </c>
      <c r="AF51" s="80">
        <f t="shared" si="10"/>
        <v>279.11449624635367</v>
      </c>
      <c r="AG51" s="112">
        <f t="shared" si="10"/>
        <v>0</v>
      </c>
    </row>
  </sheetData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75C569-7788-4340-9EDA-AA22AB712484}">
  <dimension ref="A2:E16"/>
  <sheetViews>
    <sheetView topLeftCell="C1" workbookViewId="0">
      <selection activeCell="C3" sqref="C3"/>
    </sheetView>
  </sheetViews>
  <sheetFormatPr defaultColWidth="23.5" defaultRowHeight="20.25" customHeight="1"/>
  <cols>
    <col min="1" max="1" width="5.25" customWidth="1"/>
    <col min="2" max="2" width="106" bestFit="1" customWidth="1"/>
    <col min="3" max="3" width="106" customWidth="1"/>
  </cols>
  <sheetData>
    <row r="2" spans="1:5" ht="20.25" customHeight="1">
      <c r="A2">
        <v>1</v>
      </c>
      <c r="B2" s="40" t="s">
        <v>44</v>
      </c>
      <c r="C2" s="94" t="s">
        <v>69</v>
      </c>
      <c r="D2" s="48">
        <v>28.418493000000002</v>
      </c>
      <c r="E2" s="48">
        <v>-81.579230999999993</v>
      </c>
    </row>
    <row r="3" spans="1:5" ht="20.25" customHeight="1">
      <c r="A3">
        <v>2</v>
      </c>
      <c r="B3" s="40" t="s">
        <v>45</v>
      </c>
      <c r="C3" s="142" t="s">
        <v>70</v>
      </c>
      <c r="D3" s="48">
        <v>28.420021999999999</v>
      </c>
      <c r="E3" s="48">
        <v>-81.584692000000004</v>
      </c>
    </row>
    <row r="4" spans="1:5" ht="20.25" customHeight="1">
      <c r="A4">
        <v>3</v>
      </c>
      <c r="B4" s="40" t="s">
        <v>46</v>
      </c>
      <c r="C4" s="142" t="s">
        <v>71</v>
      </c>
      <c r="D4" s="48">
        <v>28.418243</v>
      </c>
      <c r="E4" s="48">
        <v>-81.579359999999994</v>
      </c>
    </row>
    <row r="5" spans="1:5" ht="20.25" customHeight="1">
      <c r="A5">
        <v>4</v>
      </c>
      <c r="B5" s="40" t="s">
        <v>47</v>
      </c>
      <c r="C5" s="142" t="s">
        <v>72</v>
      </c>
      <c r="D5" s="48">
        <v>28.420459999999999</v>
      </c>
      <c r="E5" s="48">
        <v>-81.578979000000004</v>
      </c>
    </row>
    <row r="6" spans="1:5" ht="20.25" customHeight="1">
      <c r="A6">
        <v>5</v>
      </c>
      <c r="B6" s="40" t="s">
        <v>48</v>
      </c>
      <c r="C6" s="142" t="s">
        <v>73</v>
      </c>
      <c r="D6" s="48">
        <v>28.420445999999998</v>
      </c>
      <c r="E6" s="48">
        <v>-81.582879000000005</v>
      </c>
    </row>
    <row r="7" spans="1:5" ht="20.25" customHeight="1">
      <c r="A7">
        <v>6</v>
      </c>
      <c r="B7" s="40" t="s">
        <v>49</v>
      </c>
      <c r="C7" s="142" t="s">
        <v>74</v>
      </c>
      <c r="D7" s="48">
        <v>28.420539999999999</v>
      </c>
      <c r="E7" s="48">
        <v>-81.581951000000004</v>
      </c>
    </row>
    <row r="8" spans="1:5" ht="20.25" customHeight="1">
      <c r="A8">
        <v>7</v>
      </c>
      <c r="B8" s="40" t="s">
        <v>50</v>
      </c>
      <c r="C8" s="142" t="s">
        <v>75</v>
      </c>
      <c r="D8" s="48">
        <v>28.418016000000001</v>
      </c>
      <c r="E8" s="48">
        <v>-81.583437000000004</v>
      </c>
    </row>
    <row r="9" spans="1:5" ht="20.25" customHeight="1">
      <c r="A9">
        <v>8</v>
      </c>
      <c r="B9" s="40" t="s">
        <v>51</v>
      </c>
      <c r="C9" s="142" t="s">
        <v>76</v>
      </c>
      <c r="D9" s="48">
        <v>28.418417000000002</v>
      </c>
      <c r="E9" s="48">
        <v>-81.579811000000007</v>
      </c>
    </row>
    <row r="10" spans="1:5" ht="20.25" customHeight="1">
      <c r="A10">
        <v>9</v>
      </c>
      <c r="B10" s="40" t="s">
        <v>52</v>
      </c>
      <c r="C10" s="142" t="s">
        <v>77</v>
      </c>
      <c r="D10" s="48">
        <v>28.420356000000002</v>
      </c>
      <c r="E10" s="48">
        <v>-81.581855000000004</v>
      </c>
    </row>
    <row r="11" spans="1:5" ht="20.25" customHeight="1">
      <c r="A11">
        <v>10</v>
      </c>
      <c r="B11" s="40" t="s">
        <v>53</v>
      </c>
      <c r="C11" s="142" t="s">
        <v>78</v>
      </c>
      <c r="D11" s="48">
        <v>28.418123999999999</v>
      </c>
      <c r="E11" s="48">
        <v>-81.584284999999994</v>
      </c>
    </row>
    <row r="12" spans="1:5" ht="20.25" customHeight="1">
      <c r="A12">
        <v>11</v>
      </c>
      <c r="B12" s="40" t="s">
        <v>54</v>
      </c>
      <c r="C12" s="142" t="s">
        <v>79</v>
      </c>
      <c r="D12" s="48">
        <v>28.420463999999999</v>
      </c>
      <c r="E12" s="48">
        <v>-81.580502999999993</v>
      </c>
    </row>
    <row r="13" spans="1:5" ht="20.25" customHeight="1">
      <c r="A13">
        <v>12</v>
      </c>
      <c r="B13" s="40" t="s">
        <v>55</v>
      </c>
      <c r="C13" s="142" t="s">
        <v>80</v>
      </c>
      <c r="D13" s="48">
        <v>28.419082</v>
      </c>
      <c r="E13" s="48">
        <v>-81.577305999999993</v>
      </c>
    </row>
    <row r="14" spans="1:5" ht="20.25" customHeight="1">
      <c r="A14">
        <v>13</v>
      </c>
      <c r="B14" s="40" t="s">
        <v>56</v>
      </c>
      <c r="C14" s="142" t="s">
        <v>81</v>
      </c>
      <c r="D14" s="48">
        <v>28.419139000000001</v>
      </c>
      <c r="E14" s="48">
        <v>-81.585058000000004</v>
      </c>
    </row>
    <row r="15" spans="1:5" ht="20.25" customHeight="1">
      <c r="A15">
        <v>14</v>
      </c>
      <c r="B15" s="40" t="s">
        <v>57</v>
      </c>
      <c r="C15" s="142" t="s">
        <v>82</v>
      </c>
      <c r="D15" s="48">
        <v>28.420138999999999</v>
      </c>
      <c r="E15" s="48">
        <v>-81.580201000000002</v>
      </c>
    </row>
    <row r="16" spans="1:5" ht="20.25" customHeight="1">
      <c r="A16">
        <v>15</v>
      </c>
      <c r="B16" s="40" t="s">
        <v>58</v>
      </c>
      <c r="C16" s="142" t="s">
        <v>83</v>
      </c>
      <c r="D16" s="48">
        <v>28.419384000000001</v>
      </c>
      <c r="E16" s="48">
        <v>-81.579367000000005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2836D9-8D03-4381-A8F4-CBB65AAB60E3}">
  <sheetPr codeName="Sheet1"/>
  <dimension ref="A1:H18"/>
  <sheetViews>
    <sheetView workbookViewId="0">
      <selection activeCell="F14" sqref="F14"/>
    </sheetView>
  </sheetViews>
  <sheetFormatPr defaultRowHeight="14.25"/>
  <cols>
    <col min="4" max="4" width="17.25" bestFit="1" customWidth="1"/>
    <col min="5" max="5" width="9.375" bestFit="1" customWidth="1"/>
    <col min="6" max="6" width="12.875" customWidth="1"/>
  </cols>
  <sheetData>
    <row r="1" spans="1:8" ht="45">
      <c r="A1" s="23" t="s">
        <v>33</v>
      </c>
      <c r="B1" s="23" t="s">
        <v>34</v>
      </c>
      <c r="C1" s="23" t="s">
        <v>35</v>
      </c>
      <c r="D1" t="s">
        <v>36</v>
      </c>
      <c r="E1" t="s">
        <v>37</v>
      </c>
      <c r="F1" t="s">
        <v>38</v>
      </c>
      <c r="G1" t="s">
        <v>42</v>
      </c>
      <c r="H1" t="s">
        <v>43</v>
      </c>
    </row>
    <row r="2" spans="1:8">
      <c r="A2">
        <v>1</v>
      </c>
      <c r="B2">
        <v>1</v>
      </c>
      <c r="C2" s="39">
        <v>8</v>
      </c>
      <c r="D2" t="str">
        <f>DL!C22</f>
        <v>Toon Spin</v>
      </c>
      <c r="E2" s="24">
        <f>VLOOKUP(D2,coord!B:D,2,0)</f>
        <v>33.815263999999999</v>
      </c>
      <c r="F2">
        <f>VLOOKUP(D2,coord!B:D,3,0)</f>
        <v>-117.918117</v>
      </c>
      <c r="G2" s="38"/>
      <c r="H2">
        <f>DL!H22</f>
        <v>5</v>
      </c>
    </row>
    <row r="3" spans="1:8">
      <c r="A3">
        <v>1</v>
      </c>
      <c r="B3">
        <v>1</v>
      </c>
      <c r="C3" s="39">
        <v>9</v>
      </c>
      <c r="D3" t="str">
        <f>DL!C23</f>
        <v>Small World</v>
      </c>
      <c r="E3" s="24">
        <f>VLOOKUP(D3,coord!B:D,2,0)</f>
        <v>33.814573000000003</v>
      </c>
      <c r="F3">
        <f>VLOOKUP(D3,coord!B:D,3,0)</f>
        <v>-117.91784</v>
      </c>
      <c r="G3" s="38">
        <f>DL!G23</f>
        <v>80.985227741250185</v>
      </c>
      <c r="H3">
        <f>DL!H23</f>
        <v>5</v>
      </c>
    </row>
    <row r="4" spans="1:8">
      <c r="A4">
        <v>1</v>
      </c>
      <c r="B4">
        <v>1</v>
      </c>
      <c r="C4" s="39">
        <v>10</v>
      </c>
      <c r="D4" t="str">
        <f>DL!C24</f>
        <v>Matterhorn</v>
      </c>
      <c r="E4" s="24">
        <f>VLOOKUP(D4,coord!B:D,2,0)</f>
        <v>33.813076000000002</v>
      </c>
      <c r="F4">
        <f>VLOOKUP(D4,coord!B:D,3,0)</f>
        <v>-117.917888</v>
      </c>
      <c r="G4" s="38">
        <f>DL!G24</f>
        <v>166.51786372548233</v>
      </c>
      <c r="H4">
        <f>DL!H24</f>
        <v>15</v>
      </c>
    </row>
    <row r="5" spans="1:8">
      <c r="A5">
        <v>1</v>
      </c>
      <c r="B5">
        <v>1</v>
      </c>
      <c r="C5" s="39">
        <v>11</v>
      </c>
      <c r="D5" t="str">
        <f>DL!C25</f>
        <v>Alice in Wonderland</v>
      </c>
      <c r="E5" s="24">
        <f>VLOOKUP(D5,coord!B:D,2,0)</f>
        <v>33.813315000000003</v>
      </c>
      <c r="F5">
        <f>VLOOKUP(D5,coord!B:D,3,0)</f>
        <v>-117.918296</v>
      </c>
      <c r="G5" s="38">
        <f>DL!G25</f>
        <v>46.120406617537434</v>
      </c>
      <c r="H5">
        <f>DL!H25</f>
        <v>40</v>
      </c>
    </row>
    <row r="6" spans="1:8">
      <c r="A6">
        <v>1</v>
      </c>
      <c r="B6">
        <v>1</v>
      </c>
      <c r="C6" s="39">
        <v>12</v>
      </c>
      <c r="D6" t="str">
        <f>DL!C26</f>
        <v>Mad Tea</v>
      </c>
      <c r="E6" s="24">
        <f>VLOOKUP(D6,coord!B:D,2,0)</f>
        <v>33.813509000000003</v>
      </c>
      <c r="F6">
        <f>VLOOKUP(D6,coord!B:D,3,0)</f>
        <v>-117.918341</v>
      </c>
      <c r="G6" s="38">
        <f>DL!G26</f>
        <v>21.968778976333269</v>
      </c>
      <c r="H6">
        <f>DL!H26</f>
        <v>15</v>
      </c>
    </row>
    <row r="7" spans="1:8">
      <c r="A7">
        <v>1</v>
      </c>
      <c r="B7">
        <v>1</v>
      </c>
      <c r="C7" s="39">
        <v>13</v>
      </c>
      <c r="D7" t="str">
        <f>DL!C27</f>
        <v>Dumbo</v>
      </c>
      <c r="E7" s="24">
        <f>VLOOKUP(D7,coord!B:D,2,0)</f>
        <v>33.813699999999997</v>
      </c>
      <c r="F7">
        <f>VLOOKUP(D7,coord!B:D,3,0)</f>
        <v>-117.918888</v>
      </c>
      <c r="G7" s="38">
        <f>DL!G27</f>
        <v>54.816916820998742</v>
      </c>
      <c r="H7">
        <f>DL!H27</f>
        <v>30.000000000000004</v>
      </c>
    </row>
    <row r="8" spans="1:8">
      <c r="A8">
        <v>1</v>
      </c>
      <c r="B8">
        <v>1</v>
      </c>
      <c r="C8" s="39">
        <v>14</v>
      </c>
      <c r="D8" t="str">
        <f>DL!C28</f>
        <v>Peter Pan</v>
      </c>
      <c r="E8" s="24">
        <f>VLOOKUP(D8,coord!B:D,2,0)</f>
        <v>33.813205000000004</v>
      </c>
      <c r="F8">
        <f>VLOOKUP(D8,coord!B:D,3,0)</f>
        <v>-117.918857</v>
      </c>
      <c r="G8" s="38">
        <f>DL!G28</f>
        <v>55.11594960765737</v>
      </c>
      <c r="H8">
        <f>DL!H28</f>
        <v>45</v>
      </c>
    </row>
    <row r="9" spans="1:8">
      <c r="A9">
        <v>1</v>
      </c>
      <c r="B9">
        <v>1</v>
      </c>
      <c r="C9" s="39">
        <v>15</v>
      </c>
      <c r="D9" t="str">
        <f>DL!C29</f>
        <v>Thunder Mtn</v>
      </c>
      <c r="E9" s="24">
        <f>VLOOKUP(D9,coord!B:D,2,0)</f>
        <v>33.813229</v>
      </c>
      <c r="F9">
        <f>VLOOKUP(D9,coord!B:D,3,0)</f>
        <v>-117.920417</v>
      </c>
      <c r="G9" s="38">
        <f>DL!G29</f>
        <v>144.14840241197871</v>
      </c>
      <c r="H9">
        <f>DL!H29</f>
        <v>40</v>
      </c>
    </row>
    <row r="10" spans="1:8">
      <c r="A10">
        <v>1</v>
      </c>
      <c r="B10">
        <v>1</v>
      </c>
      <c r="C10" s="39">
        <v>16</v>
      </c>
      <c r="D10" t="str">
        <f>DL!C30</f>
        <v>Splash Mtn</v>
      </c>
      <c r="E10" s="24">
        <f>VLOOKUP(D10,coord!B:D,2,0)</f>
        <v>33.812258999999997</v>
      </c>
      <c r="F10">
        <f>VLOOKUP(D10,coord!B:D,3,0)</f>
        <v>-117.92278</v>
      </c>
      <c r="G10" s="38">
        <f>DL!G30</f>
        <v>243.50268764516565</v>
      </c>
      <c r="H10">
        <f>DL!H30</f>
        <v>60</v>
      </c>
    </row>
    <row r="11" spans="1:8">
      <c r="A11">
        <v>1</v>
      </c>
      <c r="B11">
        <v>1</v>
      </c>
      <c r="C11" s="39">
        <v>17</v>
      </c>
      <c r="D11" t="str">
        <f>DL!C31</f>
        <v>Haunted Mansion</v>
      </c>
      <c r="E11" s="24">
        <f>VLOOKUP(D11,coord!B:D,2,0)</f>
        <v>33.811723000000001</v>
      </c>
      <c r="F11">
        <f>VLOOKUP(D11,coord!B:D,3,0)</f>
        <v>-117.922116</v>
      </c>
      <c r="G11" s="38">
        <f>DL!G31</f>
        <v>85.530866119049492</v>
      </c>
      <c r="H11">
        <f>DL!H31</f>
        <v>35</v>
      </c>
    </row>
    <row r="12" spans="1:8">
      <c r="A12">
        <v>1</v>
      </c>
      <c r="B12">
        <v>1</v>
      </c>
      <c r="C12" s="39">
        <v>18</v>
      </c>
      <c r="D12" t="str">
        <f>DL!C32</f>
        <v>Pirates</v>
      </c>
      <c r="E12" s="24">
        <f>VLOOKUP(D12,coord!B:D,2,0)</f>
        <v>33.811318999999997</v>
      </c>
      <c r="F12">
        <f>VLOOKUP(D12,coord!B:D,3,0)</f>
        <v>-117.92081899999999</v>
      </c>
      <c r="G12" s="38">
        <f>DL!G32</f>
        <v>127.9721607205676</v>
      </c>
      <c r="H12">
        <f>DL!H32</f>
        <v>25</v>
      </c>
    </row>
    <row r="13" spans="1:8">
      <c r="A13">
        <v>1</v>
      </c>
      <c r="B13">
        <v>1</v>
      </c>
      <c r="C13" s="39">
        <v>19</v>
      </c>
      <c r="D13" t="str">
        <f>DL!C33</f>
        <v>Indiana Jones</v>
      </c>
      <c r="E13" s="24">
        <f>VLOOKUP(D13,coord!B:D,2,0)</f>
        <v>33.811404000000003</v>
      </c>
      <c r="F13">
        <f>VLOOKUP(D13,coord!B:D,3,0)</f>
        <v>-117.92035799999999</v>
      </c>
      <c r="G13" s="38">
        <f>DL!G33</f>
        <v>43.627434418712667</v>
      </c>
      <c r="H13">
        <f>DL!H33</f>
        <v>60</v>
      </c>
    </row>
    <row r="14" spans="1:8">
      <c r="A14">
        <v>1</v>
      </c>
      <c r="B14">
        <v>1</v>
      </c>
      <c r="C14" s="39">
        <v>20</v>
      </c>
      <c r="D14" t="str">
        <f>DL!C34</f>
        <v>Jungle Cruise</v>
      </c>
      <c r="E14" s="24">
        <f>VLOOKUP(D14,coord!B:D,2,0)</f>
        <v>33.811466000000003</v>
      </c>
      <c r="F14">
        <f>VLOOKUP(D14,coord!B:D,3,0)</f>
        <v>-117.919982</v>
      </c>
      <c r="G14" s="38">
        <f>DL!G34</f>
        <v>35.41571747416252</v>
      </c>
      <c r="H14">
        <f>DL!H34</f>
        <v>15</v>
      </c>
    </row>
    <row r="15" spans="1:8">
      <c r="A15">
        <v>1</v>
      </c>
      <c r="B15">
        <v>1</v>
      </c>
      <c r="C15" s="39">
        <v>21</v>
      </c>
      <c r="D15" t="str">
        <f>DL!C35</f>
        <v>Tiki room</v>
      </c>
      <c r="E15" s="24">
        <f>VLOOKUP(D15,coord!B:D,2,0)</f>
        <v>33.811774999999997</v>
      </c>
      <c r="F15">
        <f>VLOOKUP(D15,coord!B:D,3,0)</f>
        <v>-117.91967699999999</v>
      </c>
      <c r="G15" s="38">
        <f>DL!G35</f>
        <v>44.436335182955069</v>
      </c>
      <c r="H15">
        <f>DL!H35</f>
        <v>10</v>
      </c>
    </row>
    <row r="16" spans="1:8">
      <c r="A16">
        <v>1</v>
      </c>
      <c r="B16">
        <v>1</v>
      </c>
      <c r="C16" s="39">
        <v>22</v>
      </c>
      <c r="D16" t="str">
        <f>DL!C36</f>
        <v>Buzz Lightyear</v>
      </c>
      <c r="E16" s="24">
        <f>VLOOKUP(D16,coord!B:D,2,0)</f>
        <v>33.812175000000003</v>
      </c>
      <c r="F16">
        <f>VLOOKUP(D16,coord!B:D,3,0)</f>
        <v>-117.917979</v>
      </c>
      <c r="G16" s="38">
        <f>DL!G36</f>
        <v>163.05880626550467</v>
      </c>
      <c r="H16">
        <f>DL!H36</f>
        <v>15</v>
      </c>
    </row>
    <row r="17" spans="1:8">
      <c r="A17">
        <v>1</v>
      </c>
      <c r="B17">
        <v>1</v>
      </c>
      <c r="C17" s="39">
        <v>23</v>
      </c>
      <c r="D17" t="str">
        <f>DL!C37</f>
        <v>Star Tours</v>
      </c>
      <c r="E17" s="24">
        <f>VLOOKUP(D17,coord!B:D,2,0)</f>
        <v>33.811883000000002</v>
      </c>
      <c r="F17">
        <f>VLOOKUP(D17,coord!B:D,3,0)</f>
        <v>-117.91792</v>
      </c>
      <c r="G17" s="38">
        <f>DL!G37</f>
        <v>32.923290655312897</v>
      </c>
      <c r="H17">
        <f>DL!H37</f>
        <v>20</v>
      </c>
    </row>
    <row r="18" spans="1:8">
      <c r="A18">
        <v>1</v>
      </c>
      <c r="B18">
        <v>1</v>
      </c>
      <c r="C18" s="39">
        <v>24</v>
      </c>
      <c r="D18" t="str">
        <f>DL!C38</f>
        <v>Space Mtn</v>
      </c>
      <c r="E18" s="24">
        <f>VLOOKUP(D18,coord!B:D,2,0)</f>
        <v>33.811390000000003</v>
      </c>
      <c r="F18">
        <f>VLOOKUP(D18,coord!B:D,3,0)</f>
        <v>-117.91726800000001</v>
      </c>
      <c r="G18" s="38">
        <f>DL!G38</f>
        <v>81.447413962744832</v>
      </c>
      <c r="H18">
        <f>DL!H38</f>
        <v>29.999999999999996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1</vt:i4>
      </vt:variant>
    </vt:vector>
  </HeadingPairs>
  <TitlesOfParts>
    <vt:vector size="16" baseType="lpstr">
      <vt:lpstr>DL</vt:lpstr>
      <vt:lpstr>DLFastPass</vt:lpstr>
      <vt:lpstr>coord</vt:lpstr>
      <vt:lpstr>ScenarioSummary</vt:lpstr>
      <vt:lpstr>Scenario1-BestPath</vt:lpstr>
      <vt:lpstr>Scenario2-MinWalk</vt:lpstr>
      <vt:lpstr>Scenario3-MinWait</vt:lpstr>
      <vt:lpstr>Scenario4-Min35</vt:lpstr>
      <vt:lpstr>MK</vt:lpstr>
      <vt:lpstr>MKScenario1-BestPath</vt:lpstr>
      <vt:lpstr>MKScenario2-MinWalk</vt:lpstr>
      <vt:lpstr>MKScenario3-MinWait</vt:lpstr>
      <vt:lpstr>MKScenario4-Min50</vt:lpstr>
      <vt:lpstr>coordMK</vt:lpstr>
      <vt:lpstr>Map</vt:lpstr>
      <vt:lpstr>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 Hager</dc:creator>
  <cp:lastModifiedBy>Jon Hager</cp:lastModifiedBy>
  <dcterms:created xsi:type="dcterms:W3CDTF">2018-04-19T20:15:55Z</dcterms:created>
  <dcterms:modified xsi:type="dcterms:W3CDTF">2018-12-21T22:16:05Z</dcterms:modified>
</cp:coreProperties>
</file>